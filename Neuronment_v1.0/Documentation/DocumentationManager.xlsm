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J49" i="3" l="1"/>
  <c r="A49" i="3"/>
  <c r="B49" i="3"/>
  <c r="I15" i="3"/>
  <c r="A8" i="3" l="1"/>
  <c r="B8" i="3"/>
  <c r="B18" i="3"/>
  <c r="B19" i="3"/>
  <c r="B14" i="3"/>
  <c r="B15" i="3"/>
  <c r="B16" i="3"/>
  <c r="B17" i="3"/>
  <c r="J9" i="3"/>
  <c r="B9" i="3"/>
  <c r="A9" i="3"/>
  <c r="I12" i="3"/>
  <c r="A12" i="3" s="1"/>
  <c r="I11" i="3"/>
  <c r="A11" i="3" s="1"/>
  <c r="I10" i="3"/>
  <c r="A10" i="3" s="1"/>
  <c r="B10" i="3"/>
  <c r="B11"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3" i="3"/>
  <c r="J12" i="3"/>
  <c r="J11" i="3"/>
  <c r="J7" i="3"/>
  <c r="J6" i="3"/>
  <c r="J5" i="3"/>
  <c r="J4" i="3"/>
  <c r="J3" i="3"/>
  <c r="J2" i="3"/>
  <c r="J81" i="3"/>
  <c r="B13" i="3"/>
  <c r="B12" i="3"/>
  <c r="A20" i="3"/>
  <c r="A125" i="3"/>
  <c r="B125" i="3"/>
  <c r="I18" i="3"/>
  <c r="I16" i="3"/>
  <c r="I17" i="3"/>
  <c r="I14" i="3"/>
  <c r="I19" i="3"/>
  <c r="I13" i="3"/>
  <c r="A18" i="3" l="1"/>
  <c r="A19" i="3"/>
  <c r="A17" i="3"/>
  <c r="A16" i="3"/>
  <c r="A15" i="3"/>
  <c r="A14" i="3"/>
  <c r="A13" i="3"/>
  <c r="B41" i="3"/>
  <c r="A41" i="3"/>
  <c r="B40" i="3"/>
  <c r="A40" i="3"/>
  <c r="B39" i="3"/>
  <c r="A39" i="3"/>
  <c r="B98" i="3" l="1"/>
  <c r="A98" i="3"/>
  <c r="B97" i="3"/>
  <c r="A97" i="3"/>
  <c r="B65" i="3"/>
  <c r="A65" i="3"/>
  <c r="B32" i="3"/>
  <c r="A32" i="3"/>
  <c r="B94" i="3"/>
  <c r="A94" i="3"/>
  <c r="B78" i="3"/>
  <c r="A78" i="3"/>
  <c r="B88" i="3"/>
  <c r="A88" i="3"/>
  <c r="B86" i="3"/>
  <c r="A86" i="3"/>
  <c r="B84" i="3"/>
  <c r="A84" i="3"/>
  <c r="B79" i="3"/>
  <c r="A79" i="3"/>
  <c r="B77" i="3"/>
  <c r="A77" i="3"/>
  <c r="B76" i="3"/>
  <c r="A76" i="3"/>
  <c r="A74" i="3"/>
  <c r="A75" i="3"/>
  <c r="A80" i="3"/>
  <c r="A81" i="3"/>
  <c r="B75" i="3"/>
  <c r="B74" i="3"/>
  <c r="B73" i="3"/>
  <c r="A73" i="3"/>
  <c r="B72" i="3"/>
  <c r="A72" i="3"/>
  <c r="B71" i="3"/>
  <c r="A71" i="3"/>
  <c r="B42" i="3"/>
  <c r="A42" i="3"/>
  <c r="B70" i="3"/>
  <c r="A70" i="3"/>
  <c r="B60" i="3"/>
  <c r="A60" i="3"/>
  <c r="B27" i="3"/>
  <c r="A27" i="3"/>
  <c r="B51" i="3"/>
  <c r="A51" i="3"/>
  <c r="B50" i="3"/>
  <c r="A50" i="3"/>
  <c r="B44" i="3"/>
  <c r="A44" i="3"/>
  <c r="B43" i="3"/>
  <c r="A43" i="3"/>
  <c r="B38" i="3"/>
  <c r="A38" i="3"/>
  <c r="B37" i="3"/>
  <c r="A37" i="3"/>
  <c r="B36" i="3"/>
  <c r="A36" i="3"/>
  <c r="A47" i="1" l="1"/>
  <c r="B47" i="1"/>
  <c r="A9" i="1" l="1"/>
  <c r="B9" i="1"/>
  <c r="A4" i="2" l="1"/>
  <c r="A5" i="2"/>
  <c r="A6" i="2"/>
  <c r="A7" i="2"/>
  <c r="A8" i="2"/>
  <c r="A9" i="2"/>
  <c r="A10" i="2"/>
  <c r="A11" i="2"/>
  <c r="A12" i="2"/>
  <c r="A13" i="2"/>
  <c r="A14" i="2"/>
  <c r="A15" i="2"/>
  <c r="A16" i="2"/>
  <c r="A17" i="2"/>
  <c r="A18" i="2"/>
  <c r="A19" i="2"/>
  <c r="A20" i="2"/>
  <c r="A22" i="2"/>
  <c r="A3" i="2"/>
  <c r="A24" i="3"/>
  <c r="B24" i="3"/>
  <c r="A43" i="1"/>
  <c r="B43" i="1"/>
  <c r="B124" i="3" l="1"/>
  <c r="B122" i="3"/>
  <c r="B121" i="3"/>
  <c r="B120" i="3"/>
  <c r="B119" i="3"/>
  <c r="B118" i="3"/>
  <c r="B117" i="3"/>
  <c r="B116" i="3"/>
  <c r="B115" i="3"/>
  <c r="B114" i="3"/>
  <c r="B113" i="3"/>
  <c r="B112" i="3"/>
  <c r="B111" i="3"/>
  <c r="B110" i="3"/>
  <c r="B109" i="3"/>
  <c r="B108" i="3"/>
  <c r="B107" i="3"/>
  <c r="B106" i="3"/>
  <c r="B105" i="3"/>
  <c r="B104" i="3"/>
  <c r="B103" i="3"/>
  <c r="B102" i="3"/>
  <c r="B101" i="3"/>
  <c r="B100" i="3"/>
  <c r="B99" i="3"/>
  <c r="B96" i="3"/>
  <c r="B95" i="3"/>
  <c r="B93" i="3"/>
  <c r="B92" i="3"/>
  <c r="B91" i="3"/>
  <c r="B90" i="3"/>
  <c r="B87" i="3"/>
  <c r="B89" i="3"/>
  <c r="B85" i="3"/>
  <c r="B83" i="3"/>
  <c r="B82" i="3"/>
  <c r="B81" i="3"/>
  <c r="B80" i="3"/>
  <c r="B69" i="3"/>
  <c r="B68" i="3"/>
  <c r="B67" i="3"/>
  <c r="B66" i="3"/>
  <c r="B64" i="3"/>
  <c r="B63" i="3"/>
  <c r="B62" i="3"/>
  <c r="B61" i="3"/>
  <c r="B59" i="3"/>
  <c r="B58" i="3"/>
  <c r="B57" i="3"/>
  <c r="B56" i="3"/>
  <c r="B55" i="3"/>
  <c r="B54" i="3"/>
  <c r="B53" i="3"/>
  <c r="B52" i="3"/>
  <c r="B48" i="3"/>
  <c r="B47" i="3"/>
  <c r="B46" i="3"/>
  <c r="B45" i="3"/>
  <c r="B35" i="3"/>
  <c r="B34" i="3"/>
  <c r="B33" i="3"/>
  <c r="B25" i="3"/>
  <c r="B31" i="3"/>
  <c r="B30" i="3"/>
  <c r="B29" i="3"/>
  <c r="B28" i="3"/>
  <c r="B23" i="3"/>
  <c r="B22" i="3"/>
  <c r="B21" i="3"/>
  <c r="B20" i="3"/>
  <c r="B7" i="3"/>
  <c r="B6" i="3"/>
  <c r="B5" i="3"/>
  <c r="B4" i="3"/>
  <c r="B3" i="3"/>
  <c r="B2" i="3"/>
  <c r="A62" i="3"/>
  <c r="A29" i="3"/>
  <c r="A64" i="3"/>
  <c r="A31" i="3"/>
  <c r="A124" i="3"/>
  <c r="A122" i="3"/>
  <c r="A121" i="3"/>
  <c r="A120" i="3"/>
  <c r="A119" i="3"/>
  <c r="A118" i="3"/>
  <c r="A117" i="3"/>
  <c r="A116" i="3"/>
  <c r="A115" i="3"/>
  <c r="A114" i="3"/>
  <c r="A113" i="3"/>
  <c r="A112" i="3"/>
  <c r="A111" i="3"/>
  <c r="A110" i="3"/>
  <c r="A109" i="3"/>
  <c r="A108" i="3"/>
  <c r="A107" i="3"/>
  <c r="A106" i="3"/>
  <c r="A105" i="3"/>
  <c r="A104" i="3"/>
  <c r="A103" i="3"/>
  <c r="A102" i="3"/>
  <c r="A101" i="3"/>
  <c r="A100" i="3"/>
  <c r="A99" i="3"/>
  <c r="A96" i="3"/>
  <c r="A95" i="3"/>
  <c r="A93" i="3"/>
  <c r="A92" i="3"/>
  <c r="A91" i="3"/>
  <c r="A90" i="3"/>
  <c r="A87" i="3"/>
  <c r="A89" i="3"/>
  <c r="A85" i="3"/>
  <c r="A83" i="3"/>
  <c r="A82" i="3"/>
  <c r="A69" i="3"/>
  <c r="A68" i="3"/>
  <c r="A67" i="3"/>
  <c r="A66" i="3"/>
  <c r="A63" i="3"/>
  <c r="A61" i="3"/>
  <c r="A59" i="3"/>
  <c r="A58" i="3"/>
  <c r="A57" i="3"/>
  <c r="A56" i="3"/>
  <c r="A55" i="3"/>
  <c r="A54" i="3"/>
  <c r="A53" i="3"/>
  <c r="A52" i="3"/>
  <c r="A48" i="3"/>
  <c r="A47" i="3"/>
  <c r="A46" i="3"/>
  <c r="A45" i="3"/>
  <c r="A35" i="3"/>
  <c r="A34" i="3"/>
  <c r="A33" i="3"/>
  <c r="A25" i="3"/>
  <c r="A30" i="3"/>
  <c r="A28" i="3"/>
  <c r="A23" i="3"/>
  <c r="A22" i="3"/>
  <c r="A21" i="3"/>
  <c r="A7" i="3"/>
  <c r="A6" i="3"/>
  <c r="A5" i="3"/>
  <c r="A4" i="3"/>
  <c r="A3" i="3"/>
  <c r="A2" i="3"/>
  <c r="A2" i="1" l="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45" i="1"/>
  <c r="A44"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8" i="1"/>
  <c r="A7" i="1"/>
  <c r="A6" i="1"/>
  <c r="A5" i="1"/>
  <c r="A4" i="1"/>
  <c r="A3"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45" i="1"/>
  <c r="B44"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8" i="1"/>
  <c r="B7" i="1"/>
  <c r="B6" i="1"/>
  <c r="B5" i="1"/>
  <c r="B4" i="1"/>
  <c r="B3" i="1"/>
</calcChain>
</file>

<file path=xl/sharedStrings.xml><?xml version="1.0" encoding="utf-8"?>
<sst xmlns="http://schemas.openxmlformats.org/spreadsheetml/2006/main" count="930" uniqueCount="416">
  <si>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</si>
  <si>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</si>
  <si>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</si>
  <si>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</si>
  <si>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</si>
  <si>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</si>
  <si>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</si>
  <si>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</si>
  <si>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</si>
  <si>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</si>
  <si>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</si>
  <si>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</si>
  <si>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</si>
  <si>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</si>
  <si>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</si>
  <si>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</si>
  <si>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</si>
  <si>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</si>
  <si>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</si>
  <si>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</si>
  <si>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</si>
  <si>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</si>
  <si>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</si>
  <si>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</si>
  <si>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</si>
  <si>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</si>
  <si>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</si>
  <si>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</si>
  <si>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</si>
  <si>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</si>
  <si>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</si>
  <si>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</si>
  <si>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</si>
  <si>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</si>
  <si>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</si>
  <si>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</si>
  <si>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</si>
  <si>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</si>
  <si>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</si>
  <si>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</si>
  <si>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</si>
  <si>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</si>
  <si>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</si>
  <si>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</si>
  <si>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</si>
  <si>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</si>
  <si>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</si>
  <si>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</si>
  <si>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</si>
  <si>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</si>
  <si>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</si>
  <si>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</si>
  <si>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</si>
  <si>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</si>
  <si>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</si>
  <si>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</si>
  <si>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</si>
  <si>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</si>
  <si>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</si>
  <si>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</si>
  <si>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</si>
  <si>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</si>
  <si>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</si>
  <si>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</si>
  <si>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</si>
  <si>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</si>
  <si>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</si>
  <si>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</si>
  <si>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</si>
  <si>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</si>
  <si>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</si>
  <si>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</si>
  <si>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</si>
  <si>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</si>
  <si>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</si>
  <si>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</si>
  <si>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</si>
  <si>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</si>
  <si>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</si>
  <si>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</si>
  <si>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</si>
  <si>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</si>
  <si>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</si>
  <si>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</si>
  <si>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</si>
  <si>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</si>
  <si>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</si>
  <si>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</si>
  <si>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</si>
  <si>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</si>
  <si>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</si>
  <si>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</si>
  <si>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</si>
  <si>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</si>
  <si>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</si>
  <si>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</si>
  <si>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</si>
  <si>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</si>
  <si>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</si>
  <si>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</si>
  <si>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</si>
  <si>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</si>
  <si>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</si>
  <si>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</si>
  <si>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</si>
  <si>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</si>
  <si>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</si>
  <si>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</si>
  <si>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</si>
  <si>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</si>
  <si>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</si>
  <si>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</si>
  <si>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</si>
  <si>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</si>
  <si>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</si>
  <si>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</si>
  <si>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</si>
  <si>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</si>
  <si>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</si>
  <si>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</si>
  <si>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</si>
  <si>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</si>
  <si>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</si>
  <si>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</si>
  <si>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</si>
  <si>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</si>
  <si>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</si>
  <si>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</si>
  <si>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</si>
  <si>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</si>
  <si>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</si>
  <si>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</si>
  <si>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</si>
  <si>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</si>
  <si>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</si>
  <si>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</si>
  <si>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</si>
  <si>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</si>
  <si>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</si>
  <si>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</si>
  <si>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</si>
  <si>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</si>
  <si>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</si>
  <si>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</si>
  <si>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</si>
  <si>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</si>
  <si>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</si>
  <si>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</si>
  <si>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</si>
  <si>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</si>
  <si>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</si>
  <si>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</si>
  <si>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</si>
  <si>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</si>
  <si>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</si>
  <si>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</si>
  <si>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</si>
  <si>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</si>
  <si>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</si>
  <si>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</si>
  <si>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</si>
  <si>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</si>
  <si>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</si>
  <si>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</si>
  <si>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</si>
  <si>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</si>
  <si>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</si>
  <si>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</si>
  <si>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</si>
  <si>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</si>
  <si>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</si>
  <si>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V1_act_method</t>
  </si>
  <si>
    <t>Data_string</t>
  </si>
  <si>
    <t>"none"</t>
  </si>
  <si>
    <t>V1_DACTIVATION_METHOD</t>
  </si>
  <si>
    <t>V1_dac_method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</si>
  <si>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</si>
  <si>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</si>
  <si>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</si>
  <si>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</si>
  <si>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</si>
  <si>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V1_D001_conductance_leak</t>
  </si>
  <si>
    <t>Data_double</t>
  </si>
  <si>
    <t>V1_D001_EXCITATORY_FACTOR</t>
  </si>
  <si>
    <t>V1_D001_excitatory_factor</t>
  </si>
  <si>
    <t>V1_D001_INHIBITION_FACTOR</t>
  </si>
  <si>
    <t>V1_D001_inhibition_factor</t>
  </si>
  <si>
    <t>V1_F001_A</t>
  </si>
  <si>
    <t>V1_F001_B</t>
  </si>
  <si>
    <t>V1_F001_ORIENTATION</t>
  </si>
  <si>
    <t>V1_F001_SPATIAL_FREQUENCY</t>
  </si>
  <si>
    <t>V1_F001_TEMPORAL_FREQUENCY</t>
  </si>
  <si>
    <t>V1_F001_MAGNITUDE</t>
  </si>
  <si>
    <t>V1_F001_PHASE</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</si>
  <si>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</si>
  <si>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</si>
  <si>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</si>
  <si>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</si>
  <si>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</si>
  <si>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</si>
  <si>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</si>
  <si>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</si>
  <si>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</si>
  <si>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</si>
  <si>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</si>
  <si>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MT_act_method</t>
  </si>
  <si>
    <t>MT_DACTIVATION_METHOD</t>
  </si>
  <si>
    <t>MT_dac_method</t>
  </si>
  <si>
    <t>MT_A001</t>
  </si>
  <si>
    <t>Simulator Defines</t>
  </si>
  <si>
    <t>SIMULATOR_TIME_STEP</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</si>
  <si>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</si>
  <si>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</si>
  <si>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</si>
  <si>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</si>
  <si>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</si>
  <si>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</si>
  <si>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</si>
  <si>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</si>
  <si>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</si>
  <si>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</si>
  <si>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</si>
  <si>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</si>
  <si>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</si>
  <si>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</si>
  <si>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</si>
  <si>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</si>
  <si>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</si>
  <si>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</si>
  <si>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</si>
  <si>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</si>
  <si>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SS_INITIALIZE</t>
  </si>
  <si>
    <t>SS_ADD_V1_DIFFUSION</t>
  </si>
  <si>
    <t>SS_SIMULATE</t>
  </si>
  <si>
    <t>Reporting Calls</t>
  </si>
  <si>
    <t>PRINT_ENV</t>
  </si>
  <si>
    <t>PRINT_SIM</t>
  </si>
  <si>
    <t>SS_PRINT_V1_ACTIVATION</t>
  </si>
  <si>
    <t>SS_PRINT_V1_ACTIVATION_HORIZONTAL</t>
  </si>
  <si>
    <t>SS_PRINT_V1_EXTERNAL_EXCITATION</t>
  </si>
  <si>
    <t>SS_PRINT_MT_ACTIVATION</t>
  </si>
  <si>
    <t>SS_PRINT_MT_ACTIVATION_HORIZONTAL</t>
  </si>
  <si>
    <t>IO Interaction Calls</t>
  </si>
  <si>
    <t>NPROC</t>
  </si>
  <si>
    <t>NPROC_SILENT</t>
  </si>
  <si>
    <t>"Nproc_Silent"</t>
  </si>
  <si>
    <t>"V1_D001"</t>
  </si>
  <si>
    <t>"V1_F001"</t>
  </si>
  <si>
    <t>"MT_A001"</t>
  </si>
  <si>
    <t>LABEL_FAIL</t>
  </si>
  <si>
    <t>V1MT_CONNECTION_METHOD</t>
  </si>
  <si>
    <t>V1MT_connection_method</t>
  </si>
  <si>
    <t>V1MT_L001</t>
  </si>
  <si>
    <t>"V1MT_L001"</t>
  </si>
  <si>
    <t>V1MT_L001_APERTURE</t>
  </si>
  <si>
    <t>V1MT_L001_aperture</t>
  </si>
  <si>
    <t>V1MT_L001_AMPLIFICATION</t>
  </si>
  <si>
    <t>V1MT_L001_amplification</t>
  </si>
  <si>
    <t>V1MT_L001_SIGMA</t>
  </si>
  <si>
    <t>V1MT_L001_sigma</t>
  </si>
  <si>
    <t>V1MT_L001_MODULATION</t>
  </si>
  <si>
    <t>V1MT_L001_modulation</t>
  </si>
  <si>
    <t>V1_EXTERNAL_EXCITATION_METHOD</t>
  </si>
  <si>
    <t>V1_external_excitation_method</t>
  </si>
  <si>
    <t>S</t>
  </si>
  <si>
    <t>E</t>
  </si>
  <si>
    <t>V1_LABEL</t>
  </si>
  <si>
    <t>"V1"</t>
  </si>
  <si>
    <t>MT_LABEL</t>
  </si>
  <si>
    <t>"MT"</t>
  </si>
  <si>
    <t>NEURONS_NAME_SIZE</t>
  </si>
  <si>
    <t>NNumber(i)</t>
  </si>
  <si>
    <t>NNumber(j)</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</si>
  <si>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</si>
  <si>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</si>
  <si>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</si>
  <si>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</si>
  <si>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</si>
  <si>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</si>
  <si>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</si>
  <si>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</si>
  <si>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</si>
  <si>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</si>
  <si>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</si>
  <si>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</si>
  <si>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hide_end</t>
  </si>
  <si>
    <t>Hide DONE/FAIL interpreter result</t>
  </si>
  <si>
    <t>Main</t>
  </si>
  <si>
    <t>Secondary</t>
  </si>
  <si>
    <t>function</t>
  </si>
  <si>
    <t>SetenvCall</t>
  </si>
  <si>
    <t>SetsimCall</t>
  </si>
  <si>
    <t>RunsimCall</t>
  </si>
  <si>
    <t>ReportCall</t>
  </si>
  <si>
    <t>RescueCall</t>
  </si>
  <si>
    <t>Click this cell to update Interpretermanager.Initialize.cpp</t>
  </si>
  <si>
    <t>Simulator Settings</t>
  </si>
  <si>
    <t>Environment Settings</t>
  </si>
  <si>
    <t>Run Commands</t>
  </si>
  <si>
    <t>Reporting Commands</t>
  </si>
  <si>
    <t>I/O Interaction Commands</t>
  </si>
  <si>
    <t>Up Are Environment, Down are Simulator</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</si>
  <si>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</si>
  <si>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</si>
  <si>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</si>
  <si>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</si>
  <si>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</si>
  <si>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</si>
  <si>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</si>
  <si>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</si>
  <si>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</si>
  <si>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</si>
  <si>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</si>
  <si>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</si>
  <si>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</si>
  <si>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</si>
  <si>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</si>
  <si>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</si>
  <si>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</si>
  <si>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</si>
  <si>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</si>
  <si>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</si>
  <si>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</si>
  <si>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</si>
  <si>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</si>
  <si>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</si>
  <si>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</si>
  <si>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</si>
  <si>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</si>
  <si>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</si>
  <si>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</si>
  <si>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</si>
  <si>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</si>
  <si>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</si>
  <si>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</si>
  <si>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</si>
  <si>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</si>
  <si>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</si>
  <si>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</si>
  <si>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</si>
  <si>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</si>
  <si>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</si>
  <si>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</si>
  <si>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</si>
  <si>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</si>
  <si>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</si>
  <si>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</si>
  <si>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</si>
  <si>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</si>
  <si>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</si>
  <si>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</si>
  <si>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V1V1_connection_method</t>
  </si>
  <si>
    <t>V1V1_L001_base_weight_source</t>
  </si>
  <si>
    <t>V1V1_L001_default_weight</t>
  </si>
  <si>
    <t>Defines</t>
  </si>
  <si>
    <t>V1_FIRST_CALCULATION</t>
  </si>
  <si>
    <t>V1_first_calculation</t>
  </si>
  <si>
    <t>Variable that contains if activation or dactivation is calculated first</t>
  </si>
  <si>
    <t>MT_FIRST_CALCULATION</t>
  </si>
  <si>
    <t>MT_first_calculation</t>
  </si>
  <si>
    <t>CALCULATE_ACTIVATION</t>
  </si>
  <si>
    <t>CALCULATE_DACTIVATION</t>
  </si>
  <si>
    <t>"activation"</t>
  </si>
  <si>
    <t>"dactivation"</t>
  </si>
  <si>
    <t>V1_A001_NL_MAX</t>
  </si>
  <si>
    <t>V1_A001_NL_A</t>
  </si>
  <si>
    <t>V1_A001_NL_B</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</si>
  <si>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</si>
  <si>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</si>
  <si>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</si>
  <si>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</si>
  <si>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</si>
  <si>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</si>
  <si>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</si>
  <si>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</si>
  <si>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</si>
  <si>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</si>
  <si>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</si>
  <si>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</si>
  <si>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</si>
  <si>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</si>
  <si>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</si>
  <si>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</si>
  <si>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</si>
  <si>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</si>
  <si>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</si>
  <si>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</si>
  <si>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</si>
  <si>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A new value has overwritten the value of a previously declared variable.</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</si>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</sst>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0">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5" borderId="0" xfId="0" applyFill="1"/>
    <xf numFmtId="0" fontId="0" fillId="35" borderId="0" xfId="0" applyFill="1" applyAlignment="1">
      <alignment horizontal="center"/>
    </xf>
    <xf numFmtId="0" fontId="0" fillId="35" borderId="0" xfId="0" applyNumberFormat="1" applyFill="1" applyAlignment="1">
      <alignment horizontal="center"/>
    </xf>
    <xf numFmtId="0" fontId="0" fillId="35" borderId="0" xfId="0" applyFill="1" applyAlignment="1">
      <alignment horizontal="left"/>
    </xf>
    <xf numFmtId="0" fontId="0" fillId="36" borderId="0" xfId="0" applyFill="1"/>
    <xf numFmtId="0" fontId="0" fillId="36" borderId="0" xfId="0" applyFill="1" applyAlignment="1">
      <alignment horizontal="center"/>
    </xf>
    <xf numFmtId="0" fontId="0" fillId="36" borderId="0" xfId="0" applyNumberFormat="1" applyFill="1" applyAlignment="1">
      <alignment horizontal="center"/>
    </xf>
    <xf numFmtId="0" fontId="0" fillId="36" borderId="0" xfId="0" applyFill="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35" borderId="0" xfId="0" applyFill="1" applyAlignment="1">
      <alignment wrapText="1"/>
    </xf>
    <xf numFmtId="0" fontId="0" fillId="36" borderId="0" xfId="0" applyFill="1" applyAlignment="1">
      <alignment wrapText="1"/>
    </xf>
    <xf numFmtId="0" fontId="0" fillId="0" borderId="0" xfId="0" applyFill="1" applyAlignment="1">
      <alignment horizontal="center"/>
    </xf>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8" borderId="0" xfId="0" applyFill="1" applyAlignment="1">
      <alignment horizontal="center"/>
    </xf>
    <xf numFmtId="49" fontId="0" fillId="0" borderId="0" xfId="0" applyNumberFormat="1"/>
    <xf numFmtId="0" fontId="0" fillId="0" borderId="0" xfId="0" quotePrefix="1" applyAlignment="1">
      <alignment horizontal="left"/>
    </xf>
    <xf numFmtId="49" fontId="0" fillId="37"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8" borderId="0" xfId="0" applyFill="1"/>
    <xf numFmtId="0" fontId="0" fillId="39" borderId="0" xfId="0" applyFill="1" applyAlignment="1">
      <alignment wrapText="1"/>
    </xf>
    <xf numFmtId="0" fontId="0" fillId="39" borderId="0" xfId="0" applyFill="1" applyAlignment="1">
      <alignment horizontal="center"/>
    </xf>
    <xf numFmtId="49" fontId="0" fillId="39" borderId="0" xfId="0" applyNumberFormat="1" applyFill="1"/>
    <xf numFmtId="0" fontId="0" fillId="39" borderId="0" xfId="0" applyFill="1" applyAlignment="1">
      <alignment horizontal="left"/>
    </xf>
    <xf numFmtId="0" fontId="0" fillId="39" borderId="0" xfId="0" applyFill="1"/>
    <xf numFmtId="0" fontId="0" fillId="39" borderId="0" xfId="0" applyNumberFormat="1" applyFill="1" applyAlignment="1">
      <alignment horizontal="center"/>
    </xf>
    <xf numFmtId="0" fontId="0" fillId="39" borderId="0" xfId="0" applyNumberFormat="1" applyFill="1" applyAlignment="1">
      <alignment horizontal="left"/>
    </xf>
    <xf numFmtId="0" fontId="18" fillId="39" borderId="0" xfId="0" applyFont="1" applyFill="1" applyAlignment="1">
      <alignment wrapText="1"/>
    </xf>
    <xf numFmtId="0" fontId="18" fillId="39" borderId="0" xfId="0" applyFont="1" applyFill="1" applyAlignment="1">
      <alignment horizontal="center"/>
    </xf>
    <xf numFmtId="0" fontId="18" fillId="39" borderId="0" xfId="0" applyFont="1" applyFill="1"/>
    <xf numFmtId="0" fontId="18" fillId="39" borderId="0" xfId="0" applyFont="1" applyFill="1" applyAlignment="1">
      <alignment horizontal="left"/>
    </xf>
    <xf numFmtId="0" fontId="0" fillId="40" borderId="0" xfId="0" applyFill="1" applyAlignment="1">
      <alignment wrapText="1"/>
    </xf>
    <xf numFmtId="0" fontId="0" fillId="40" borderId="0" xfId="0" applyFill="1" applyAlignment="1">
      <alignment horizontal="center"/>
    </xf>
    <xf numFmtId="0" fontId="0" fillId="40" borderId="0" xfId="0" applyFill="1"/>
    <xf numFmtId="0" fontId="0" fillId="40" borderId="0" xfId="0" applyFill="1" applyAlignment="1">
      <alignment horizontal="left"/>
    </xf>
    <xf numFmtId="0" fontId="0" fillId="41" borderId="0" xfId="0" applyFill="1" applyAlignment="1">
      <alignment wrapText="1"/>
    </xf>
    <xf numFmtId="0" fontId="0" fillId="41" borderId="0" xfId="0" applyFill="1" applyAlignment="1">
      <alignment horizontal="center"/>
    </xf>
    <xf numFmtId="0" fontId="0" fillId="41" borderId="0" xfId="0" applyFill="1"/>
    <xf numFmtId="0" fontId="0" fillId="41" borderId="0" xfId="0" applyFill="1" applyAlignment="1">
      <alignment horizontal="left"/>
    </xf>
    <xf numFmtId="49" fontId="0" fillId="41"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9"/>
  <sheetViews>
    <sheetView zoomScaleNormal="100" workbookViewId="0">
      <pane ySplit="1" topLeftCell="A29" activePane="bottomLeft" state="frozen"/>
      <selection pane="bottomLeft"/>
    </sheetView>
  </sheetViews>
  <sheetFormatPr defaultRowHeight="15" customHeight="1" x14ac:dyDescent="0.25"/>
  <cols>
    <col min="1" max="2" width="2.85546875" style="25"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37" t="s">
        <v>386</v>
      </c>
    </row>
    <row r="2" spans="1:10" s="9" customFormat="1" ht="15" customHeight="1" x14ac:dyDescent="0.25">
      <c r="A2" s="23"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23"/>
      <c r="C2" s="10" t="s">
        <v>0</v>
      </c>
      <c r="D2" s="10" t="s">
        <v>136</v>
      </c>
      <c r="E2" s="10" t="s">
        <v>137</v>
      </c>
      <c r="F2" s="10" t="s">
        <v>138</v>
      </c>
      <c r="G2" s="11" t="s">
        <v>139</v>
      </c>
      <c r="H2" s="12" t="s">
        <v>140</v>
      </c>
      <c r="I2" s="10"/>
      <c r="J2" s="12"/>
    </row>
    <row r="3" spans="1:10" s="4" customFormat="1" ht="15" customHeight="1" x14ac:dyDescent="0.25">
      <c r="A3" s="24"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24"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36" customFormat="1" ht="15" customHeight="1" x14ac:dyDescent="0.25">
      <c r="A4" s="3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3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28" t="s">
        <v>1</v>
      </c>
      <c r="D4" s="28" t="s">
        <v>2</v>
      </c>
      <c r="E4" s="28" t="s">
        <v>3</v>
      </c>
      <c r="F4" s="28" t="s">
        <v>3</v>
      </c>
      <c r="G4" s="34">
        <v>0</v>
      </c>
      <c r="H4" s="35" t="s">
        <v>4</v>
      </c>
      <c r="I4" s="28"/>
      <c r="J4" s="35" t="s">
        <v>389</v>
      </c>
    </row>
    <row r="5" spans="1:10" s="36" customFormat="1" ht="15" customHeight="1" x14ac:dyDescent="0.25">
      <c r="A5" s="3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3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28" t="s">
        <v>5</v>
      </c>
      <c r="D5" s="28" t="s">
        <v>2</v>
      </c>
      <c r="E5" s="28" t="s">
        <v>3</v>
      </c>
      <c r="F5" s="28" t="s">
        <v>3</v>
      </c>
      <c r="G5" s="34">
        <v>0</v>
      </c>
      <c r="H5" s="35" t="s">
        <v>6</v>
      </c>
      <c r="I5" s="28"/>
      <c r="J5" s="35" t="s">
        <v>387</v>
      </c>
    </row>
    <row r="6" spans="1:10" s="36" customFormat="1" ht="15" customHeight="1" x14ac:dyDescent="0.25">
      <c r="A6" s="33" t="str">
        <f t="shared" si="0"/>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
  MessagesText.QuickPutEntry_string("IN-003", "A new value has overwritten the value of a previously declared variable.");</v>
      </c>
      <c r="B6" s="33" t="str">
        <f t="shared" si="1"/>
        <v xml:space="preserve">\subsection{IN-003}
\begin{itemize}
  \item Interface Message:\\[1em]\textbf{Redefining a previously stored setting}
  \item Development Assertion: NO
  \item Implementation Assertion: NO
  \item Runtime Assertion: NO
  \item Message Description:\\[1em]A new value has overwritten the value of a previously declared variable.
\end{itemize}
</v>
      </c>
      <c r="C6" s="28" t="s">
        <v>7</v>
      </c>
      <c r="D6" s="28" t="s">
        <v>3</v>
      </c>
      <c r="E6" s="28" t="s">
        <v>3</v>
      </c>
      <c r="F6" s="28" t="s">
        <v>3</v>
      </c>
      <c r="G6" s="34">
        <v>0</v>
      </c>
      <c r="H6" s="35" t="s">
        <v>8</v>
      </c>
      <c r="I6" s="28"/>
      <c r="J6" s="35" t="s">
        <v>388</v>
      </c>
    </row>
    <row r="7" spans="1:10" s="36" customFormat="1" ht="15" customHeight="1" x14ac:dyDescent="0.25">
      <c r="A7" s="3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7" s="3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7" s="28" t="s">
        <v>9</v>
      </c>
      <c r="D7" s="28" t="s">
        <v>2</v>
      </c>
      <c r="E7" s="28" t="s">
        <v>3</v>
      </c>
      <c r="F7" s="28" t="s">
        <v>3</v>
      </c>
      <c r="G7" s="34">
        <v>0</v>
      </c>
      <c r="H7" s="35" t="s">
        <v>392</v>
      </c>
      <c r="I7" s="28"/>
      <c r="J7" s="35" t="s">
        <v>390</v>
      </c>
    </row>
    <row r="8" spans="1:10" s="36" customFormat="1" ht="15" customHeight="1" x14ac:dyDescent="0.25">
      <c r="A8" s="3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8" s="3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8" s="28" t="s">
        <v>10</v>
      </c>
      <c r="D8" s="28" t="s">
        <v>3</v>
      </c>
      <c r="E8" s="28" t="s">
        <v>3</v>
      </c>
      <c r="F8" s="28" t="s">
        <v>3</v>
      </c>
      <c r="G8" s="34">
        <v>0</v>
      </c>
      <c r="H8" s="35" t="s">
        <v>393</v>
      </c>
      <c r="I8" s="28"/>
      <c r="J8" s="35" t="s">
        <v>391</v>
      </c>
    </row>
    <row r="9" spans="1:10" s="36" customFormat="1" ht="15" customHeight="1" x14ac:dyDescent="0.25">
      <c r="A9" s="33" t="str">
        <f t="shared" ref="A9" si="2">IF(C9&lt;&gt;"",IF(C9="#","  // "&amp;H9,
"  MessagesDevelopmentAssert.QuickPutEntry_bool("""&amp;C9&amp;""", "&amp;IF(D9="F","false",IF(D9="T","true","ERROR"))&amp;");"&amp;CHAR(10)&amp;
"  MessagesImplementationAssert.QuickPutEntry_bool("""&amp;C9&amp;""", "&amp;IF(E9="F","false",IF(E9="T","true","ERROR"))&amp;");"&amp;CHAR(10)&amp;
"  MessagesRuntimeAssert.QuickPutEntry_bool("""&amp;C9&amp;""", "&amp;IF(F9="F","false",IF(F9="T","true","ERROR"))&amp;");"&amp;CHAR(10)&amp;
"  MessagesDisabling.QuickPutEntry_int("""&amp;C9&amp;""", "&amp;G9&amp;");"&amp; CHAR(10) &amp;
"  MessagesCount.QuickPutEntry_int("""&amp;C9&amp;""", 0);"&amp;CHAR(10)&amp;
"  MessagesLabel.QuickPutEntry_string("""&amp;C9&amp;""","""&amp;H9&amp;""");"&amp;
IF(J9&lt;&gt;"",CHAR(10) &amp; "  MessagesText.QuickPutEntry_string("""&amp;C9&amp;""", """&amp;SUBSTITUTE(J9,"""","\""")&amp;""");","")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9" s="33" t="str">
        <f t="shared" ref="B9" si="3">IF(C9&lt;&gt;"",IF(C9="#","\section{"&amp;H9&amp;"}" &amp; CHAR(10),
"\subsection{" &amp; C9 &amp; "}" &amp; CHAR(10) &amp; "\begin{itemize}" &amp; CHAR(10) &amp;
"  \item Interface Message:\\[1em]\textbf{" &amp; SUBSTITUTE(H9,"_","\_") &amp; "}" &amp; CHAR(10) &amp;
"  \item Development Assertion: " &amp; IF(D9="F","NO",IF(D9="T","YES","ERROR")) &amp; CHAR(10) &amp;
"  \item Implementation Assertion: " &amp; IF(E9="F","NO",IF(E9="T","YES","ERROR")) &amp; CHAR(10) &amp;
"  \item Runtime Assertion: " &amp; IF(F9="F","NO",IF(F9="T","YES","ERROR")) &amp; CHAR(10) &amp;
IF(J9&lt;&gt;"","  \item Message Description:\\[1em]"&amp; SUBSTITUTE(J9,"_","\_")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9" s="28" t="s">
        <v>302</v>
      </c>
      <c r="D9" s="28" t="s">
        <v>3</v>
      </c>
      <c r="E9" s="28" t="s">
        <v>3</v>
      </c>
      <c r="F9" s="28" t="s">
        <v>3</v>
      </c>
      <c r="G9" s="34">
        <v>0</v>
      </c>
      <c r="H9" s="35" t="s">
        <v>304</v>
      </c>
      <c r="I9" s="28"/>
      <c r="J9" s="35" t="s">
        <v>394</v>
      </c>
    </row>
    <row r="10" spans="1:10" s="36" customFormat="1" ht="15" customHeight="1" x14ac:dyDescent="0.25">
      <c r="A10" s="3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10" s="3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10" s="28" t="s">
        <v>11</v>
      </c>
      <c r="D10" s="28" t="s">
        <v>3</v>
      </c>
      <c r="E10" s="28" t="s">
        <v>3</v>
      </c>
      <c r="F10" s="28" t="s">
        <v>3</v>
      </c>
      <c r="G10" s="34">
        <v>0</v>
      </c>
      <c r="H10" s="35" t="s">
        <v>12</v>
      </c>
      <c r="I10" s="28"/>
      <c r="J10" s="35" t="s">
        <v>395</v>
      </c>
    </row>
    <row r="11" spans="1:10" s="36" customFormat="1" ht="15" customHeight="1" x14ac:dyDescent="0.25">
      <c r="A11" s="3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3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28" t="s">
        <v>13</v>
      </c>
      <c r="D11" s="28" t="s">
        <v>3</v>
      </c>
      <c r="E11" s="28" t="s">
        <v>3</v>
      </c>
      <c r="F11" s="28" t="s">
        <v>3</v>
      </c>
      <c r="G11" s="34">
        <v>0</v>
      </c>
      <c r="H11" s="35" t="s">
        <v>396</v>
      </c>
      <c r="I11" s="28"/>
      <c r="J11" s="35" t="s">
        <v>397</v>
      </c>
    </row>
    <row r="12" spans="1:10" s="4" customFormat="1" ht="15" customHeight="1" x14ac:dyDescent="0.25">
      <c r="A12" s="24" t="str">
        <f t="shared" si="0"/>
        <v xml:space="preserve">  // Command Line Issues</v>
      </c>
      <c r="B12" s="24" t="str">
        <f t="shared" si="1"/>
        <v xml:space="preserve">\section{Command Line Issues}
</v>
      </c>
      <c r="C12" s="5" t="s">
        <v>0</v>
      </c>
      <c r="E12" s="5"/>
      <c r="F12" s="5"/>
      <c r="G12" s="8"/>
      <c r="H12" s="6" t="s">
        <v>14</v>
      </c>
      <c r="I12" s="5"/>
      <c r="J12" s="6"/>
    </row>
    <row r="13" spans="1:10" s="36" customFormat="1" ht="15" customHeight="1" x14ac:dyDescent="0.25">
      <c r="A13" s="3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3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28" t="s">
        <v>15</v>
      </c>
      <c r="D13" s="28" t="s">
        <v>3</v>
      </c>
      <c r="E13" s="28" t="s">
        <v>3</v>
      </c>
      <c r="F13" s="28" t="s">
        <v>2</v>
      </c>
      <c r="G13" s="34">
        <v>0</v>
      </c>
      <c r="H13" s="35" t="s">
        <v>16</v>
      </c>
      <c r="I13" s="28"/>
      <c r="J13" s="35" t="s">
        <v>398</v>
      </c>
    </row>
    <row r="14" spans="1:10" s="36" customFormat="1" ht="15" customHeight="1" x14ac:dyDescent="0.25">
      <c r="A14" s="3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3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28" t="s">
        <v>17</v>
      </c>
      <c r="D14" s="28" t="s">
        <v>3</v>
      </c>
      <c r="E14" s="28" t="s">
        <v>3</v>
      </c>
      <c r="F14" s="28" t="s">
        <v>2</v>
      </c>
      <c r="G14" s="34">
        <v>0</v>
      </c>
      <c r="H14" s="35" t="s">
        <v>18</v>
      </c>
      <c r="I14" s="28"/>
      <c r="J14" s="35" t="s">
        <v>399</v>
      </c>
    </row>
    <row r="15" spans="1:10" s="36" customFormat="1" ht="15" customHeight="1" x14ac:dyDescent="0.25">
      <c r="A15" s="3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3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28" t="s">
        <v>19</v>
      </c>
      <c r="D15" s="28" t="s">
        <v>3</v>
      </c>
      <c r="E15" s="28" t="s">
        <v>3</v>
      </c>
      <c r="F15" s="28" t="s">
        <v>3</v>
      </c>
      <c r="G15" s="34">
        <v>0</v>
      </c>
      <c r="H15" s="35" t="s">
        <v>20</v>
      </c>
      <c r="I15" s="28"/>
      <c r="J15" s="35" t="s">
        <v>400</v>
      </c>
    </row>
    <row r="16" spans="1:10" s="36" customFormat="1" ht="15" customHeight="1" x14ac:dyDescent="0.25">
      <c r="A16" s="3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3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28" t="s">
        <v>21</v>
      </c>
      <c r="D16" s="28" t="s">
        <v>3</v>
      </c>
      <c r="E16" s="28" t="s">
        <v>3</v>
      </c>
      <c r="F16" s="28" t="s">
        <v>2</v>
      </c>
      <c r="G16" s="34">
        <v>0</v>
      </c>
      <c r="H16" s="35" t="s">
        <v>22</v>
      </c>
      <c r="I16" s="28"/>
      <c r="J16" s="35" t="s">
        <v>401</v>
      </c>
    </row>
    <row r="17" spans="1:10" s="36" customFormat="1" ht="15" customHeight="1" x14ac:dyDescent="0.25">
      <c r="A17" s="3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3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28" t="s">
        <v>23</v>
      </c>
      <c r="D17" s="28" t="s">
        <v>3</v>
      </c>
      <c r="E17" s="28" t="s">
        <v>3</v>
      </c>
      <c r="F17" s="28" t="s">
        <v>2</v>
      </c>
      <c r="G17" s="34">
        <v>0</v>
      </c>
      <c r="H17" s="35" t="s">
        <v>24</v>
      </c>
      <c r="I17" s="28"/>
      <c r="J17" s="35" t="s">
        <v>402</v>
      </c>
    </row>
    <row r="18" spans="1:10" s="4" customFormat="1" ht="15" customHeight="1" x14ac:dyDescent="0.25">
      <c r="A18" s="24" t="str">
        <f t="shared" si="0"/>
        <v xml:space="preserve">  // File IO Issues</v>
      </c>
      <c r="B18" s="24" t="str">
        <f t="shared" si="1"/>
        <v xml:space="preserve">\section{File IO Issues}
</v>
      </c>
      <c r="C18" s="5" t="s">
        <v>0</v>
      </c>
      <c r="E18" s="5"/>
      <c r="F18" s="5"/>
      <c r="G18" s="8"/>
      <c r="H18" s="6" t="s">
        <v>25</v>
      </c>
      <c r="I18" s="5"/>
      <c r="J18" s="6"/>
    </row>
    <row r="19" spans="1:10" ht="15" customHeight="1" x14ac:dyDescent="0.25">
      <c r="A19" s="25"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25"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403</v>
      </c>
      <c r="J19" s="13" t="s">
        <v>404</v>
      </c>
    </row>
    <row r="20" spans="1:10" ht="15" customHeight="1" x14ac:dyDescent="0.25">
      <c r="A20" s="25"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25"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405</v>
      </c>
      <c r="J20" s="13" t="s">
        <v>406</v>
      </c>
    </row>
    <row r="21" spans="1:10" ht="15" customHeight="1" x14ac:dyDescent="0.25">
      <c r="A21" s="25"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25"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407</v>
      </c>
    </row>
    <row r="22" spans="1:10" ht="15" customHeight="1" x14ac:dyDescent="0.25">
      <c r="A22" s="25"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25"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408</v>
      </c>
    </row>
    <row r="23" spans="1:10" ht="15" customHeight="1" x14ac:dyDescent="0.25">
      <c r="A23" s="25"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25"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409</v>
      </c>
    </row>
    <row r="24" spans="1:10" ht="15" customHeight="1" x14ac:dyDescent="0.25">
      <c r="A24" s="25"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25"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410</v>
      </c>
    </row>
    <row r="25" spans="1:10" ht="15" customHeight="1" x14ac:dyDescent="0.25">
      <c r="A25" s="25"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25"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414</v>
      </c>
    </row>
    <row r="26" spans="1:10" ht="15" customHeight="1" x14ac:dyDescent="0.25">
      <c r="A26" s="25"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25"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411</v>
      </c>
      <c r="J26" s="13" t="s">
        <v>412</v>
      </c>
    </row>
    <row r="27" spans="1:10" ht="15" customHeight="1" x14ac:dyDescent="0.25">
      <c r="A27" s="25"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25"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413</v>
      </c>
    </row>
    <row r="28" spans="1:10" ht="15" customHeight="1" x14ac:dyDescent="0.25">
      <c r="A28" s="25"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25"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415</v>
      </c>
    </row>
    <row r="29" spans="1:10" s="4" customFormat="1" ht="15" customHeight="1" x14ac:dyDescent="0.25">
      <c r="A29" s="24" t="str">
        <f t="shared" si="0"/>
        <v xml:space="preserve">  // Implementation Issues</v>
      </c>
      <c r="B29" s="24" t="str">
        <f t="shared" si="1"/>
        <v xml:space="preserve">\section{Implementation Issues}
</v>
      </c>
      <c r="C29" s="5" t="s">
        <v>0</v>
      </c>
      <c r="E29" s="5"/>
      <c r="F29" s="5"/>
      <c r="G29" s="8"/>
      <c r="H29" s="6" t="s">
        <v>41</v>
      </c>
      <c r="I29" s="5"/>
      <c r="J29" s="6"/>
    </row>
    <row r="30" spans="1:10" ht="15" customHeight="1" x14ac:dyDescent="0.25">
      <c r="A30" s="25"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25"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25"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25"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25"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25"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25"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25"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273</v>
      </c>
    </row>
    <row r="34" spans="1:10" ht="15" customHeight="1" x14ac:dyDescent="0.25">
      <c r="A34" s="25"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25"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25"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25"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25"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6" s="25" t="str">
        <f t="shared" si="1"/>
        <v xml:space="preserve">\subsection{DV-012}
\begin{itemize}
  \item Interface Message:\\[1em]\textbf{Trying a quick access of incorrect type}
  \item Development Assertion: NO
  \item Implementation Assertion: YES
  \item Runtime Assertion: NO
\end{itemize}
</v>
      </c>
      <c r="C36" s="1" t="s">
        <v>53</v>
      </c>
      <c r="D36" s="1" t="s">
        <v>3</v>
      </c>
      <c r="E36" s="1" t="s">
        <v>2</v>
      </c>
      <c r="F36" s="1" t="s">
        <v>3</v>
      </c>
      <c r="G36" s="3">
        <v>0</v>
      </c>
      <c r="H36" s="13" t="s">
        <v>54</v>
      </c>
    </row>
    <row r="37" spans="1:10" ht="15" customHeight="1" x14ac:dyDescent="0.25">
      <c r="A37" s="25"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7" s="25" t="str">
        <f t="shared" si="1"/>
        <v xml:space="preserve">\subsection{DV-013}
\begin{itemize}
  \item Interface Message:\\[1em]\textbf{Hash Table Full}
  \item Development Assertion: NO
  \item Implementation Assertion: YES
  \item Runtime Assertion: NO
\end{itemize}
</v>
      </c>
      <c r="C37" s="1" t="s">
        <v>55</v>
      </c>
      <c r="D37" s="1" t="s">
        <v>3</v>
      </c>
      <c r="E37" s="1" t="s">
        <v>2</v>
      </c>
      <c r="F37" s="1" t="s">
        <v>3</v>
      </c>
      <c r="G37" s="3">
        <v>0</v>
      </c>
      <c r="H37" s="13" t="s">
        <v>56</v>
      </c>
    </row>
    <row r="38" spans="1:10" ht="15" customHeight="1" x14ac:dyDescent="0.25">
      <c r="A38" s="25"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8" s="25" t="str">
        <f t="shared" si="1"/>
        <v xml:space="preserve">\subsection{DV-015}
\begin{itemize}
  \item Interface Message:\\[1em]\textbf{Setting declared but hasn't been initialized}
  \item Development Assertion: NO
  \item Implementation Assertion: YES
  \item Runtime Assertion: NO
\end{itemize}
</v>
      </c>
      <c r="C38" s="1" t="s">
        <v>57</v>
      </c>
      <c r="D38" s="1" t="s">
        <v>3</v>
      </c>
      <c r="E38" s="1" t="s">
        <v>2</v>
      </c>
      <c r="F38" s="1" t="s">
        <v>3</v>
      </c>
      <c r="G38" s="3">
        <v>0</v>
      </c>
      <c r="H38" s="13" t="s">
        <v>58</v>
      </c>
    </row>
    <row r="39" spans="1:10" ht="15" customHeight="1" x14ac:dyDescent="0.25">
      <c r="A39" s="25"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39" s="25" t="str">
        <f t="shared" si="1"/>
        <v xml:space="preserve">\subsection{DV-017}
\begin{itemize}
  \item Interface Message:\\[1em]\textbf{Discrepancy on neuron type on assignment}
  \item Development Assertion: NO
  \item Implementation Assertion: YES
  \item Runtime Assertion: NO
\end{itemize}
</v>
      </c>
      <c r="C39" s="1" t="s">
        <v>59</v>
      </c>
      <c r="D39" s="1" t="s">
        <v>3</v>
      </c>
      <c r="E39" s="1" t="s">
        <v>2</v>
      </c>
      <c r="F39" s="1" t="s">
        <v>3</v>
      </c>
      <c r="G39" s="3">
        <v>0</v>
      </c>
      <c r="H39" s="13" t="s">
        <v>60</v>
      </c>
    </row>
    <row r="40" spans="1:10" ht="15" customHeight="1" x14ac:dyDescent="0.25">
      <c r="A40" s="25"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0" s="25" t="str">
        <f t="shared" si="1"/>
        <v xml:space="preserve">\subsection{DV-018}
\begin{itemize}
  \item Interface Message:\\[1em]\textbf{Trying to quick retrieve un-existent value}
  \item Development Assertion: NO
  \item Implementation Assertion: YES
  \item Runtime Assertion: NO
\end{itemize}
</v>
      </c>
      <c r="C40" s="1" t="s">
        <v>61</v>
      </c>
      <c r="D40" s="1" t="s">
        <v>3</v>
      </c>
      <c r="E40" s="1" t="s">
        <v>2</v>
      </c>
      <c r="F40" s="1" t="s">
        <v>3</v>
      </c>
      <c r="G40" s="3">
        <v>0</v>
      </c>
      <c r="H40" s="13" t="s">
        <v>62</v>
      </c>
    </row>
    <row r="41" spans="1:10" ht="15" customHeight="1" x14ac:dyDescent="0.25">
      <c r="A41" s="25"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1" s="25" t="str">
        <f t="shared" si="1"/>
        <v xml:space="preserve">\subsection{SD-030}
\begin{itemize}
  \item Interface Message:\\[1em]\textbf{Internal simulation pointer corruption}
  \item Development Assertion: NO
  \item Implementation Assertion: YES
  \item Runtime Assertion: NO
\end{itemize}
</v>
      </c>
      <c r="C41" s="1" t="s">
        <v>114</v>
      </c>
      <c r="D41" s="1" t="s">
        <v>3</v>
      </c>
      <c r="E41" s="1" t="s">
        <v>2</v>
      </c>
      <c r="F41" s="1" t="s">
        <v>3</v>
      </c>
      <c r="G41" s="3">
        <v>0</v>
      </c>
      <c r="H41" s="13" t="s">
        <v>115</v>
      </c>
    </row>
    <row r="42" spans="1:10" ht="15" customHeight="1" x14ac:dyDescent="0.25">
      <c r="A42" s="25"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2" s="25" t="str">
        <f t="shared" si="1"/>
        <v xml:space="preserve">\subsection{SD-031}
\begin{itemize}
  \item Interface Message:\\[1em]\textbf{Trying to compare 2 identical MT cells}
  \item Development Assertion: NO
  \item Implementation Assertion: YES
  \item Runtime Assertion: NO
\end{itemize}
</v>
      </c>
      <c r="C42" s="1" t="s">
        <v>116</v>
      </c>
      <c r="D42" s="1" t="s">
        <v>3</v>
      </c>
      <c r="E42" s="1" t="s">
        <v>2</v>
      </c>
      <c r="F42" s="1" t="s">
        <v>3</v>
      </c>
      <c r="G42" s="3">
        <v>0</v>
      </c>
      <c r="H42" s="13" t="s">
        <v>117</v>
      </c>
    </row>
    <row r="43" spans="1:10" ht="15" customHeight="1" x14ac:dyDescent="0.25">
      <c r="A43" s="25" t="str">
        <f t="shared" ref="A43" si="4">IF(C43&lt;&gt;"",IF(C43="#","  // "&amp;H43,
"  MessagesDevelopmentAssert.QuickPutEntry_bool("""&amp;C43&amp;""", "&amp;IF(D43="F","false",IF(D43="T","true","ERROR"))&amp;");"&amp;CHAR(10)&amp;
"  MessagesImplementationAssert.QuickPutEntry_bool("""&amp;C43&amp;""", "&amp;IF(E43="F","false",IF(E43="T","true","ERROR"))&amp;");"&amp;CHAR(10)&amp;
"  MessagesRuntimeAssert.QuickPutEntry_bool("""&amp;C43&amp;""", "&amp;IF(F43="F","false",IF(F43="T","true","ERROR"))&amp;");"&amp;CHAR(10)&amp;
"  MessagesDisabling.QuickPutEntry_int("""&amp;C43&amp;""", "&amp;G43&amp;");"&amp; CHAR(10) &amp;
"  MessagesCount.QuickPutEntry_int("""&amp;C43&amp;""", 0);"&amp;CHAR(10)&amp;
"  MessagesLabel.QuickPutEntry_string("""&amp;C43&amp;""","""&amp;H43&amp;""");"&amp;
IF(J43&lt;&gt;"",CHAR(10) &amp; "  MessagesText.QuickPutEntry_string("""&amp;C43&amp;""", """&amp;SUBSTITUTE(J43,"""","\""")&amp;""");","")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3" s="25" t="str">
        <f t="shared" ref="B43" si="5">IF(C43&lt;&gt;"",IF(C43="#","\section{"&amp;H43&amp;"}" &amp; CHAR(10),
"\subsection{" &amp; C43 &amp; "}" &amp; CHAR(10) &amp; "\begin{itemize}" &amp; CHAR(10) &amp;
"  \item Interface Message:\\[1em]\textbf{" &amp; SUBSTITUTE(H43,"_","\_") &amp; "}" &amp; CHAR(10) &amp;
"  \item Development Assertion: " &amp; IF(D43="F","NO",IF(D43="T","YES","ERROR")) &amp; CHAR(10) &amp;
"  \item Implementation Assertion: " &amp; IF(E43="F","NO",IF(E43="T","YES","ERROR")) &amp; CHAR(10) &amp;
"  \item Runtime Assertion: " &amp; IF(F43="F","NO",IF(F43="T","YES","ERROR")) &amp; CHAR(10) &amp;
IF(J43&lt;&gt;"","  \item Message Description:\\[1em]"&amp; SUBSTITUTE(J43,"_","\_")  &amp;CHAR(10),"") &amp;
"\end{itemize}"&amp;CHAR(10)),"")</f>
        <v xml:space="preserve">\subsection{SD-032}
\begin{itemize}
  \item Interface Message:\\[1em]\textbf{Empty pointer to function entry}
  \item Development Assertion: NO
  \item Implementation Assertion: YES
  \item Runtime Assertion: NO
\end{itemize}
</v>
      </c>
      <c r="C43" s="1" t="s">
        <v>282</v>
      </c>
      <c r="D43" s="1" t="s">
        <v>3</v>
      </c>
      <c r="E43" s="1" t="s">
        <v>2</v>
      </c>
      <c r="F43" s="1" t="s">
        <v>3</v>
      </c>
      <c r="G43" s="3">
        <v>0</v>
      </c>
      <c r="H43" s="13" t="s">
        <v>283</v>
      </c>
    </row>
    <row r="44" spans="1:10" s="4" customFormat="1" ht="15" customHeight="1" x14ac:dyDescent="0.25">
      <c r="A44" s="24" t="str">
        <f t="shared" si="0"/>
        <v xml:space="preserve">  // Reporting Issues</v>
      </c>
      <c r="B44" s="24" t="str">
        <f t="shared" si="1"/>
        <v xml:space="preserve">\section{Reporting Issues}
</v>
      </c>
      <c r="C44" s="5" t="s">
        <v>0</v>
      </c>
      <c r="E44" s="5"/>
      <c r="F44" s="5"/>
      <c r="G44" s="8"/>
      <c r="H44" s="6" t="s">
        <v>63</v>
      </c>
      <c r="I44" s="5"/>
      <c r="J44" s="6"/>
    </row>
    <row r="45" spans="1:10" ht="15" customHeight="1" x14ac:dyDescent="0.25">
      <c r="A45" s="25" t="str">
        <f t="shared" si="0"/>
        <v xml:space="preserve">  MessagesDevelopmentAssert.QuickPutEntry_bool("RP-001", false);
  MessagesImplementationAssert.QuickPutEntry_bool("RP-001", true);
  MessagesRuntimeAssert.QuickPutEntry_bool("RP-001", false);
  MessagesDisabling.QuickPutEntry_int("RP-001", 0);
  MessagesCount.QuickPutEntry_int("RP-001", 0);
  MessagesLabel.QuickPutEntry_string("RP-001","Trying to open an already opened stream");</v>
      </c>
      <c r="B45" s="25" t="str">
        <f t="shared" si="1"/>
        <v xml:space="preserve">\subsection{RP-001}
\begin{itemize}
  \item Interface Message:\\[1em]\textbf{Trying to open an already opened stream}
  \item Development Assertion: NO
  \item Implementation Assertion: YES
  \item Runtime Assertion: NO
\end{itemize}
</v>
      </c>
      <c r="C45" s="1" t="s">
        <v>64</v>
      </c>
      <c r="D45" s="1" t="s">
        <v>3</v>
      </c>
      <c r="E45" s="1" t="s">
        <v>2</v>
      </c>
      <c r="F45" s="1" t="s">
        <v>3</v>
      </c>
      <c r="G45" s="3">
        <v>0</v>
      </c>
      <c r="H45" s="13" t="s">
        <v>65</v>
      </c>
      <c r="I45" s="3"/>
    </row>
    <row r="46" spans="1:10" ht="15" customHeight="1" x14ac:dyDescent="0.25">
      <c r="A46" s="25" t="str">
        <f t="shared" si="0"/>
        <v xml:space="preserve">  MessagesDevelopmentAssert.QuickPutEntry_bool("RP-002", false);
  MessagesImplementationAssert.QuickPutEntry_bool("RP-002", true);
  MessagesRuntimeAssert.QuickPutEntry_bool("RP-002", false);
  MessagesDisabling.QuickPutEntry_int("RP-002", 0);
  MessagesCount.QuickPutEntry_int("RP-002", 0);
  MessagesLabel.QuickPutEntry_string("RP-002","Trying to close a non opened stream");</v>
      </c>
      <c r="B46" s="25" t="str">
        <f t="shared" si="1"/>
        <v xml:space="preserve">\subsection{RP-002}
\begin{itemize}
  \item Interface Message:\\[1em]\textbf{Trying to close a non opened stream}
  \item Development Assertion: NO
  \item Implementation Assertion: YES
  \item Runtime Assertion: NO
\end{itemize}
</v>
      </c>
      <c r="C46" s="1" t="s">
        <v>66</v>
      </c>
      <c r="D46" s="1" t="s">
        <v>3</v>
      </c>
      <c r="E46" s="1" t="s">
        <v>2</v>
      </c>
      <c r="F46" s="1" t="s">
        <v>3</v>
      </c>
      <c r="G46" s="3">
        <v>0</v>
      </c>
      <c r="H46" s="13" t="s">
        <v>67</v>
      </c>
      <c r="I46" s="3"/>
    </row>
    <row r="47" spans="1:10" ht="15" customHeight="1" x14ac:dyDescent="0.25">
      <c r="A47" s="25" t="str">
        <f t="shared" ref="A47" si="6">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true);
  MessagesRuntimeAssert.QuickPutEntry_bool("RP-003", false);
  MessagesDisabling.QuickPutEntry_int("RP-003", 0);
  MessagesCount.QuickPutEntry_int("RP-003", 0);
  MessagesLabel.QuickPutEntry_string("RP-003","Stream didn't oppened correctly");</v>
      </c>
      <c r="B47" s="25" t="str">
        <f t="shared" ref="B47" si="7">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YES
  \item Runtime Assertion: NO
\end{itemize}
</v>
      </c>
      <c r="C47" s="1" t="s">
        <v>316</v>
      </c>
      <c r="D47" s="1" t="s">
        <v>3</v>
      </c>
      <c r="E47" s="1" t="s">
        <v>2</v>
      </c>
      <c r="F47" s="1" t="s">
        <v>3</v>
      </c>
      <c r="G47" s="3">
        <v>0</v>
      </c>
      <c r="H47" s="13" t="s">
        <v>317</v>
      </c>
      <c r="I47" s="3"/>
    </row>
    <row r="48" spans="1:10" s="4" customFormat="1" ht="15" customHeight="1" x14ac:dyDescent="0.25">
      <c r="A48" s="24" t="str">
        <f t="shared" si="0"/>
        <v xml:space="preserve">  // Simulator Interface Issues</v>
      </c>
      <c r="B48" s="24" t="str">
        <f t="shared" si="1"/>
        <v xml:space="preserve">\section{Simulator Interface Issues}
</v>
      </c>
      <c r="C48" s="5" t="s">
        <v>0</v>
      </c>
      <c r="E48" s="5"/>
      <c r="F48" s="5"/>
      <c r="G48" s="8"/>
      <c r="H48" s="6" t="s">
        <v>68</v>
      </c>
      <c r="I48" s="5"/>
      <c r="J48" s="6"/>
    </row>
    <row r="49" spans="1:10" ht="15" customHeight="1" x14ac:dyDescent="0.25">
      <c r="A49" s="25"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25"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25"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25"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25"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25"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25"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25"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25"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25"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25"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25"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25"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25"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25"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25"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25"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25"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25"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25"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24" t="str">
        <f t="shared" si="0"/>
        <v xml:space="preserve">  // Warnings</v>
      </c>
      <c r="B59" s="24" t="str">
        <f t="shared" si="1"/>
        <v xml:space="preserve">\section{Warnings}
</v>
      </c>
      <c r="C59" s="5" t="s">
        <v>0</v>
      </c>
      <c r="E59" s="5"/>
      <c r="F59" s="5"/>
      <c r="G59" s="8"/>
      <c r="H59" s="6" t="s">
        <v>124</v>
      </c>
      <c r="I59" s="5"/>
      <c r="J59" s="6"/>
    </row>
    <row r="60" spans="1:10" ht="15" customHeight="1" x14ac:dyDescent="0.25">
      <c r="A60" s="25"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25"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275</v>
      </c>
    </row>
    <row r="61" spans="1:10" s="48" customFormat="1" ht="15" customHeight="1" x14ac:dyDescent="0.25">
      <c r="A61" s="44"/>
      <c r="B61" s="44"/>
      <c r="C61" s="45"/>
      <c r="D61" s="45"/>
      <c r="E61" s="45"/>
      <c r="F61" s="45"/>
      <c r="G61" s="49"/>
      <c r="H61" s="50"/>
      <c r="I61" s="45"/>
      <c r="J61" s="47"/>
    </row>
    <row r="62" spans="1:10" s="4" customFormat="1" ht="15" customHeight="1" x14ac:dyDescent="0.25">
      <c r="A62" s="24" t="str">
        <f t="shared" si="0"/>
        <v xml:space="preserve">  // Deprecated Messages</v>
      </c>
      <c r="B62" s="24" t="str">
        <f t="shared" si="1"/>
        <v xml:space="preserve">\section{Deprecated Messages}
</v>
      </c>
      <c r="C62" s="5" t="s">
        <v>0</v>
      </c>
      <c r="E62" s="5"/>
      <c r="F62" s="5"/>
      <c r="G62" s="8"/>
      <c r="H62" s="6" t="s">
        <v>280</v>
      </c>
      <c r="I62" s="5"/>
      <c r="J62" s="6"/>
    </row>
    <row r="63" spans="1:10" ht="15" customHeight="1" x14ac:dyDescent="0.25">
      <c r="A63" s="25"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25"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c r="I63" s="1" t="s">
        <v>136</v>
      </c>
    </row>
    <row r="64" spans="1:10" ht="15" customHeight="1" x14ac:dyDescent="0.25">
      <c r="A64" s="25"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25"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c r="I64" s="1" t="s">
        <v>136</v>
      </c>
    </row>
    <row r="65" spans="1:10" ht="15" customHeight="1" x14ac:dyDescent="0.25">
      <c r="A65" s="25"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25"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c r="I65" s="1" t="s">
        <v>136</v>
      </c>
    </row>
    <row r="66" spans="1:10" ht="15" customHeight="1" x14ac:dyDescent="0.25">
      <c r="A66" s="25"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25"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c r="I66" s="1" t="s">
        <v>136</v>
      </c>
    </row>
    <row r="67" spans="1:10" ht="15" customHeight="1" x14ac:dyDescent="0.25">
      <c r="A67" s="25"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25"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c r="I67" s="1" t="s">
        <v>136</v>
      </c>
    </row>
    <row r="68" spans="1:10" ht="15" customHeight="1" x14ac:dyDescent="0.25">
      <c r="A68" s="25"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25"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c r="I68" s="1" t="s">
        <v>136</v>
      </c>
    </row>
    <row r="69" spans="1:10" s="19" customFormat="1" ht="15" customHeight="1" x14ac:dyDescent="0.25">
      <c r="A69" s="27"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7" t="str">
        <f t="shared" si="1"/>
        <v xml:space="preserve">\subsection{SD-020}
\begin{itemize}
  \item Interface Message:\\[1em]\textbf{V1V1\_default\_weight is required for calculation}
  \item Development Assertion: NO
  \item Implementation Assertion: NO
  \item Runtime Assertion: YES
\end{itemize}
</v>
      </c>
      <c r="C69" s="20" t="s">
        <v>102</v>
      </c>
      <c r="D69" s="20" t="s">
        <v>3</v>
      </c>
      <c r="E69" s="20" t="s">
        <v>3</v>
      </c>
      <c r="F69" s="20" t="s">
        <v>2</v>
      </c>
      <c r="G69" s="21">
        <v>0</v>
      </c>
      <c r="H69" s="22" t="s">
        <v>103</v>
      </c>
      <c r="I69" s="20" t="s">
        <v>136</v>
      </c>
      <c r="J69" s="22"/>
    </row>
    <row r="70" spans="1:10" s="19" customFormat="1" ht="15" customHeight="1" x14ac:dyDescent="0.25">
      <c r="A70" s="27"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7" t="str">
        <f t="shared" si="1"/>
        <v xml:space="preserve">\subsection{SD-010}
\begin{itemize}
  \item Interface Message:\\[1em]\textbf{V1MT\_sigma is required for calculation}
  \item Development Assertion: NO
  \item Implementation Assertion: NO
  \item Runtime Assertion: YES
\end{itemize}
</v>
      </c>
      <c r="C70" s="20" t="s">
        <v>85</v>
      </c>
      <c r="D70" s="20" t="s">
        <v>3</v>
      </c>
      <c r="E70" s="20" t="s">
        <v>3</v>
      </c>
      <c r="F70" s="20" t="s">
        <v>2</v>
      </c>
      <c r="G70" s="21">
        <v>0</v>
      </c>
      <c r="H70" s="22" t="s">
        <v>86</v>
      </c>
      <c r="I70" s="20" t="s">
        <v>136</v>
      </c>
      <c r="J70" s="22"/>
    </row>
    <row r="71" spans="1:10" s="19" customFormat="1" ht="15" customHeight="1" x14ac:dyDescent="0.25">
      <c r="A71" s="27"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7" t="str">
        <f t="shared" si="1"/>
        <v xml:space="preserve">\subsection{SD-011}
\begin{itemize}
  \item Interface Message:\\[1em]\textbf{V1MT\_amplification is required for calculation}
  \item Development Assertion: NO
  \item Implementation Assertion: NO
  \item Runtime Assertion: YES
\end{itemize}
</v>
      </c>
      <c r="C71" s="20" t="s">
        <v>87</v>
      </c>
      <c r="D71" s="20" t="s">
        <v>3</v>
      </c>
      <c r="E71" s="20" t="s">
        <v>3</v>
      </c>
      <c r="F71" s="20" t="s">
        <v>2</v>
      </c>
      <c r="G71" s="21">
        <v>0</v>
      </c>
      <c r="H71" s="22" t="s">
        <v>88</v>
      </c>
      <c r="I71" s="20" t="s">
        <v>136</v>
      </c>
      <c r="J71" s="22"/>
    </row>
    <row r="72" spans="1:10" s="19" customFormat="1" ht="15" customHeight="1" x14ac:dyDescent="0.25">
      <c r="A72" s="27" t="str">
        <f t="shared" ref="A72:A135" si="8">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7" t="str">
        <f t="shared" ref="B72:B135" si="9">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20" t="s">
        <v>89</v>
      </c>
      <c r="D72" s="20" t="s">
        <v>3</v>
      </c>
      <c r="E72" s="20" t="s">
        <v>3</v>
      </c>
      <c r="F72" s="20" t="s">
        <v>2</v>
      </c>
      <c r="G72" s="21">
        <v>0</v>
      </c>
      <c r="H72" s="22" t="s">
        <v>90</v>
      </c>
      <c r="I72" s="20" t="s">
        <v>136</v>
      </c>
      <c r="J72" s="22"/>
    </row>
    <row r="73" spans="1:10" s="19" customFormat="1" ht="15" customHeight="1" x14ac:dyDescent="0.25">
      <c r="A73" s="27" t="str">
        <f t="shared" si="8"/>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7" t="str">
        <f t="shared" si="9"/>
        <v xml:space="preserve">\subsection{SD-013}
\begin{itemize}
  \item Interface Message:\\[1em]\textbf{V1MT\_aperture is required for calculation}
  \item Development Assertion: NO
  \item Implementation Assertion: NO
  \item Runtime Assertion: YES
\end{itemize}
</v>
      </c>
      <c r="C73" s="20" t="s">
        <v>91</v>
      </c>
      <c r="D73" s="20" t="s">
        <v>3</v>
      </c>
      <c r="E73" s="20" t="s">
        <v>3</v>
      </c>
      <c r="F73" s="20" t="s">
        <v>2</v>
      </c>
      <c r="G73" s="21">
        <v>0</v>
      </c>
      <c r="H73" s="22" t="s">
        <v>92</v>
      </c>
      <c r="I73" s="20" t="s">
        <v>136</v>
      </c>
      <c r="J73" s="22"/>
    </row>
    <row r="74" spans="1:10" s="19" customFormat="1" ht="15" customHeight="1" x14ac:dyDescent="0.25">
      <c r="A74" s="27" t="str">
        <f t="shared" si="8"/>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7" t="str">
        <f t="shared" si="9"/>
        <v xml:space="preserve">\subsection{SD-004}
\begin{itemize}
  \item Interface Message:\\[1em]\textbf{V1\_D001\_excitatory\_factor is required for calculation}
  \item Development Assertion: NO
  \item Implementation Assertion: NO
  \item Runtime Assertion: YES
\end{itemize}
</v>
      </c>
      <c r="C74" s="20" t="s">
        <v>75</v>
      </c>
      <c r="D74" s="20" t="s">
        <v>3</v>
      </c>
      <c r="E74" s="20" t="s">
        <v>3</v>
      </c>
      <c r="F74" s="20" t="s">
        <v>2</v>
      </c>
      <c r="G74" s="21">
        <v>0</v>
      </c>
      <c r="H74" s="22" t="s">
        <v>76</v>
      </c>
      <c r="I74" s="20" t="s">
        <v>136</v>
      </c>
      <c r="J74" s="22"/>
    </row>
    <row r="75" spans="1:10" s="19" customFormat="1" ht="15" customHeight="1" x14ac:dyDescent="0.25">
      <c r="A75" s="27" t="str">
        <f t="shared" si="8"/>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7" t="str">
        <f t="shared" si="9"/>
        <v xml:space="preserve">\subsection{SD-005}
\begin{itemize}
  \item Interface Message:\\[1em]\textbf{V1\_D001\_conductance\_leak is required for calculation}
  \item Development Assertion: NO
  \item Implementation Assertion: NO
  \item Runtime Assertion: YES
\end{itemize}
</v>
      </c>
      <c r="C75" s="20" t="s">
        <v>77</v>
      </c>
      <c r="D75" s="20" t="s">
        <v>3</v>
      </c>
      <c r="E75" s="20" t="s">
        <v>3</v>
      </c>
      <c r="F75" s="20" t="s">
        <v>2</v>
      </c>
      <c r="G75" s="21">
        <v>0</v>
      </c>
      <c r="H75" s="22" t="s">
        <v>78</v>
      </c>
      <c r="I75" s="20" t="s">
        <v>136</v>
      </c>
      <c r="J75" s="22"/>
    </row>
    <row r="76" spans="1:10" s="19" customFormat="1" ht="15" customHeight="1" x14ac:dyDescent="0.25">
      <c r="A76" s="27" t="str">
        <f t="shared" si="8"/>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7" t="str">
        <f t="shared" si="9"/>
        <v xml:space="preserve">\subsection{SD-006}
\begin{itemize}
  \item Interface Message:\\[1em]\textbf{V1\_D001\_inhibition\_factor is required for calculation}
  \item Development Assertion: NO
  \item Implementation Assertion: NO
  \item Runtime Assertion: YES
\end{itemize}
</v>
      </c>
      <c r="C76" s="20" t="s">
        <v>79</v>
      </c>
      <c r="D76" s="20" t="s">
        <v>3</v>
      </c>
      <c r="E76" s="20" t="s">
        <v>3</v>
      </c>
      <c r="F76" s="20" t="s">
        <v>2</v>
      </c>
      <c r="G76" s="21">
        <v>0</v>
      </c>
      <c r="H76" s="22" t="s">
        <v>80</v>
      </c>
      <c r="I76" s="20" t="s">
        <v>136</v>
      </c>
      <c r="J76" s="22"/>
    </row>
    <row r="77" spans="1:10" s="15" customFormat="1" ht="15" customHeight="1" x14ac:dyDescent="0.25">
      <c r="A77" s="26" t="str">
        <f t="shared" si="8"/>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6" t="str">
        <f t="shared" si="9"/>
        <v xml:space="preserve">\subsection{SD-019}
\begin{itemize}
  \item Interface Message:\\[1em]\textbf{V1V1\_base\_weight\_source not recognized}
  \item Development Assertion: NO
  \item Implementation Assertion: NO
  \item Runtime Assertion: YES
\end{itemize}
</v>
      </c>
      <c r="C77" s="16" t="s">
        <v>100</v>
      </c>
      <c r="D77" s="16" t="s">
        <v>3</v>
      </c>
      <c r="E77" s="16" t="s">
        <v>3</v>
      </c>
      <c r="F77" s="16" t="s">
        <v>2</v>
      </c>
      <c r="G77" s="17">
        <v>0</v>
      </c>
      <c r="H77" s="18" t="s">
        <v>101</v>
      </c>
      <c r="I77" s="16" t="s">
        <v>136</v>
      </c>
      <c r="J77" s="18"/>
    </row>
    <row r="78" spans="1:10" s="15" customFormat="1" ht="15" customHeight="1" x14ac:dyDescent="0.25">
      <c r="A78" s="26" t="str">
        <f t="shared" si="8"/>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6" t="str">
        <f t="shared" si="9"/>
        <v xml:space="preserve">\subsection{SD-002}
\begin{itemize}
  \item Interface Message:\\[1em]\textbf{V1V1\_weight\_adaptation not recognized}
  \item Development Assertion: NO
  \item Implementation Assertion: NO
  \item Runtime Assertion: YES
\end{itemize}
</v>
      </c>
      <c r="C78" s="16" t="s">
        <v>71</v>
      </c>
      <c r="D78" s="16" t="s">
        <v>3</v>
      </c>
      <c r="E78" s="16" t="s">
        <v>3</v>
      </c>
      <c r="F78" s="16" t="s">
        <v>2</v>
      </c>
      <c r="G78" s="17">
        <v>0</v>
      </c>
      <c r="H78" s="18" t="s">
        <v>72</v>
      </c>
      <c r="I78" s="16" t="s">
        <v>136</v>
      </c>
      <c r="J78" s="18"/>
    </row>
    <row r="79" spans="1:10" s="15" customFormat="1" ht="15" customHeight="1" x14ac:dyDescent="0.25">
      <c r="A79" s="26" t="str">
        <f t="shared" si="8"/>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6" t="str">
        <f t="shared" si="9"/>
        <v xml:space="preserve">\subsection{SD-009}
\begin{itemize}
  \item Interface Message:\\[1em]\textbf{V1\_dac\_method not recognized}
  \item Development Assertion: NO
  \item Implementation Assertion: NO
  \item Runtime Assertion: YES
\end{itemize}
</v>
      </c>
      <c r="C79" s="16" t="s">
        <v>83</v>
      </c>
      <c r="D79" s="16" t="s">
        <v>3</v>
      </c>
      <c r="E79" s="16" t="s">
        <v>3</v>
      </c>
      <c r="F79" s="16" t="s">
        <v>2</v>
      </c>
      <c r="G79" s="17">
        <v>0</v>
      </c>
      <c r="H79" s="18" t="s">
        <v>84</v>
      </c>
      <c r="I79" s="16" t="s">
        <v>136</v>
      </c>
      <c r="J79" s="18"/>
    </row>
    <row r="80" spans="1:10" s="15" customFormat="1" ht="15" customHeight="1" x14ac:dyDescent="0.25">
      <c r="A80" s="26" t="str">
        <f t="shared" si="8"/>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6" t="str">
        <f t="shared" si="9"/>
        <v xml:space="preserve">\subsection{SD-034}
\begin{itemize}
  \item Interface Message:\\[1em]\textbf{V1\_act\_method not recognized}
  \item Development Assertion: NO
  \item Implementation Assertion: NO
  \item Runtime Assertion: YES
\end{itemize}
</v>
      </c>
      <c r="C80" s="16" t="s">
        <v>120</v>
      </c>
      <c r="D80" s="16" t="s">
        <v>3</v>
      </c>
      <c r="E80" s="16" t="s">
        <v>3</v>
      </c>
      <c r="F80" s="16" t="s">
        <v>2</v>
      </c>
      <c r="G80" s="17">
        <v>0</v>
      </c>
      <c r="H80" s="18" t="s">
        <v>121</v>
      </c>
      <c r="I80" s="16" t="s">
        <v>136</v>
      </c>
      <c r="J80" s="18"/>
    </row>
    <row r="81" spans="1:10" s="15" customFormat="1" ht="15" customHeight="1" x14ac:dyDescent="0.25">
      <c r="A81" s="26" t="str">
        <f t="shared" si="8"/>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6" t="str">
        <f t="shared" si="9"/>
        <v xml:space="preserve">\subsection{SD-035}
\begin{itemize}
  \item Interface Message:\\[1em]\textbf{V1\_external\_excitation\_method not recognized}
  \item Development Assertion: NO
  \item Implementation Assertion: NO
  \item Runtime Assertion: YES
\end{itemize}
</v>
      </c>
      <c r="C81" s="16" t="s">
        <v>122</v>
      </c>
      <c r="D81" s="16" t="s">
        <v>3</v>
      </c>
      <c r="E81" s="16" t="s">
        <v>3</v>
      </c>
      <c r="F81" s="16" t="s">
        <v>2</v>
      </c>
      <c r="G81" s="17">
        <v>0</v>
      </c>
      <c r="H81" s="18" t="s">
        <v>123</v>
      </c>
      <c r="I81" s="16" t="s">
        <v>136</v>
      </c>
      <c r="J81" s="18"/>
    </row>
    <row r="82" spans="1:10" s="15" customFormat="1" ht="15" customHeight="1" x14ac:dyDescent="0.25">
      <c r="A82" s="26" t="str">
        <f t="shared" si="8"/>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6" t="str">
        <f t="shared" si="9"/>
        <v xml:space="preserve">\subsection{SD-003}
\begin{itemize}
  \item Interface Message:\\[1em]\textbf{MT\_act\_method not recognized}
  \item Development Assertion: NO
  \item Implementation Assertion: NO
  \item Runtime Assertion: YES
\end{itemize}
</v>
      </c>
      <c r="C82" s="16" t="s">
        <v>73</v>
      </c>
      <c r="D82" s="16" t="s">
        <v>3</v>
      </c>
      <c r="E82" s="16" t="s">
        <v>3</v>
      </c>
      <c r="F82" s="16" t="s">
        <v>2</v>
      </c>
      <c r="G82" s="17">
        <v>0</v>
      </c>
      <c r="H82" s="18" t="s">
        <v>74</v>
      </c>
      <c r="I82" s="16" t="s">
        <v>136</v>
      </c>
      <c r="J82" s="18"/>
    </row>
    <row r="83" spans="1:10" s="15" customFormat="1" ht="15" customHeight="1" x14ac:dyDescent="0.25">
      <c r="A83" s="26" t="str">
        <f t="shared" si="8"/>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6" t="str">
        <f t="shared" si="9"/>
        <v xml:space="preserve">\subsection{SD-007}
\begin{itemize}
  \item Interface Message:\\[1em]\textbf{V1MT\_connection\_method not recognized}
  \item Development Assertion: NO
  \item Implementation Assertion: NO
  \item Runtime Assertion: YES
\end{itemize}
</v>
      </c>
      <c r="C83" s="16" t="s">
        <v>81</v>
      </c>
      <c r="D83" s="16" t="s">
        <v>3</v>
      </c>
      <c r="E83" s="16" t="s">
        <v>3</v>
      </c>
      <c r="F83" s="16" t="s">
        <v>2</v>
      </c>
      <c r="G83" s="17">
        <v>0</v>
      </c>
      <c r="H83" s="18" t="s">
        <v>82</v>
      </c>
      <c r="I83" s="16" t="s">
        <v>136</v>
      </c>
      <c r="J83" s="18"/>
    </row>
    <row r="84" spans="1:10" s="15" customFormat="1" ht="15" customHeight="1" x14ac:dyDescent="0.25">
      <c r="A84" s="26" t="str">
        <f t="shared" si="8"/>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6" t="str">
        <f t="shared" si="9"/>
        <v xml:space="preserve">\subsection{SD-017}
\begin{itemize}
  \item Interface Message:\\[1em]\textbf{MT\_act\_method not recognized}
  \item Development Assertion: NO
  \item Implementation Assertion: NO
  \item Runtime Assertion: YES
\end{itemize}
</v>
      </c>
      <c r="C84" s="16" t="s">
        <v>97</v>
      </c>
      <c r="D84" s="16" t="s">
        <v>3</v>
      </c>
      <c r="E84" s="16" t="s">
        <v>3</v>
      </c>
      <c r="F84" s="16" t="s">
        <v>2</v>
      </c>
      <c r="G84" s="17">
        <v>0</v>
      </c>
      <c r="H84" s="18" t="s">
        <v>74</v>
      </c>
      <c r="I84" s="16" t="s">
        <v>136</v>
      </c>
      <c r="J84" s="18"/>
    </row>
    <row r="85" spans="1:10" s="15" customFormat="1" ht="15" customHeight="1" x14ac:dyDescent="0.25">
      <c r="A85" s="26" t="str">
        <f t="shared" si="8"/>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6" t="str">
        <f t="shared" si="9"/>
        <v xml:space="preserve">\subsection{SD-018}
\begin{itemize}
  \item Interface Message:\\[1em]\textbf{MT\_dac\_method not recognized}
  \item Development Assertion: NO
  \item Implementation Assertion: NO
  \item Runtime Assertion: YES
\end{itemize}
</v>
      </c>
      <c r="C85" s="16" t="s">
        <v>98</v>
      </c>
      <c r="D85" s="16" t="s">
        <v>3</v>
      </c>
      <c r="E85" s="16" t="s">
        <v>3</v>
      </c>
      <c r="F85" s="16" t="s">
        <v>2</v>
      </c>
      <c r="G85" s="17">
        <v>0</v>
      </c>
      <c r="H85" s="18" t="s">
        <v>99</v>
      </c>
      <c r="I85" s="16" t="s">
        <v>136</v>
      </c>
      <c r="J85" s="18"/>
    </row>
    <row r="86" spans="1:10" ht="15" customHeight="1" x14ac:dyDescent="0.25">
      <c r="A86" s="25" t="str">
        <f t="shared" si="8"/>
        <v/>
      </c>
      <c r="B86" s="25" t="str">
        <f t="shared" si="9"/>
        <v/>
      </c>
    </row>
    <row r="87" spans="1:10" ht="15" customHeight="1" x14ac:dyDescent="0.25">
      <c r="A87" s="25" t="str">
        <f t="shared" si="8"/>
        <v/>
      </c>
      <c r="B87" s="25" t="str">
        <f t="shared" si="9"/>
        <v/>
      </c>
    </row>
    <row r="88" spans="1:10" ht="15" customHeight="1" x14ac:dyDescent="0.25">
      <c r="A88" s="25" t="str">
        <f t="shared" si="8"/>
        <v/>
      </c>
      <c r="B88" s="25" t="str">
        <f t="shared" si="9"/>
        <v/>
      </c>
    </row>
    <row r="89" spans="1:10" ht="15" customHeight="1" x14ac:dyDescent="0.25">
      <c r="A89" s="25" t="str">
        <f t="shared" si="8"/>
        <v/>
      </c>
      <c r="B89" s="25" t="str">
        <f t="shared" si="9"/>
        <v/>
      </c>
    </row>
    <row r="90" spans="1:10" ht="15" customHeight="1" x14ac:dyDescent="0.25">
      <c r="A90" s="25" t="str">
        <f t="shared" si="8"/>
        <v/>
      </c>
      <c r="B90" s="25" t="str">
        <f t="shared" si="9"/>
        <v/>
      </c>
    </row>
    <row r="91" spans="1:10" ht="15" customHeight="1" x14ac:dyDescent="0.25">
      <c r="A91" s="25" t="str">
        <f t="shared" si="8"/>
        <v/>
      </c>
      <c r="B91" s="25" t="str">
        <f t="shared" si="9"/>
        <v/>
      </c>
    </row>
    <row r="92" spans="1:10" ht="15" customHeight="1" x14ac:dyDescent="0.25">
      <c r="A92" s="25" t="str">
        <f t="shared" si="8"/>
        <v/>
      </c>
      <c r="B92" s="25" t="str">
        <f t="shared" si="9"/>
        <v/>
      </c>
    </row>
    <row r="93" spans="1:10" ht="15" customHeight="1" x14ac:dyDescent="0.25">
      <c r="A93" s="25" t="str">
        <f t="shared" si="8"/>
        <v/>
      </c>
      <c r="B93" s="25" t="str">
        <f t="shared" si="9"/>
        <v/>
      </c>
    </row>
    <row r="94" spans="1:10" ht="15" customHeight="1" x14ac:dyDescent="0.25">
      <c r="A94" s="25" t="str">
        <f t="shared" si="8"/>
        <v/>
      </c>
      <c r="B94" s="25" t="str">
        <f t="shared" si="9"/>
        <v/>
      </c>
    </row>
    <row r="95" spans="1:10" ht="15" customHeight="1" x14ac:dyDescent="0.25">
      <c r="A95" s="25" t="str">
        <f t="shared" si="8"/>
        <v/>
      </c>
      <c r="B95" s="25" t="str">
        <f t="shared" si="9"/>
        <v/>
      </c>
    </row>
    <row r="96" spans="1:10" ht="15" customHeight="1" x14ac:dyDescent="0.25">
      <c r="A96" s="25" t="str">
        <f t="shared" si="8"/>
        <v/>
      </c>
      <c r="B96" s="25" t="str">
        <f t="shared" si="9"/>
        <v/>
      </c>
    </row>
    <row r="97" spans="1:2" ht="15" customHeight="1" x14ac:dyDescent="0.25">
      <c r="A97" s="25" t="str">
        <f t="shared" si="8"/>
        <v/>
      </c>
      <c r="B97" s="25" t="str">
        <f t="shared" si="9"/>
        <v/>
      </c>
    </row>
    <row r="98" spans="1:2" ht="15" customHeight="1" x14ac:dyDescent="0.25">
      <c r="A98" s="25" t="str">
        <f t="shared" si="8"/>
        <v/>
      </c>
      <c r="B98" s="25" t="str">
        <f t="shared" si="9"/>
        <v/>
      </c>
    </row>
    <row r="99" spans="1:2" ht="15" customHeight="1" x14ac:dyDescent="0.25">
      <c r="A99" s="25" t="str">
        <f t="shared" si="8"/>
        <v/>
      </c>
      <c r="B99" s="25" t="str">
        <f t="shared" si="9"/>
        <v/>
      </c>
    </row>
    <row r="100" spans="1:2" ht="15" customHeight="1" x14ac:dyDescent="0.25">
      <c r="A100" s="25" t="str">
        <f t="shared" si="8"/>
        <v/>
      </c>
      <c r="B100" s="25" t="str">
        <f t="shared" si="9"/>
        <v/>
      </c>
    </row>
    <row r="101" spans="1:2" ht="15" customHeight="1" x14ac:dyDescent="0.25">
      <c r="A101" s="25" t="str">
        <f t="shared" si="8"/>
        <v/>
      </c>
      <c r="B101" s="25" t="str">
        <f t="shared" si="9"/>
        <v/>
      </c>
    </row>
    <row r="102" spans="1:2" ht="15" customHeight="1" x14ac:dyDescent="0.25">
      <c r="A102" s="25" t="str">
        <f t="shared" si="8"/>
        <v/>
      </c>
      <c r="B102" s="25" t="str">
        <f t="shared" si="9"/>
        <v/>
      </c>
    </row>
    <row r="103" spans="1:2" ht="15" customHeight="1" x14ac:dyDescent="0.25">
      <c r="A103" s="25" t="str">
        <f t="shared" si="8"/>
        <v/>
      </c>
      <c r="B103" s="25" t="str">
        <f t="shared" si="9"/>
        <v/>
      </c>
    </row>
    <row r="104" spans="1:2" ht="15" customHeight="1" x14ac:dyDescent="0.25">
      <c r="A104" s="25" t="str">
        <f t="shared" si="8"/>
        <v/>
      </c>
      <c r="B104" s="25" t="str">
        <f t="shared" si="9"/>
        <v/>
      </c>
    </row>
    <row r="105" spans="1:2" ht="15" customHeight="1" x14ac:dyDescent="0.25">
      <c r="A105" s="25" t="str">
        <f t="shared" si="8"/>
        <v/>
      </c>
      <c r="B105" s="25" t="str">
        <f t="shared" si="9"/>
        <v/>
      </c>
    </row>
    <row r="106" spans="1:2" ht="15" customHeight="1" x14ac:dyDescent="0.25">
      <c r="A106" s="25" t="str">
        <f t="shared" si="8"/>
        <v/>
      </c>
      <c r="B106" s="25" t="str">
        <f t="shared" si="9"/>
        <v/>
      </c>
    </row>
    <row r="107" spans="1:2" ht="15" customHeight="1" x14ac:dyDescent="0.25">
      <c r="A107" s="25" t="str">
        <f t="shared" si="8"/>
        <v/>
      </c>
      <c r="B107" s="25" t="str">
        <f t="shared" si="9"/>
        <v/>
      </c>
    </row>
    <row r="108" spans="1:2" ht="15" customHeight="1" x14ac:dyDescent="0.25">
      <c r="A108" s="25" t="str">
        <f t="shared" si="8"/>
        <v/>
      </c>
      <c r="B108" s="25" t="str">
        <f t="shared" si="9"/>
        <v/>
      </c>
    </row>
    <row r="109" spans="1:2" ht="15" customHeight="1" x14ac:dyDescent="0.25">
      <c r="A109" s="25" t="str">
        <f t="shared" si="8"/>
        <v/>
      </c>
      <c r="B109" s="25" t="str">
        <f t="shared" si="9"/>
        <v/>
      </c>
    </row>
    <row r="110" spans="1:2" ht="15" customHeight="1" x14ac:dyDescent="0.25">
      <c r="A110" s="25" t="str">
        <f t="shared" si="8"/>
        <v/>
      </c>
      <c r="B110" s="25" t="str">
        <f t="shared" si="9"/>
        <v/>
      </c>
    </row>
    <row r="111" spans="1:2" ht="15" customHeight="1" x14ac:dyDescent="0.25">
      <c r="A111" s="25" t="str">
        <f t="shared" si="8"/>
        <v/>
      </c>
      <c r="B111" s="25" t="str">
        <f t="shared" si="9"/>
        <v/>
      </c>
    </row>
    <row r="112" spans="1:2" ht="15" customHeight="1" x14ac:dyDescent="0.25">
      <c r="A112" s="25" t="str">
        <f t="shared" si="8"/>
        <v/>
      </c>
      <c r="B112" s="25" t="str">
        <f t="shared" si="9"/>
        <v/>
      </c>
    </row>
    <row r="113" spans="1:2" ht="15" customHeight="1" x14ac:dyDescent="0.25">
      <c r="A113" s="25" t="str">
        <f t="shared" si="8"/>
        <v/>
      </c>
      <c r="B113" s="25" t="str">
        <f t="shared" si="9"/>
        <v/>
      </c>
    </row>
    <row r="114" spans="1:2" ht="15" customHeight="1" x14ac:dyDescent="0.25">
      <c r="A114" s="25" t="str">
        <f t="shared" si="8"/>
        <v/>
      </c>
      <c r="B114" s="25" t="str">
        <f t="shared" si="9"/>
        <v/>
      </c>
    </row>
    <row r="115" spans="1:2" ht="15" customHeight="1" x14ac:dyDescent="0.25">
      <c r="A115" s="25" t="str">
        <f t="shared" si="8"/>
        <v/>
      </c>
      <c r="B115" s="25" t="str">
        <f t="shared" si="9"/>
        <v/>
      </c>
    </row>
    <row r="116" spans="1:2" ht="15" customHeight="1" x14ac:dyDescent="0.25">
      <c r="A116" s="25" t="str">
        <f t="shared" si="8"/>
        <v/>
      </c>
      <c r="B116" s="25" t="str">
        <f t="shared" si="9"/>
        <v/>
      </c>
    </row>
    <row r="117" spans="1:2" ht="15" customHeight="1" x14ac:dyDescent="0.25">
      <c r="A117" s="25" t="str">
        <f t="shared" si="8"/>
        <v/>
      </c>
      <c r="B117" s="25" t="str">
        <f t="shared" si="9"/>
        <v/>
      </c>
    </row>
    <row r="118" spans="1:2" ht="15" customHeight="1" x14ac:dyDescent="0.25">
      <c r="A118" s="25" t="str">
        <f t="shared" si="8"/>
        <v/>
      </c>
      <c r="B118" s="25" t="str">
        <f t="shared" si="9"/>
        <v/>
      </c>
    </row>
    <row r="119" spans="1:2" ht="15" customHeight="1" x14ac:dyDescent="0.25">
      <c r="A119" s="25" t="str">
        <f t="shared" si="8"/>
        <v/>
      </c>
      <c r="B119" s="25" t="str">
        <f t="shared" si="9"/>
        <v/>
      </c>
    </row>
    <row r="120" spans="1:2" ht="15" customHeight="1" x14ac:dyDescent="0.25">
      <c r="A120" s="25" t="str">
        <f t="shared" si="8"/>
        <v/>
      </c>
      <c r="B120" s="25" t="str">
        <f t="shared" si="9"/>
        <v/>
      </c>
    </row>
    <row r="121" spans="1:2" ht="15" customHeight="1" x14ac:dyDescent="0.25">
      <c r="A121" s="25" t="str">
        <f t="shared" si="8"/>
        <v/>
      </c>
      <c r="B121" s="25" t="str">
        <f t="shared" si="9"/>
        <v/>
      </c>
    </row>
    <row r="122" spans="1:2" ht="15" customHeight="1" x14ac:dyDescent="0.25">
      <c r="A122" s="25" t="str">
        <f t="shared" si="8"/>
        <v/>
      </c>
      <c r="B122" s="25" t="str">
        <f t="shared" si="9"/>
        <v/>
      </c>
    </row>
    <row r="123" spans="1:2" ht="15" customHeight="1" x14ac:dyDescent="0.25">
      <c r="A123" s="25" t="str">
        <f t="shared" si="8"/>
        <v/>
      </c>
      <c r="B123" s="25" t="str">
        <f t="shared" si="9"/>
        <v/>
      </c>
    </row>
    <row r="124" spans="1:2" ht="15" customHeight="1" x14ac:dyDescent="0.25">
      <c r="A124" s="25" t="str">
        <f t="shared" si="8"/>
        <v/>
      </c>
      <c r="B124" s="25" t="str">
        <f t="shared" si="9"/>
        <v/>
      </c>
    </row>
    <row r="125" spans="1:2" ht="15" customHeight="1" x14ac:dyDescent="0.25">
      <c r="A125" s="25" t="str">
        <f t="shared" si="8"/>
        <v/>
      </c>
      <c r="B125" s="25" t="str">
        <f t="shared" si="9"/>
        <v/>
      </c>
    </row>
    <row r="126" spans="1:2" ht="15" customHeight="1" x14ac:dyDescent="0.25">
      <c r="A126" s="25" t="str">
        <f t="shared" si="8"/>
        <v/>
      </c>
      <c r="B126" s="25" t="str">
        <f t="shared" si="9"/>
        <v/>
      </c>
    </row>
    <row r="127" spans="1:2" ht="15" customHeight="1" x14ac:dyDescent="0.25">
      <c r="A127" s="25" t="str">
        <f t="shared" si="8"/>
        <v/>
      </c>
      <c r="B127" s="25" t="str">
        <f t="shared" si="9"/>
        <v/>
      </c>
    </row>
    <row r="128" spans="1:2" ht="15" customHeight="1" x14ac:dyDescent="0.25">
      <c r="A128" s="25" t="str">
        <f t="shared" si="8"/>
        <v/>
      </c>
      <c r="B128" s="25" t="str">
        <f t="shared" si="9"/>
        <v/>
      </c>
    </row>
    <row r="129" spans="1:2" ht="15" customHeight="1" x14ac:dyDescent="0.25">
      <c r="A129" s="25" t="str">
        <f t="shared" si="8"/>
        <v/>
      </c>
      <c r="B129" s="25" t="str">
        <f t="shared" si="9"/>
        <v/>
      </c>
    </row>
    <row r="130" spans="1:2" ht="15" customHeight="1" x14ac:dyDescent="0.25">
      <c r="A130" s="25" t="str">
        <f t="shared" si="8"/>
        <v/>
      </c>
      <c r="B130" s="25" t="str">
        <f t="shared" si="9"/>
        <v/>
      </c>
    </row>
    <row r="131" spans="1:2" ht="15" customHeight="1" x14ac:dyDescent="0.25">
      <c r="A131" s="25" t="str">
        <f t="shared" si="8"/>
        <v/>
      </c>
      <c r="B131" s="25" t="str">
        <f t="shared" si="9"/>
        <v/>
      </c>
    </row>
    <row r="132" spans="1:2" ht="15" customHeight="1" x14ac:dyDescent="0.25">
      <c r="A132" s="25" t="str">
        <f t="shared" si="8"/>
        <v/>
      </c>
      <c r="B132" s="25" t="str">
        <f t="shared" si="9"/>
        <v/>
      </c>
    </row>
    <row r="133" spans="1:2" ht="15" customHeight="1" x14ac:dyDescent="0.25">
      <c r="A133" s="25" t="str">
        <f t="shared" si="8"/>
        <v/>
      </c>
      <c r="B133" s="25" t="str">
        <f t="shared" si="9"/>
        <v/>
      </c>
    </row>
    <row r="134" spans="1:2" ht="15" customHeight="1" x14ac:dyDescent="0.25">
      <c r="A134" s="25" t="str">
        <f t="shared" si="8"/>
        <v/>
      </c>
      <c r="B134" s="25" t="str">
        <f t="shared" si="9"/>
        <v/>
      </c>
    </row>
    <row r="135" spans="1:2" ht="15" customHeight="1" x14ac:dyDescent="0.25">
      <c r="A135" s="25" t="str">
        <f t="shared" si="8"/>
        <v/>
      </c>
      <c r="B135" s="25" t="str">
        <f t="shared" si="9"/>
        <v/>
      </c>
    </row>
    <row r="136" spans="1:2" ht="15" customHeight="1" x14ac:dyDescent="0.25">
      <c r="A136" s="25" t="str">
        <f t="shared" ref="A136:A199" si="10">IF(C136&lt;&gt;"",IF(C136="#","  // "&amp;H136,
"  MessagesDevelopmentAssert.QuickPutEntry_bool("""&amp;C136&amp;""", "&amp;IF(D136="F","false",IF(D136="T","true","ERROR"))&amp;");"&amp;CHAR(10)&amp;
"  MessagesImplementationAssert.QuickPutEntry_bool("""&amp;C136&amp;""", "&amp;IF(E136="F","false",IF(E136="T","true","ERROR"))&amp;");"&amp;CHAR(10)&amp;
"  MessagesRuntimeAssert.QuickPutEntry_bool("""&amp;C136&amp;""", "&amp;IF(F136="F","false",IF(F136="T","true","ERROR"))&amp;");"&amp;CHAR(10)&amp;
"  MessagesDisabling.QuickPutEntry_int("""&amp;C136&amp;""", "&amp;G136&amp;");"&amp; CHAR(10) &amp;
"  MessagesCount.QuickPutEntry_int("""&amp;C136&amp;""", 0);"&amp;CHAR(10)&amp;
"  MessagesLabel.QuickPutEntry_string("""&amp;C136&amp;""","""&amp;H136&amp;""");"&amp;
IF(J136&lt;&gt;"",CHAR(10) &amp; "  MessagesText.QuickPutEntry_string("""&amp;C136&amp;""", """&amp;SUBSTITUTE(J136,"""","\""")&amp;""");","")
),"")</f>
        <v/>
      </c>
      <c r="B136" s="25" t="str">
        <f t="shared" ref="B136:B199" si="11">IF(C136&lt;&gt;"",IF(C136="#","\section{"&amp;H136&amp;"}" &amp; CHAR(10),
"\subsection{" &amp; C136 &amp; "}" &amp; CHAR(10) &amp; "\begin{itemize}" &amp; CHAR(10) &amp;
"  \item Interface Message:\\[1em]\textbf{" &amp; SUBSTITUTE(H136,"_","\_") &amp; "}" &amp; CHAR(10) &amp;
"  \item Development Assertion: " &amp; IF(D136="F","NO",IF(D136="T","YES","ERROR")) &amp; CHAR(10) &amp;
"  \item Implementation Assertion: " &amp; IF(E136="F","NO",IF(E136="T","YES","ERROR")) &amp; CHAR(10) &amp;
"  \item Runtime Assertion: " &amp; IF(F136="F","NO",IF(F136="T","YES","ERROR")) &amp; CHAR(10) &amp;
IF(J136&lt;&gt;"","  \item Message Description:\\[1em]"&amp; SUBSTITUTE(J136,"_","\_")  &amp;CHAR(10),"") &amp;
"\end{itemize}"&amp;CHAR(10)),"")</f>
        <v/>
      </c>
    </row>
    <row r="137" spans="1:2" ht="15" customHeight="1" x14ac:dyDescent="0.25">
      <c r="A137" s="25" t="str">
        <f t="shared" si="10"/>
        <v/>
      </c>
      <c r="B137" s="25" t="str">
        <f t="shared" si="11"/>
        <v/>
      </c>
    </row>
    <row r="138" spans="1:2" ht="15" customHeight="1" x14ac:dyDescent="0.25">
      <c r="A138" s="25" t="str">
        <f t="shared" si="10"/>
        <v/>
      </c>
      <c r="B138" s="25" t="str">
        <f t="shared" si="11"/>
        <v/>
      </c>
    </row>
    <row r="139" spans="1:2" ht="15" customHeight="1" x14ac:dyDescent="0.25">
      <c r="A139" s="25" t="str">
        <f t="shared" si="10"/>
        <v/>
      </c>
      <c r="B139" s="25" t="str">
        <f t="shared" si="11"/>
        <v/>
      </c>
    </row>
    <row r="140" spans="1:2" ht="15" customHeight="1" x14ac:dyDescent="0.25">
      <c r="A140" s="25" t="str">
        <f t="shared" si="10"/>
        <v/>
      </c>
      <c r="B140" s="25" t="str">
        <f t="shared" si="11"/>
        <v/>
      </c>
    </row>
    <row r="141" spans="1:2" ht="15" customHeight="1" x14ac:dyDescent="0.25">
      <c r="A141" s="25" t="str">
        <f t="shared" si="10"/>
        <v/>
      </c>
      <c r="B141" s="25" t="str">
        <f t="shared" si="11"/>
        <v/>
      </c>
    </row>
    <row r="142" spans="1:2" ht="15" customHeight="1" x14ac:dyDescent="0.25">
      <c r="A142" s="25" t="str">
        <f t="shared" si="10"/>
        <v/>
      </c>
      <c r="B142" s="25" t="str">
        <f t="shared" si="11"/>
        <v/>
      </c>
    </row>
    <row r="143" spans="1:2" ht="15" customHeight="1" x14ac:dyDescent="0.25">
      <c r="A143" s="25" t="str">
        <f t="shared" si="10"/>
        <v/>
      </c>
      <c r="B143" s="25" t="str">
        <f t="shared" si="11"/>
        <v/>
      </c>
    </row>
    <row r="144" spans="1:2" ht="15" customHeight="1" x14ac:dyDescent="0.25">
      <c r="A144" s="25" t="str">
        <f t="shared" si="10"/>
        <v/>
      </c>
      <c r="B144" s="25" t="str">
        <f t="shared" si="11"/>
        <v/>
      </c>
    </row>
    <row r="145" spans="1:2" ht="15" customHeight="1" x14ac:dyDescent="0.25">
      <c r="A145" s="25" t="str">
        <f t="shared" si="10"/>
        <v/>
      </c>
      <c r="B145" s="25" t="str">
        <f t="shared" si="11"/>
        <v/>
      </c>
    </row>
    <row r="146" spans="1:2" ht="15" customHeight="1" x14ac:dyDescent="0.25">
      <c r="A146" s="25" t="str">
        <f t="shared" si="10"/>
        <v/>
      </c>
      <c r="B146" s="25" t="str">
        <f t="shared" si="11"/>
        <v/>
      </c>
    </row>
    <row r="147" spans="1:2" ht="15" customHeight="1" x14ac:dyDescent="0.25">
      <c r="A147" s="25" t="str">
        <f t="shared" si="10"/>
        <v/>
      </c>
      <c r="B147" s="25" t="str">
        <f t="shared" si="11"/>
        <v/>
      </c>
    </row>
    <row r="148" spans="1:2" ht="15" customHeight="1" x14ac:dyDescent="0.25">
      <c r="A148" s="25" t="str">
        <f t="shared" si="10"/>
        <v/>
      </c>
      <c r="B148" s="25" t="str">
        <f t="shared" si="11"/>
        <v/>
      </c>
    </row>
    <row r="149" spans="1:2" ht="15" customHeight="1" x14ac:dyDescent="0.25">
      <c r="A149" s="25" t="str">
        <f t="shared" si="10"/>
        <v/>
      </c>
      <c r="B149" s="25" t="str">
        <f t="shared" si="11"/>
        <v/>
      </c>
    </row>
    <row r="150" spans="1:2" ht="15" customHeight="1" x14ac:dyDescent="0.25">
      <c r="A150" s="25" t="str">
        <f t="shared" si="10"/>
        <v/>
      </c>
      <c r="B150" s="25" t="str">
        <f t="shared" si="11"/>
        <v/>
      </c>
    </row>
    <row r="151" spans="1:2" ht="15" customHeight="1" x14ac:dyDescent="0.25">
      <c r="A151" s="25" t="str">
        <f t="shared" si="10"/>
        <v/>
      </c>
      <c r="B151" s="25" t="str">
        <f t="shared" si="11"/>
        <v/>
      </c>
    </row>
    <row r="152" spans="1:2" ht="15" customHeight="1" x14ac:dyDescent="0.25">
      <c r="A152" s="25" t="str">
        <f t="shared" si="10"/>
        <v/>
      </c>
      <c r="B152" s="25" t="str">
        <f t="shared" si="11"/>
        <v/>
      </c>
    </row>
    <row r="153" spans="1:2" ht="15" customHeight="1" x14ac:dyDescent="0.25">
      <c r="A153" s="25" t="str">
        <f t="shared" si="10"/>
        <v/>
      </c>
      <c r="B153" s="25" t="str">
        <f t="shared" si="11"/>
        <v/>
      </c>
    </row>
    <row r="154" spans="1:2" ht="15" customHeight="1" x14ac:dyDescent="0.25">
      <c r="A154" s="25" t="str">
        <f t="shared" si="10"/>
        <v/>
      </c>
      <c r="B154" s="25" t="str">
        <f t="shared" si="11"/>
        <v/>
      </c>
    </row>
    <row r="155" spans="1:2" ht="15" customHeight="1" x14ac:dyDescent="0.25">
      <c r="A155" s="25" t="str">
        <f t="shared" si="10"/>
        <v/>
      </c>
      <c r="B155" s="25" t="str">
        <f t="shared" si="11"/>
        <v/>
      </c>
    </row>
    <row r="156" spans="1:2" ht="15" customHeight="1" x14ac:dyDescent="0.25">
      <c r="A156" s="25" t="str">
        <f t="shared" si="10"/>
        <v/>
      </c>
      <c r="B156" s="25" t="str">
        <f t="shared" si="11"/>
        <v/>
      </c>
    </row>
    <row r="157" spans="1:2" ht="15" customHeight="1" x14ac:dyDescent="0.25">
      <c r="A157" s="25" t="str">
        <f t="shared" si="10"/>
        <v/>
      </c>
      <c r="B157" s="25" t="str">
        <f t="shared" si="11"/>
        <v/>
      </c>
    </row>
    <row r="158" spans="1:2" ht="15" customHeight="1" x14ac:dyDescent="0.25">
      <c r="A158" s="25" t="str">
        <f t="shared" si="10"/>
        <v/>
      </c>
      <c r="B158" s="25" t="str">
        <f t="shared" si="11"/>
        <v/>
      </c>
    </row>
    <row r="159" spans="1:2" ht="15" customHeight="1" x14ac:dyDescent="0.25">
      <c r="A159" s="25" t="str">
        <f t="shared" si="10"/>
        <v/>
      </c>
      <c r="B159" s="25" t="str">
        <f t="shared" si="11"/>
        <v/>
      </c>
    </row>
    <row r="160" spans="1:2" ht="15" customHeight="1" x14ac:dyDescent="0.25">
      <c r="A160" s="25" t="str">
        <f t="shared" si="10"/>
        <v/>
      </c>
      <c r="B160" s="25" t="str">
        <f t="shared" si="11"/>
        <v/>
      </c>
    </row>
    <row r="161" spans="1:2" ht="15" customHeight="1" x14ac:dyDescent="0.25">
      <c r="A161" s="25" t="str">
        <f t="shared" si="10"/>
        <v/>
      </c>
      <c r="B161" s="25" t="str">
        <f t="shared" si="11"/>
        <v/>
      </c>
    </row>
    <row r="162" spans="1:2" ht="15" customHeight="1" x14ac:dyDescent="0.25">
      <c r="A162" s="25" t="str">
        <f t="shared" si="10"/>
        <v/>
      </c>
      <c r="B162" s="25" t="str">
        <f t="shared" si="11"/>
        <v/>
      </c>
    </row>
    <row r="163" spans="1:2" ht="15" customHeight="1" x14ac:dyDescent="0.25">
      <c r="A163" s="25" t="str">
        <f t="shared" si="10"/>
        <v/>
      </c>
      <c r="B163" s="25" t="str">
        <f t="shared" si="11"/>
        <v/>
      </c>
    </row>
    <row r="164" spans="1:2" ht="15" customHeight="1" x14ac:dyDescent="0.25">
      <c r="A164" s="25" t="str">
        <f t="shared" si="10"/>
        <v/>
      </c>
      <c r="B164" s="25" t="str">
        <f t="shared" si="11"/>
        <v/>
      </c>
    </row>
    <row r="165" spans="1:2" ht="15" customHeight="1" x14ac:dyDescent="0.25">
      <c r="A165" s="25" t="str">
        <f t="shared" si="10"/>
        <v/>
      </c>
      <c r="B165" s="25" t="str">
        <f t="shared" si="11"/>
        <v/>
      </c>
    </row>
    <row r="166" spans="1:2" ht="15" customHeight="1" x14ac:dyDescent="0.25">
      <c r="A166" s="25" t="str">
        <f t="shared" si="10"/>
        <v/>
      </c>
      <c r="B166" s="25" t="str">
        <f t="shared" si="11"/>
        <v/>
      </c>
    </row>
    <row r="167" spans="1:2" ht="15" customHeight="1" x14ac:dyDescent="0.25">
      <c r="A167" s="25" t="str">
        <f t="shared" si="10"/>
        <v/>
      </c>
      <c r="B167" s="25" t="str">
        <f t="shared" si="11"/>
        <v/>
      </c>
    </row>
    <row r="168" spans="1:2" ht="15" customHeight="1" x14ac:dyDescent="0.25">
      <c r="A168" s="25" t="str">
        <f t="shared" si="10"/>
        <v/>
      </c>
      <c r="B168" s="25" t="str">
        <f t="shared" si="11"/>
        <v/>
      </c>
    </row>
    <row r="169" spans="1:2" ht="15" customHeight="1" x14ac:dyDescent="0.25">
      <c r="A169" s="25" t="str">
        <f t="shared" si="10"/>
        <v/>
      </c>
      <c r="B169" s="25" t="str">
        <f t="shared" si="11"/>
        <v/>
      </c>
    </row>
    <row r="170" spans="1:2" ht="15" customHeight="1" x14ac:dyDescent="0.25">
      <c r="A170" s="25" t="str">
        <f t="shared" si="10"/>
        <v/>
      </c>
      <c r="B170" s="25" t="str">
        <f t="shared" si="11"/>
        <v/>
      </c>
    </row>
    <row r="171" spans="1:2" ht="15" customHeight="1" x14ac:dyDescent="0.25">
      <c r="A171" s="25" t="str">
        <f t="shared" si="10"/>
        <v/>
      </c>
      <c r="B171" s="25" t="str">
        <f t="shared" si="11"/>
        <v/>
      </c>
    </row>
    <row r="172" spans="1:2" ht="15" customHeight="1" x14ac:dyDescent="0.25">
      <c r="A172" s="25" t="str">
        <f t="shared" si="10"/>
        <v/>
      </c>
      <c r="B172" s="25" t="str">
        <f t="shared" si="11"/>
        <v/>
      </c>
    </row>
    <row r="173" spans="1:2" ht="15" customHeight="1" x14ac:dyDescent="0.25">
      <c r="A173" s="25" t="str">
        <f t="shared" si="10"/>
        <v/>
      </c>
      <c r="B173" s="25" t="str">
        <f t="shared" si="11"/>
        <v/>
      </c>
    </row>
    <row r="174" spans="1:2" ht="15" customHeight="1" x14ac:dyDescent="0.25">
      <c r="A174" s="25" t="str">
        <f t="shared" si="10"/>
        <v/>
      </c>
      <c r="B174" s="25" t="str">
        <f t="shared" si="11"/>
        <v/>
      </c>
    </row>
    <row r="175" spans="1:2" ht="15" customHeight="1" x14ac:dyDescent="0.25">
      <c r="A175" s="25" t="str">
        <f t="shared" si="10"/>
        <v/>
      </c>
      <c r="B175" s="25" t="str">
        <f t="shared" si="11"/>
        <v/>
      </c>
    </row>
    <row r="176" spans="1:2" ht="15" customHeight="1" x14ac:dyDescent="0.25">
      <c r="A176" s="25" t="str">
        <f t="shared" si="10"/>
        <v/>
      </c>
      <c r="B176" s="25" t="str">
        <f t="shared" si="11"/>
        <v/>
      </c>
    </row>
    <row r="177" spans="1:2" ht="15" customHeight="1" x14ac:dyDescent="0.25">
      <c r="A177" s="25" t="str">
        <f t="shared" si="10"/>
        <v/>
      </c>
      <c r="B177" s="25" t="str">
        <f t="shared" si="11"/>
        <v/>
      </c>
    </row>
    <row r="178" spans="1:2" ht="15" customHeight="1" x14ac:dyDescent="0.25">
      <c r="A178" s="25" t="str">
        <f t="shared" si="10"/>
        <v/>
      </c>
      <c r="B178" s="25" t="str">
        <f t="shared" si="11"/>
        <v/>
      </c>
    </row>
    <row r="179" spans="1:2" ht="15" customHeight="1" x14ac:dyDescent="0.25">
      <c r="A179" s="25" t="str">
        <f t="shared" si="10"/>
        <v/>
      </c>
      <c r="B179" s="25" t="str">
        <f t="shared" si="11"/>
        <v/>
      </c>
    </row>
    <row r="180" spans="1:2" ht="15" customHeight="1" x14ac:dyDescent="0.25">
      <c r="A180" s="25" t="str">
        <f t="shared" si="10"/>
        <v/>
      </c>
      <c r="B180" s="25" t="str">
        <f t="shared" si="11"/>
        <v/>
      </c>
    </row>
    <row r="181" spans="1:2" ht="15" customHeight="1" x14ac:dyDescent="0.25">
      <c r="A181" s="25" t="str">
        <f t="shared" si="10"/>
        <v/>
      </c>
      <c r="B181" s="25" t="str">
        <f t="shared" si="11"/>
        <v/>
      </c>
    </row>
    <row r="182" spans="1:2" ht="15" customHeight="1" x14ac:dyDescent="0.25">
      <c r="A182" s="25" t="str">
        <f t="shared" si="10"/>
        <v/>
      </c>
      <c r="B182" s="25" t="str">
        <f t="shared" si="11"/>
        <v/>
      </c>
    </row>
    <row r="183" spans="1:2" ht="15" customHeight="1" x14ac:dyDescent="0.25">
      <c r="A183" s="25" t="str">
        <f t="shared" si="10"/>
        <v/>
      </c>
      <c r="B183" s="25" t="str">
        <f t="shared" si="11"/>
        <v/>
      </c>
    </row>
    <row r="184" spans="1:2" ht="15" customHeight="1" x14ac:dyDescent="0.25">
      <c r="A184" s="25" t="str">
        <f t="shared" si="10"/>
        <v/>
      </c>
      <c r="B184" s="25" t="str">
        <f t="shared" si="11"/>
        <v/>
      </c>
    </row>
    <row r="185" spans="1:2" ht="15" customHeight="1" x14ac:dyDescent="0.25">
      <c r="A185" s="25" t="str">
        <f t="shared" si="10"/>
        <v/>
      </c>
      <c r="B185" s="25" t="str">
        <f t="shared" si="11"/>
        <v/>
      </c>
    </row>
    <row r="186" spans="1:2" ht="15" customHeight="1" x14ac:dyDescent="0.25">
      <c r="A186" s="25" t="str">
        <f t="shared" si="10"/>
        <v/>
      </c>
      <c r="B186" s="25" t="str">
        <f t="shared" si="11"/>
        <v/>
      </c>
    </row>
    <row r="187" spans="1:2" ht="15" customHeight="1" x14ac:dyDescent="0.25">
      <c r="A187" s="25" t="str">
        <f t="shared" si="10"/>
        <v/>
      </c>
      <c r="B187" s="25" t="str">
        <f t="shared" si="11"/>
        <v/>
      </c>
    </row>
    <row r="188" spans="1:2" ht="15" customHeight="1" x14ac:dyDescent="0.25">
      <c r="A188" s="25" t="str">
        <f t="shared" si="10"/>
        <v/>
      </c>
      <c r="B188" s="25" t="str">
        <f t="shared" si="11"/>
        <v/>
      </c>
    </row>
    <row r="189" spans="1:2" ht="15" customHeight="1" x14ac:dyDescent="0.25">
      <c r="A189" s="25" t="str">
        <f t="shared" si="10"/>
        <v/>
      </c>
      <c r="B189" s="25" t="str">
        <f t="shared" si="11"/>
        <v/>
      </c>
    </row>
    <row r="190" spans="1:2" ht="15" customHeight="1" x14ac:dyDescent="0.25">
      <c r="A190" s="25" t="str">
        <f t="shared" si="10"/>
        <v/>
      </c>
      <c r="B190" s="25" t="str">
        <f t="shared" si="11"/>
        <v/>
      </c>
    </row>
    <row r="191" spans="1:2" ht="15" customHeight="1" x14ac:dyDescent="0.25">
      <c r="A191" s="25" t="str">
        <f t="shared" si="10"/>
        <v/>
      </c>
      <c r="B191" s="25" t="str">
        <f t="shared" si="11"/>
        <v/>
      </c>
    </row>
    <row r="192" spans="1:2" ht="15" customHeight="1" x14ac:dyDescent="0.25">
      <c r="A192" s="25" t="str">
        <f t="shared" si="10"/>
        <v/>
      </c>
      <c r="B192" s="25" t="str">
        <f t="shared" si="11"/>
        <v/>
      </c>
    </row>
    <row r="193" spans="1:2" ht="15" customHeight="1" x14ac:dyDescent="0.25">
      <c r="A193" s="25" t="str">
        <f t="shared" si="10"/>
        <v/>
      </c>
      <c r="B193" s="25" t="str">
        <f t="shared" si="11"/>
        <v/>
      </c>
    </row>
    <row r="194" spans="1:2" ht="15" customHeight="1" x14ac:dyDescent="0.25">
      <c r="A194" s="25" t="str">
        <f t="shared" si="10"/>
        <v/>
      </c>
      <c r="B194" s="25" t="str">
        <f t="shared" si="11"/>
        <v/>
      </c>
    </row>
    <row r="195" spans="1:2" ht="15" customHeight="1" x14ac:dyDescent="0.25">
      <c r="A195" s="25" t="str">
        <f t="shared" si="10"/>
        <v/>
      </c>
      <c r="B195" s="25" t="str">
        <f t="shared" si="11"/>
        <v/>
      </c>
    </row>
    <row r="196" spans="1:2" ht="15" customHeight="1" x14ac:dyDescent="0.25">
      <c r="A196" s="25" t="str">
        <f t="shared" si="10"/>
        <v/>
      </c>
      <c r="B196" s="25" t="str">
        <f t="shared" si="11"/>
        <v/>
      </c>
    </row>
    <row r="197" spans="1:2" ht="15" customHeight="1" x14ac:dyDescent="0.25">
      <c r="A197" s="25" t="str">
        <f t="shared" si="10"/>
        <v/>
      </c>
      <c r="B197" s="25" t="str">
        <f t="shared" si="11"/>
        <v/>
      </c>
    </row>
    <row r="198" spans="1:2" ht="15" customHeight="1" x14ac:dyDescent="0.25">
      <c r="A198" s="25" t="str">
        <f t="shared" si="10"/>
        <v/>
      </c>
      <c r="B198" s="25" t="str">
        <f t="shared" si="11"/>
        <v/>
      </c>
    </row>
    <row r="199" spans="1:2" ht="15" customHeight="1" x14ac:dyDescent="0.25">
      <c r="A199" s="25" t="str">
        <f t="shared" si="10"/>
        <v/>
      </c>
      <c r="B199" s="25" t="str">
        <f t="shared" si="11"/>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2"/>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22.140625" bestFit="1" customWidth="1"/>
    <col min="5" max="5" width="10.85546875" bestFit="1" customWidth="1"/>
  </cols>
  <sheetData>
    <row r="1" spans="1:5" x14ac:dyDescent="0.25">
      <c r="C1" s="43" t="s">
        <v>295</v>
      </c>
    </row>
    <row r="2" spans="1:5" x14ac:dyDescent="0.25">
      <c r="B2" s="1" t="s">
        <v>2</v>
      </c>
      <c r="C2" t="s">
        <v>287</v>
      </c>
      <c r="D2" t="s">
        <v>288</v>
      </c>
      <c r="E2" t="s">
        <v>289</v>
      </c>
    </row>
    <row r="3" spans="1:5" x14ac:dyDescent="0.25">
      <c r="A3" t="str">
        <f>IF(B3="D","  Commands.QuickPutEntry_function(string("&amp;C3&amp;") + string("&amp;D3&amp;"), (void*) InterpreterManager::"&amp;E3&amp;");",IF(B3="C","  // "&amp;C3,""))</f>
        <v xml:space="preserve">  // Environment Settings</v>
      </c>
      <c r="B3" s="1" t="s">
        <v>149</v>
      </c>
      <c r="C3" t="s">
        <v>297</v>
      </c>
    </row>
    <row r="4" spans="1:5" x14ac:dyDescent="0.25">
      <c r="A4" t="str">
        <f t="shared" ref="A4:A22" si="0">IF(B4="D","  Commands.QuickPutEntry_function(string("&amp;C4&amp;") + string("&amp;D4&amp;"), (void*) InterpreterManager::"&amp;E4&amp;");",IF(B4="C","  // "&amp;C4,""))</f>
        <v xml:space="preserve">  Commands.QuickPutEntry_function(string(LABEL_ENVIRONMENT_SETTINGS) + string(), (void*) InterpreterManager::SetenvCall);</v>
      </c>
      <c r="B4" s="1" t="s">
        <v>136</v>
      </c>
      <c r="C4" t="s">
        <v>216</v>
      </c>
      <c r="E4" t="s">
        <v>290</v>
      </c>
    </row>
    <row r="5" spans="1:5" x14ac:dyDescent="0.25">
      <c r="A5" t="str">
        <f t="shared" si="0"/>
        <v xml:space="preserve">  // Simulator Settings</v>
      </c>
      <c r="B5" s="1" t="s">
        <v>149</v>
      </c>
      <c r="C5" t="s">
        <v>296</v>
      </c>
    </row>
    <row r="6" spans="1:5" x14ac:dyDescent="0.25">
      <c r="A6" t="str">
        <f t="shared" si="0"/>
        <v xml:space="preserve">  Commands.QuickPutEntry_function(string(LABEL_SIMULATOR_SETTINGS) + string(), (void*) InterpreterManager::SetsimCall);</v>
      </c>
      <c r="B6" s="1" t="s">
        <v>136</v>
      </c>
      <c r="C6" t="s">
        <v>217</v>
      </c>
      <c r="E6" t="s">
        <v>291</v>
      </c>
    </row>
    <row r="7" spans="1:5" x14ac:dyDescent="0.25">
      <c r="A7" t="str">
        <f t="shared" si="0"/>
        <v xml:space="preserve">  // Run Commands</v>
      </c>
      <c r="B7" s="1" t="s">
        <v>149</v>
      </c>
      <c r="C7" t="s">
        <v>298</v>
      </c>
    </row>
    <row r="8" spans="1:5" x14ac:dyDescent="0.25">
      <c r="A8" t="str">
        <f t="shared" si="0"/>
        <v xml:space="preserve">  Commands.QuickPutEntry_function(string(LABEL_RUN_SIMULATION) + string(SS_INITIALIZE), (void*) InterpreterManager::RunsimCall);</v>
      </c>
      <c r="B8" s="1" t="s">
        <v>136</v>
      </c>
      <c r="C8" t="s">
        <v>218</v>
      </c>
      <c r="D8" t="s">
        <v>231</v>
      </c>
      <c r="E8" t="s">
        <v>292</v>
      </c>
    </row>
    <row r="9" spans="1:5" x14ac:dyDescent="0.25">
      <c r="A9" t="str">
        <f t="shared" si="0"/>
        <v xml:space="preserve">  Commands.QuickPutEntry_function(string(LABEL_RUN_SIMULATION) + string(SS_ADD_V1_DIFFUSION), (void*) InterpreterManager::RunsimCall);</v>
      </c>
      <c r="B9" s="1" t="s">
        <v>136</v>
      </c>
      <c r="C9" t="s">
        <v>218</v>
      </c>
      <c r="D9" t="s">
        <v>232</v>
      </c>
      <c r="E9" t="s">
        <v>292</v>
      </c>
    </row>
    <row r="10" spans="1:5" x14ac:dyDescent="0.25">
      <c r="A10" t="str">
        <f t="shared" si="0"/>
        <v xml:space="preserve">  Commands.QuickPutEntry_function(string(LABEL_RUN_SIMULATION) + string(SS_SIMULATE), (void*) InterpreterManager::RunsimCall);</v>
      </c>
      <c r="B10" s="1" t="s">
        <v>136</v>
      </c>
      <c r="C10" t="s">
        <v>218</v>
      </c>
      <c r="D10" t="s">
        <v>233</v>
      </c>
      <c r="E10" t="s">
        <v>292</v>
      </c>
    </row>
    <row r="11" spans="1:5" x14ac:dyDescent="0.25">
      <c r="A11" t="str">
        <f t="shared" si="0"/>
        <v xml:space="preserve">  // Reporting Commands</v>
      </c>
      <c r="B11" s="1" t="s">
        <v>149</v>
      </c>
      <c r="C11" t="s">
        <v>299</v>
      </c>
    </row>
    <row r="12" spans="1:5" x14ac:dyDescent="0.25">
      <c r="A12" t="str">
        <f t="shared" si="0"/>
        <v xml:space="preserve">  Commands.QuickPutEntry_function(string(LABEL_REPORTING) + string(PRINT_ENV), (void*) InterpreterManager::ReportCall);</v>
      </c>
      <c r="B12" s="1" t="s">
        <v>136</v>
      </c>
      <c r="C12" t="s">
        <v>219</v>
      </c>
      <c r="D12" t="s">
        <v>235</v>
      </c>
      <c r="E12" t="s">
        <v>293</v>
      </c>
    </row>
    <row r="13" spans="1:5" x14ac:dyDescent="0.25">
      <c r="A13" t="str">
        <f t="shared" si="0"/>
        <v xml:space="preserve">  Commands.QuickPutEntry_function(string(LABEL_REPORTING) + string(PRINT_SIM), (void*) InterpreterManager::ReportCall);</v>
      </c>
      <c r="B13" s="1" t="s">
        <v>136</v>
      </c>
      <c r="C13" t="s">
        <v>219</v>
      </c>
      <c r="D13" t="s">
        <v>236</v>
      </c>
      <c r="E13" t="s">
        <v>293</v>
      </c>
    </row>
    <row r="14" spans="1:5" x14ac:dyDescent="0.25">
      <c r="A14" t="str">
        <f t="shared" si="0"/>
        <v xml:space="preserve">  Commands.QuickPutEntry_function(string(LABEL_REPORTING) + string(SS_PRINT_V1_ACTIVATION), (void*) InterpreterManager::ReportCall);</v>
      </c>
      <c r="B14" s="1" t="s">
        <v>136</v>
      </c>
      <c r="C14" t="s">
        <v>219</v>
      </c>
      <c r="D14" t="s">
        <v>237</v>
      </c>
      <c r="E14" t="s">
        <v>293</v>
      </c>
    </row>
    <row r="15" spans="1:5" x14ac:dyDescent="0.25">
      <c r="A15" t="str">
        <f t="shared" si="0"/>
        <v xml:space="preserve">  Commands.QuickPutEntry_function(string(LABEL_REPORTING) + string(SS_PRINT_V1_ACTIVATION_HORIZONTAL), (void*) InterpreterManager::ReportCall);</v>
      </c>
      <c r="B15" s="1" t="s">
        <v>136</v>
      </c>
      <c r="C15" t="s">
        <v>219</v>
      </c>
      <c r="D15" t="s">
        <v>238</v>
      </c>
      <c r="E15" t="s">
        <v>293</v>
      </c>
    </row>
    <row r="16" spans="1:5" x14ac:dyDescent="0.25">
      <c r="A16" t="str">
        <f t="shared" si="0"/>
        <v xml:space="preserve">  Commands.QuickPutEntry_function(string(LABEL_REPORTING) + string(SS_PRINT_V1_EXTERNAL_EXCITATION), (void*) InterpreterManager::ReportCall);</v>
      </c>
      <c r="B16" s="1" t="s">
        <v>136</v>
      </c>
      <c r="C16" t="s">
        <v>219</v>
      </c>
      <c r="D16" t="s">
        <v>239</v>
      </c>
      <c r="E16" t="s">
        <v>293</v>
      </c>
    </row>
    <row r="17" spans="1:5" x14ac:dyDescent="0.25">
      <c r="A17" t="str">
        <f t="shared" si="0"/>
        <v xml:space="preserve">  Commands.QuickPutEntry_function(string(LABEL_REPORTING) + string(SS_PRINT_MT_ACTIVATION), (void*) InterpreterManager::ReportCall);</v>
      </c>
      <c r="B17" s="1" t="s">
        <v>136</v>
      </c>
      <c r="C17" t="s">
        <v>219</v>
      </c>
      <c r="D17" t="s">
        <v>240</v>
      </c>
      <c r="E17" t="s">
        <v>293</v>
      </c>
    </row>
    <row r="18" spans="1:5" x14ac:dyDescent="0.25">
      <c r="A18" t="str">
        <f t="shared" si="0"/>
        <v xml:space="preserve">  Commands.QuickPutEntry_function(string(LABEL_REPORTING) + string(SS_PRINT_MT_ACTIVATION_HORIZONTAL), (void*) InterpreterManager::ReportCall);</v>
      </c>
      <c r="B18" s="1" t="s">
        <v>136</v>
      </c>
      <c r="C18" t="s">
        <v>219</v>
      </c>
      <c r="D18" t="s">
        <v>241</v>
      </c>
      <c r="E18" t="s">
        <v>293</v>
      </c>
    </row>
    <row r="19" spans="1:5" x14ac:dyDescent="0.25">
      <c r="A19" t="str">
        <f t="shared" si="0"/>
        <v xml:space="preserve">  // I/O Interaction Commands</v>
      </c>
      <c r="B19" s="1" t="s">
        <v>149</v>
      </c>
      <c r="C19" t="s">
        <v>300</v>
      </c>
    </row>
    <row r="20" spans="1:5" x14ac:dyDescent="0.25">
      <c r="A20" t="str">
        <f t="shared" si="0"/>
        <v xml:space="preserve">  Commands.QuickPutEntry_function(string(LABEL_IO_INTERACTIONS) + string(NPROC), (void*) InterpreterManager::RescueCall_NPROC);</v>
      </c>
      <c r="B20" s="1" t="s">
        <v>136</v>
      </c>
      <c r="C20" t="s">
        <v>220</v>
      </c>
      <c r="D20" t="s">
        <v>243</v>
      </c>
      <c r="E20" t="s">
        <v>318</v>
      </c>
    </row>
    <row r="21" spans="1:5" s="48" customFormat="1" x14ac:dyDescent="0.25">
      <c r="B21" s="45"/>
      <c r="C21" s="48" t="s">
        <v>303</v>
      </c>
    </row>
    <row r="22" spans="1:5" x14ac:dyDescent="0.25">
      <c r="A22" t="str">
        <f t="shared" si="0"/>
        <v xml:space="preserve">  Commands.QuickPutEntry_function(string(LABEL_IO_INTERACTIONS) + string(NPROC_SILENT), (void*) InterpreterManager::RescueCall);</v>
      </c>
      <c r="B22" s="1" t="s">
        <v>136</v>
      </c>
      <c r="C22" t="s">
        <v>220</v>
      </c>
      <c r="D22" t="s">
        <v>244</v>
      </c>
      <c r="E22" t="s">
        <v>294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5"/>
  <sheetViews>
    <sheetView tabSelected="1" workbookViewId="0">
      <pane ySplit="1" topLeftCell="A44" activePane="bottomLeft" state="frozen"/>
      <selection pane="bottomLeft" activeCell="E22" sqref="E22"/>
    </sheetView>
  </sheetViews>
  <sheetFormatPr defaultRowHeight="15" customHeight="1" x14ac:dyDescent="0.25"/>
  <cols>
    <col min="1" max="2" width="2.85546875" style="25" customWidth="1"/>
    <col min="3" max="4" width="2.85546875" style="1" customWidth="1"/>
    <col min="5" max="5" width="57.140625" customWidth="1"/>
    <col min="6" max="6" width="30.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37" t="s">
        <v>281</v>
      </c>
    </row>
    <row r="2" spans="1:11" s="32" customFormat="1" ht="15" customHeight="1" x14ac:dyDescent="0.25">
      <c r="A2" s="29" t="str">
        <f t="shared" ref="A2:A13" si="0">IF(C2="","",IF(C2="C",CHAR(10) &amp; "// " &amp; E2,IF(C2="I","#define " &amp; E2 &amp; " " &amp; I2,IF(C2="P","#define " &amp; E2 &amp; " """ &amp; F2 &amp; """" &amp; CHAR(10) &amp; "#define DEFAULT_" &amp; E2 &amp; " " &amp; I2,IF(C2="S","","ERROR")))))</f>
        <v xml:space="preserve">
// Math</v>
      </c>
      <c r="B2" s="29" t="str">
        <f t="shared" ref="B2:B1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30" t="s">
        <v>149</v>
      </c>
      <c r="D2" s="30"/>
      <c r="E2" s="32" t="s">
        <v>148</v>
      </c>
      <c r="F2" s="31"/>
      <c r="G2" s="31"/>
      <c r="H2" s="31"/>
      <c r="I2" s="31"/>
      <c r="J2" s="30" t="str">
        <f t="shared" ref="J2:J7" si="2">IF(OR(C2="P",C2="S"),IF(L2="",1,IF(L2=1,N2,IF(L2=2,N2&amp;" * "&amp;Q2,"ERROR"))),"")</f>
        <v/>
      </c>
    </row>
    <row r="3" spans="1:11" s="36" customFormat="1" ht="15" customHeight="1" x14ac:dyDescent="0.25">
      <c r="A3" s="33" t="str">
        <f t="shared" si="0"/>
        <v>#define PI 3.1415926535</v>
      </c>
      <c r="B3" s="33" t="str">
        <f t="shared" si="1"/>
        <v/>
      </c>
      <c r="C3" s="28" t="s">
        <v>137</v>
      </c>
      <c r="D3" s="28"/>
      <c r="E3" s="36" t="s">
        <v>150</v>
      </c>
      <c r="F3" s="35"/>
      <c r="G3" s="35"/>
      <c r="H3" s="35"/>
      <c r="I3" s="41" t="s">
        <v>159</v>
      </c>
      <c r="J3" s="64" t="str">
        <f t="shared" si="2"/>
        <v/>
      </c>
      <c r="K3" s="36" t="s">
        <v>154</v>
      </c>
    </row>
    <row r="4" spans="1:11" s="32" customFormat="1" ht="15" customHeight="1" x14ac:dyDescent="0.25">
      <c r="A4" s="29" t="str">
        <f t="shared" si="0"/>
        <v xml:space="preserve">
// HashTable</v>
      </c>
      <c r="B4" s="29" t="str">
        <f t="shared" si="1"/>
        <v xml:space="preserve">  // HashTable</v>
      </c>
      <c r="C4" s="30" t="s">
        <v>149</v>
      </c>
      <c r="D4" s="30"/>
      <c r="E4" s="32" t="s">
        <v>151</v>
      </c>
      <c r="F4" s="31"/>
      <c r="G4" s="31"/>
      <c r="H4" s="31"/>
      <c r="I4" s="31"/>
      <c r="J4" s="30" t="str">
        <f t="shared" si="2"/>
        <v/>
      </c>
    </row>
    <row r="5" spans="1:11" s="36" customFormat="1" ht="15" customHeight="1" x14ac:dyDescent="0.25">
      <c r="A5" s="33" t="str">
        <f t="shared" si="0"/>
        <v>#define HASH_A 611057</v>
      </c>
      <c r="B5" s="33" t="str">
        <f t="shared" si="1"/>
        <v/>
      </c>
      <c r="C5" s="28" t="s">
        <v>137</v>
      </c>
      <c r="D5" s="28"/>
      <c r="E5" s="36" t="s">
        <v>165</v>
      </c>
      <c r="F5" s="35"/>
      <c r="G5" s="35"/>
      <c r="H5" s="35"/>
      <c r="I5" s="35">
        <v>611057</v>
      </c>
      <c r="J5" s="28" t="str">
        <f t="shared" si="2"/>
        <v/>
      </c>
      <c r="K5" s="36" t="s">
        <v>276</v>
      </c>
    </row>
    <row r="6" spans="1:11" s="36" customFormat="1" ht="15" customHeight="1" x14ac:dyDescent="0.25">
      <c r="A6" s="33" t="str">
        <f t="shared" si="0"/>
        <v>#define HASH_B 286421</v>
      </c>
      <c r="B6" s="33" t="str">
        <f t="shared" si="1"/>
        <v/>
      </c>
      <c r="C6" s="28" t="s">
        <v>137</v>
      </c>
      <c r="D6" s="28"/>
      <c r="E6" s="36" t="s">
        <v>166</v>
      </c>
      <c r="F6" s="35"/>
      <c r="G6" s="35"/>
      <c r="H6" s="35"/>
      <c r="I6" s="35">
        <v>286421</v>
      </c>
      <c r="J6" s="28" t="str">
        <f t="shared" si="2"/>
        <v/>
      </c>
      <c r="K6" s="36" t="s">
        <v>277</v>
      </c>
    </row>
    <row r="7" spans="1:11" s="36" customFormat="1" ht="15" customHeight="1" x14ac:dyDescent="0.25">
      <c r="A7" s="33" t="str">
        <f t="shared" si="0"/>
        <v>#define HASH_C 126989</v>
      </c>
      <c r="B7" s="33" t="str">
        <f t="shared" si="1"/>
        <v/>
      </c>
      <c r="C7" s="28" t="s">
        <v>137</v>
      </c>
      <c r="D7" s="28"/>
      <c r="E7" s="36" t="s">
        <v>152</v>
      </c>
      <c r="F7" s="35"/>
      <c r="G7" s="35"/>
      <c r="H7" s="35"/>
      <c r="I7" s="35">
        <v>126989</v>
      </c>
      <c r="J7" s="28" t="str">
        <f t="shared" si="2"/>
        <v/>
      </c>
      <c r="K7" s="36" t="s">
        <v>278</v>
      </c>
    </row>
    <row r="8" spans="1:11" s="36" customFormat="1" ht="15" customHeight="1" x14ac:dyDescent="0.25">
      <c r="A8" s="33" t="str">
        <f t="shared" si="0"/>
        <v>#define HASH_CAPACITY_MULTIPLICATOR 1.5</v>
      </c>
      <c r="B8" s="33" t="str">
        <f t="shared" si="1"/>
        <v/>
      </c>
      <c r="C8" s="28" t="s">
        <v>137</v>
      </c>
      <c r="D8" s="28"/>
      <c r="E8" s="36" t="s">
        <v>381</v>
      </c>
      <c r="F8" s="35"/>
      <c r="G8" s="35"/>
      <c r="H8" s="35"/>
      <c r="I8" s="35">
        <v>1.5</v>
      </c>
      <c r="J8" s="28"/>
    </row>
    <row r="9" spans="1:11" s="32" customFormat="1" ht="15" customHeight="1" x14ac:dyDescent="0.25">
      <c r="A9" s="29" t="str">
        <f t="shared" si="0"/>
        <v xml:space="preserve">
// HashTables Sizes</v>
      </c>
      <c r="B9" s="29" t="str">
        <f t="shared" si="1"/>
        <v xml:space="preserve">  // HashTables Sizes</v>
      </c>
      <c r="C9" s="30" t="s">
        <v>149</v>
      </c>
      <c r="D9" s="30"/>
      <c r="E9" s="32" t="s">
        <v>374</v>
      </c>
      <c r="F9" s="31"/>
      <c r="G9" s="31"/>
      <c r="H9" s="31"/>
      <c r="I9" s="31"/>
      <c r="J9" s="30" t="str">
        <f>IF(OR(C9="P",C9="S"),IF(L9="",1,IF(L9=1,N9,IF(L9=2,N9&amp;" * "&amp;Q9,"ERROR"))),"")</f>
        <v/>
      </c>
    </row>
    <row r="10" spans="1:11" s="36" customFormat="1" ht="15" customHeight="1" x14ac:dyDescent="0.25">
      <c r="A10" s="33" t="str">
        <f t="shared" si="0"/>
        <v>#define MAX_LINKING_NEURONS MAX_V1_NEURONS + MAX_MT_NEURONS</v>
      </c>
      <c r="B10" s="33" t="str">
        <f t="shared" si="1"/>
        <v/>
      </c>
      <c r="C10" s="28" t="s">
        <v>137</v>
      </c>
      <c r="D10" s="28"/>
      <c r="E10" s="36" t="s">
        <v>373</v>
      </c>
      <c r="F10" s="35"/>
      <c r="G10" s="35"/>
      <c r="H10" s="35"/>
      <c r="I10" s="35" t="str">
        <f>E30&amp;" + "&amp;E63</f>
        <v>MAX_V1_NEURONS + MAX_MT_NEURONS</v>
      </c>
      <c r="J10" s="28"/>
    </row>
    <row r="11" spans="1:11" s="36" customFormat="1" ht="15" customHeight="1" x14ac:dyDescent="0.25">
      <c r="A11" s="33" t="str">
        <f t="shared" si="0"/>
        <v>#define INTERPRETER_MANAGER_COMMANDS_HASH_SIZE 14</v>
      </c>
      <c r="B11" s="33" t="str">
        <f t="shared" si="1"/>
        <v/>
      </c>
      <c r="C11" s="28" t="s">
        <v>137</v>
      </c>
      <c r="D11" s="28"/>
      <c r="E11" s="36" t="s">
        <v>370</v>
      </c>
      <c r="F11" s="35"/>
      <c r="G11" s="35"/>
      <c r="H11" s="35"/>
      <c r="I11" s="35">
        <f>COUNTIF(InterpreterManager.Initialize!B:B,"D")</f>
        <v>14</v>
      </c>
      <c r="J11" s="28" t="str">
        <f>IF(OR(C11="P",C11="S"),IF(L11="",1,IF(L11=1,N11,IF(L11=2,N11&amp;" * "&amp;Q11,"ERROR"))),"")</f>
        <v/>
      </c>
    </row>
    <row r="12" spans="1:11" s="36" customFormat="1" ht="15" customHeight="1" x14ac:dyDescent="0.25">
      <c r="A12" s="33" t="str">
        <f t="shared" si="0"/>
        <v>#define LOG_MANAGER_MESSAGES_HASH_SIZE 74</v>
      </c>
      <c r="B12" s="33" t="str">
        <f t="shared" si="1"/>
        <v/>
      </c>
      <c r="C12" s="28" t="s">
        <v>137</v>
      </c>
      <c r="D12" s="28"/>
      <c r="E12" s="36" t="s">
        <v>371</v>
      </c>
      <c r="F12" s="35"/>
      <c r="G12" s="35"/>
      <c r="H12" s="35"/>
      <c r="I12" s="35">
        <f>COUNTA(LogManager.Initialize!C:C)-COUNTIF(LogManager.Initialize!C:C,"#")</f>
        <v>74</v>
      </c>
      <c r="J12" s="28" t="str">
        <f>IF(OR(C12="P",C12="S"),IF(L12="",1,IF(L12=1,N12,IF(L12=2,N12&amp;" * "&amp;Q12,"ERROR"))),"")</f>
        <v/>
      </c>
    </row>
    <row r="13" spans="1:11" s="36" customFormat="1" ht="15" customHeight="1" x14ac:dyDescent="0.25">
      <c r="A13" s="33" t="str">
        <f t="shared" si="0"/>
        <v>#define SETTINGS_MANAGER_INT_HASH_SIZE 1</v>
      </c>
      <c r="B13" s="33" t="str">
        <f t="shared" si="1"/>
        <v/>
      </c>
      <c r="C13" s="28" t="s">
        <v>137</v>
      </c>
      <c r="D13" s="28"/>
      <c r="E13" s="36" t="s">
        <v>372</v>
      </c>
      <c r="F13" s="35"/>
      <c r="G13" s="35"/>
      <c r="H13" s="35"/>
      <c r="I13" s="35" t="str">
        <f>SUMIFS(J:J,G:G,"=Data_int",C:C,"=P")&amp;CONCATENATEIFS(C1:C507,"S",G1:G507,"Data_int",J1:J507)</f>
        <v>1</v>
      </c>
      <c r="J13" s="28" t="str">
        <f>IF(OR(C13="P",C13="S"),IF(L13="",1,IF(L13=1,N13,IF(L13=2,N13&amp;" * "&amp;Q13,"ERROR"))),"")</f>
        <v/>
      </c>
    </row>
    <row r="14" spans="1:11" s="36" customFormat="1" ht="15" customHeight="1" x14ac:dyDescent="0.25">
      <c r="A14" s="33" t="str">
        <f t="shared" ref="A14:A19" si="3">IF(C14="","",IF(C14="C",CHAR(10) &amp; "// " &amp; E14,IF(C14="I","#define " &amp; E14 &amp; " " &amp; I14,IF(C14="P","#define " &amp; E14 &amp; " """ &amp; F14 &amp; """" &amp; CHAR(10) &amp; "#define DEFAULT_" &amp; E14 &amp; " " &amp; I14,IF(C14="S","","ERROR")))))</f>
        <v>#define SETTINGS_MANAGER_FLOAT_HASH_SIZE 0</v>
      </c>
      <c r="B14" s="33" t="str">
        <f t="shared" ref="B14:B19" si="4">IF(C14="","",IF(C14="C","  // "&amp;E14,IF(C14="P",IF(D14="E","  Environment.",IF(D14="S","  Simulation.","ERROR"))&amp;"SetSetting("&amp;E14&amp;", "&amp;G14&amp;", "&amp;H14&amp;");",IF(C14="S",
IF(L14=1,"  for (int i = 0; i &lt; "&amp;N14&amp;"; i++) {"&amp;CHAR(10)&amp;IF(D14="E","    Environment.",IF(D14="S","    Simulation.","ERROR"))&amp;"SetSetting("&amp;M14&amp;" + "&amp;O14&amp;", "&amp;G14&amp;", "&amp;H14&amp;");"&amp;CHAR(10)&amp;"  }",
IF(L14=2,"  for (int i = 0; i &lt; "&amp;N14&amp;"; i++) {"&amp;CHAR(10)&amp;"    for (int j = 0; j &lt; "&amp;Q14&amp;"; j++) {"&amp;CHAR(10)&amp;IF(D14="E","      Environment.",IF(D14="S","      Simulation.","ERROR"))&amp;"SetSetting("&amp;M14&amp;" + "&amp;O14&amp;" + "&amp;P14&amp;" + "&amp;R14&amp;", "&amp;G14&amp;", "&amp;H14&amp;");"&amp;CHAR(10)&amp;"    }"&amp;CHAR(10)&amp;"  }","ERROR")),""))))</f>
        <v/>
      </c>
      <c r="C14" s="28" t="s">
        <v>137</v>
      </c>
      <c r="D14" s="28"/>
      <c r="E14" s="36" t="s">
        <v>376</v>
      </c>
      <c r="F14" s="35"/>
      <c r="G14" s="35"/>
      <c r="H14" s="35"/>
      <c r="I14" s="35" t="str">
        <f>SUMIFS(J:J,G:G,"=Data_float",C:C,"=P")&amp;CONCATENATEIFS(C1:C507,"S",G1:G507,"Data_float",J1:J507)</f>
        <v>0</v>
      </c>
      <c r="J14" s="28"/>
    </row>
    <row r="15" spans="1:11" s="36" customFormat="1" ht="15" customHeight="1" x14ac:dyDescent="0.25">
      <c r="A15" s="33" t="str">
        <f t="shared" si="3"/>
        <v>#define SETTINGS_MANAGER_DOUBLE_HASH_SIZE 19 + MAX_V1_NEURONS + MAX_MT_NEURONS + MAX_V1_NEURONS * MAX_V1_NEURONS</v>
      </c>
      <c r="B15" s="33" t="str">
        <f t="shared" si="4"/>
        <v/>
      </c>
      <c r="C15" s="28" t="s">
        <v>137</v>
      </c>
      <c r="D15" s="28"/>
      <c r="E15" s="36" t="s">
        <v>375</v>
      </c>
      <c r="F15" s="35"/>
      <c r="G15" s="35"/>
      <c r="H15" s="35"/>
      <c r="I15" s="35" t="str">
        <f>SUMIFS(J:J,G:G,"=Data_double",C:C,"=P")&amp;CONCATENATEIFS(C1:C507,"S",G1:G507,"Data_double",J1:J507)</f>
        <v>19 + MAX_V1_NEURONS + MAX_MT_NEURONS + MAX_V1_NEURONS * MAX_V1_NEURONS</v>
      </c>
      <c r="J15" s="28"/>
    </row>
    <row r="16" spans="1:11" s="36" customFormat="1" ht="15" customHeight="1" x14ac:dyDescent="0.25">
      <c r="A16" s="33" t="str">
        <f t="shared" si="3"/>
        <v>#define SETTINGS_MANAGER_STRING_HASH_SIZE 10</v>
      </c>
      <c r="B16" s="33" t="str">
        <f t="shared" si="4"/>
        <v/>
      </c>
      <c r="C16" s="28" t="s">
        <v>137</v>
      </c>
      <c r="D16" s="28"/>
      <c r="E16" s="36" t="s">
        <v>377</v>
      </c>
      <c r="F16" s="35"/>
      <c r="G16" s="35"/>
      <c r="H16" s="35"/>
      <c r="I16" s="35" t="str">
        <f>SUMIFS(J:J,G:G,"=Data_string",C:C,"=P")&amp;CONCATENATEIFS(C1:C507,"S",G1:G507,"Data_string",J1:J507)</f>
        <v>10</v>
      </c>
      <c r="J16" s="28"/>
    </row>
    <row r="17" spans="1:15" s="36" customFormat="1" ht="15" customHeight="1" x14ac:dyDescent="0.25">
      <c r="A17" s="33" t="str">
        <f t="shared" si="3"/>
        <v>#define SETTINGS_MANAGER_BOOL_HASH_SIZE 1</v>
      </c>
      <c r="B17" s="33" t="str">
        <f t="shared" si="4"/>
        <v/>
      </c>
      <c r="C17" s="28" t="s">
        <v>137</v>
      </c>
      <c r="D17" s="28"/>
      <c r="E17" s="36" t="s">
        <v>378</v>
      </c>
      <c r="F17" s="35"/>
      <c r="G17" s="35"/>
      <c r="H17" s="35"/>
      <c r="I17" s="35" t="str">
        <f>SUMIFS(J:J,G:G,"=Data_bool",C:C,"=P")&amp;CONCATENATEIFS(C1:C507,"S",G1:G507,"Data_bool",J1:J507)</f>
        <v>1</v>
      </c>
      <c r="J17" s="28"/>
    </row>
    <row r="18" spans="1:15" s="36" customFormat="1" ht="15" customHeight="1" x14ac:dyDescent="0.25">
      <c r="A18" s="3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33" t="str">
        <f t="shared" ref="B18" si="6">IF(C18="","",IF(C18="C","  // "&amp;E18,IF(C18="P",IF(D18="E","  Environment.",IF(D18="S","  Simulation.","ERROR"))&amp;"SetSetting("&amp;E18&amp;", "&amp;G18&amp;", "&amp;H18&amp;");",IF(C18="S",
IF(L18=1,"  for (int i = 0; i &lt; "&amp;N18&amp;"; i++) {"&amp;CHAR(10)&amp;IF(D18="E","    Environment.",IF(D18="S","    Simulation.","ERROR"))&amp;"SetSetting("&amp;M18&amp;" + "&amp;O18&amp;", "&amp;G18&amp;", "&amp;H18&amp;");"&amp;CHAR(10)&amp;"  }",
IF(L18=2,"  for (int i = 0; i &lt; "&amp;N18&amp;"; i++) {"&amp;CHAR(10)&amp;"    for (int j = 0; j &lt; "&amp;Q18&amp;"; j++) {"&amp;CHAR(10)&amp;IF(D18="E","      Environment.",IF(D18="S","      Simulation.","ERROR"))&amp;"SetSetting("&amp;M18&amp;" + "&amp;O18&amp;" + "&amp;P18&amp;" + "&amp;R18&amp;", "&amp;G18&amp;", "&amp;H18&amp;");"&amp;CHAR(10)&amp;"    }"&amp;CHAR(10)&amp;"  }","ERROR")),""))))</f>
        <v/>
      </c>
      <c r="C18" s="28" t="s">
        <v>137</v>
      </c>
      <c r="D18" s="28"/>
      <c r="E18" s="36" t="s">
        <v>380</v>
      </c>
      <c r="F18" s="35"/>
      <c r="G18" s="35"/>
      <c r="H18" s="35"/>
      <c r="I18" s="35" t="str">
        <f>CONCATENATEDELIMETER(E13:E17," + ")</f>
        <v>SETTINGS_MANAGER_INT_HASH_SIZE + SETTINGS_MANAGER_FLOAT_HASH_SIZE + SETTINGS_MANAGER_DOUBLE_HASH_SIZE + SETTINGS_MANAGER_STRING_HASH_SIZE + SETTINGS_MANAGER_BOOL_HASH_SIZE</v>
      </c>
      <c r="J18" s="28"/>
    </row>
    <row r="19" spans="1:15" s="36" customFormat="1" ht="15" customHeight="1" x14ac:dyDescent="0.25">
      <c r="A19" s="33" t="str">
        <f t="shared" si="3"/>
        <v>#define SETTINGS_MANAGER_SETTINGSIZE_HASH_SIZE SETTINGS_MANAGER_INT_HASH_SIZE + SETTINGS_MANAGER_FLOAT_HASH_SIZE + SETTINGS_MANAGER_DOUBLE_HASH_SIZE + SETTINGS_MANAGER_STRING_HASH_SIZE + SETTINGS_MANAGER_BOOL_HASH_SIZE</v>
      </c>
      <c r="B19" s="33" t="str">
        <f t="shared" si="4"/>
        <v/>
      </c>
      <c r="C19" s="28" t="s">
        <v>137</v>
      </c>
      <c r="D19" s="28"/>
      <c r="E19" s="36" t="s">
        <v>379</v>
      </c>
      <c r="F19" s="35"/>
      <c r="G19" s="35"/>
      <c r="H19" s="35"/>
      <c r="I19" s="35" t="str">
        <f>CONCATENATEDELIMETER(E13:E17," + ")</f>
        <v>SETTINGS_MANAGER_INT_HASH_SIZE + SETTINGS_MANAGER_FLOAT_HASH_SIZE + SETTINGS_MANAGER_DOUBLE_HASH_SIZE + SETTINGS_MANAGER_STRING_HASH_SIZE + SETTINGS_MANAGER_BOOL_HASH_SIZE</v>
      </c>
      <c r="J19" s="28"/>
    </row>
    <row r="20" spans="1:15" s="32" customFormat="1" ht="15" customHeight="1" x14ac:dyDescent="0.25">
      <c r="A20" s="29" t="str">
        <f t="shared" ref="A20:A25" si="7">IF(C20="","",IF(C20="C",CHAR(10) &amp; "// " &amp; E20,IF(C20="I","#define " &amp; E20 &amp; " " &amp; I20,IF(C20="P","#define " &amp; E20 &amp; " """ &amp; F20 &amp; """" &amp; CHAR(10) &amp; "#define DEFAULT_" &amp; E20 &amp; " " &amp; I20,IF(C20="S","","ERROR")))))</f>
        <v xml:space="preserve">
// Default Log Verbose Behavior</v>
      </c>
      <c r="B20" s="29" t="str">
        <f t="shared" ref="B20:B25" si="8">IF(C20="","",IF(C20="C","  // "&amp;E20,IF(C20="P",IF(D20="E","  Environment.",IF(D20="S","  Simulation.","ERROR"))&amp;"SetSetting("&amp;E20&amp;", "&amp;G20&amp;", "&amp;H20&amp;");",IF(C20="S",
IF(L20=1,"  for (int i = 0; i &lt; "&amp;N20&amp;"; i++) {"&amp;CHAR(10)&amp;IF(D20="E","    Environment.",IF(D20="S","    Simulation.","ERROR"))&amp;"SetSetting("&amp;M20&amp;" + "&amp;O20&amp;", "&amp;G20&amp;", "&amp;H20&amp;");"&amp;CHAR(10)&amp;"  }",
IF(L20=2,"  for (int i = 0; i &lt; "&amp;N20&amp;"; i++) {"&amp;CHAR(10)&amp;"    for (int j = 0; j &lt; "&amp;Q20&amp;"; j++) {"&amp;CHAR(10)&amp;IF(D20="E","      Environment.",IF(D20="S","      Simulation.","ERROR"))&amp;"SetSetting("&amp;M20&amp;" + "&amp;O20&amp;" + "&amp;P20&amp;" + "&amp;R20&amp;", "&amp;G20&amp;", "&amp;H20&amp;");"&amp;CHAR(10)&amp;"    }"&amp;CHAR(10)&amp;"  }","ERROR")),""))))</f>
        <v xml:space="preserve">  // Default Log Verbose Behavior</v>
      </c>
      <c r="C20" s="30" t="s">
        <v>149</v>
      </c>
      <c r="D20" s="30"/>
      <c r="E20" s="32" t="s">
        <v>319</v>
      </c>
      <c r="F20" s="31"/>
      <c r="G20" s="31"/>
      <c r="H20" s="31"/>
      <c r="I20" s="31"/>
      <c r="J20" s="30" t="str">
        <f t="shared" ref="J20:J52" si="9">IF(OR(C20="P",C20="S"),IF(L20="",1,IF(L20=1,N20,IF(L20=2,N20&amp;" * "&amp;Q20,"ERROR"))),"")</f>
        <v/>
      </c>
    </row>
    <row r="21" spans="1:15" ht="15" customHeight="1" x14ac:dyDescent="0.25">
      <c r="A21" s="25" t="str">
        <f t="shared" si="7"/>
        <v>#define DEFAULT_MESSAGES true</v>
      </c>
      <c r="B21" s="25" t="str">
        <f t="shared" si="8"/>
        <v/>
      </c>
      <c r="C21" s="1" t="s">
        <v>137</v>
      </c>
      <c r="E21" t="s">
        <v>155</v>
      </c>
      <c r="I21" s="39" t="s">
        <v>157</v>
      </c>
      <c r="J21" s="65" t="str">
        <f t="shared" si="9"/>
        <v/>
      </c>
      <c r="K21" t="s">
        <v>161</v>
      </c>
    </row>
    <row r="22" spans="1:15" ht="15" customHeight="1" x14ac:dyDescent="0.25">
      <c r="A22" s="25" t="str">
        <f t="shared" si="7"/>
        <v>#define DEFAULT_SILENT_OUTPUT false</v>
      </c>
      <c r="B22" s="25" t="str">
        <f t="shared" si="8"/>
        <v/>
      </c>
      <c r="C22" s="1" t="s">
        <v>137</v>
      </c>
      <c r="E22" t="s">
        <v>156</v>
      </c>
      <c r="I22" s="39" t="s">
        <v>158</v>
      </c>
      <c r="J22" s="65" t="str">
        <f t="shared" si="9"/>
        <v/>
      </c>
      <c r="K22" t="s">
        <v>162</v>
      </c>
    </row>
    <row r="23" spans="1:15" s="32" customFormat="1" ht="15" customHeight="1" x14ac:dyDescent="0.25">
      <c r="A23" s="29" t="str">
        <f t="shared" si="7"/>
        <v xml:space="preserve">
// Environment Variables</v>
      </c>
      <c r="B23" s="29" t="str">
        <f t="shared" si="8"/>
        <v xml:space="preserve">  // Environment Variables</v>
      </c>
      <c r="C23" s="30" t="s">
        <v>149</v>
      </c>
      <c r="D23" s="30"/>
      <c r="E23" s="32" t="s">
        <v>160</v>
      </c>
      <c r="F23" s="31"/>
      <c r="G23" s="31"/>
      <c r="H23" s="31"/>
      <c r="I23" s="31"/>
      <c r="J23" s="30" t="str">
        <f t="shared" si="9"/>
        <v/>
      </c>
    </row>
    <row r="24" spans="1:15" ht="15" customHeight="1" x14ac:dyDescent="0.25">
      <c r="A24" s="25" t="str">
        <f t="shared" si="7"/>
        <v>#define HIDE_END "hide_end"
#define DEFAULT_HIDE_END false</v>
      </c>
      <c r="B24" s="25" t="str">
        <f t="shared" si="8"/>
        <v xml:space="preserve">  Environment.SetSetting(HIDE_END, Data_bool, 1);</v>
      </c>
      <c r="C24" s="1" t="s">
        <v>163</v>
      </c>
      <c r="D24" s="1" t="s">
        <v>265</v>
      </c>
      <c r="E24" s="38" t="s">
        <v>284</v>
      </c>
      <c r="F24" s="13" t="s">
        <v>285</v>
      </c>
      <c r="G24" s="13" t="s">
        <v>164</v>
      </c>
      <c r="H24" s="13">
        <v>1</v>
      </c>
      <c r="I24" s="39" t="s">
        <v>158</v>
      </c>
      <c r="J24" s="65">
        <f t="shared" si="9"/>
        <v>1</v>
      </c>
      <c r="K24" s="13" t="s">
        <v>286</v>
      </c>
    </row>
    <row r="25" spans="1:15" ht="15" customHeight="1" x14ac:dyDescent="0.25">
      <c r="A25" s="25" t="str">
        <f t="shared" si="7"/>
        <v>#define NEURONS_NAME_SIZE 6</v>
      </c>
      <c r="B25" s="25" t="str">
        <f t="shared" si="8"/>
        <v/>
      </c>
      <c r="C25" s="1" t="s">
        <v>137</v>
      </c>
      <c r="E25" s="38" t="s">
        <v>270</v>
      </c>
      <c r="I25" s="13">
        <v>6</v>
      </c>
      <c r="J25" s="1" t="str">
        <f t="shared" si="9"/>
        <v/>
      </c>
      <c r="K25" t="s">
        <v>169</v>
      </c>
    </row>
    <row r="26" spans="1:15" s="48" customFormat="1" ht="15" customHeight="1" x14ac:dyDescent="0.25">
      <c r="A26" s="44"/>
      <c r="B26" s="44"/>
      <c r="C26" s="45" t="s">
        <v>139</v>
      </c>
      <c r="D26" s="45"/>
      <c r="E26" s="46" t="s">
        <v>301</v>
      </c>
      <c r="F26" s="47"/>
      <c r="G26" s="47"/>
      <c r="H26" s="47"/>
      <c r="I26" s="47"/>
      <c r="J26" s="45" t="str">
        <f t="shared" si="9"/>
        <v/>
      </c>
    </row>
    <row r="27" spans="1:15" s="57" customFormat="1" ht="15" customHeight="1" x14ac:dyDescent="0.25">
      <c r="A27" s="55" t="str">
        <f t="shared" ref="A27:A59" si="10">IF(C27="","",IF(C27="C",CHAR(10) &amp; "// " &amp; E27,IF(C27="I","#define " &amp; E27 &amp; " " &amp; I27,IF(C27="P","#define " &amp; E27 &amp; " """ &amp; F27 &amp; """" &amp; CHAR(10) &amp; "#define DEFAULT_" &amp; E27 &amp; " " &amp; I27,IF(C27="S","","ERROR")))))</f>
        <v xml:space="preserve">
// V1 Neuron Settings</v>
      </c>
      <c r="B27" s="55" t="str">
        <f t="shared" ref="B27:B59" si="11">IF(C27="","",IF(C27="C","  // "&amp;E27,IF(C27="P",IF(D27="E","  Environment.",IF(D27="S","  Simulation.","ERROR"))&amp;"SetSetting("&amp;E27&amp;", "&amp;G27&amp;", "&amp;H27&amp;");",IF(C27="S",
IF(L27=1,"  for (int i = 0; i &lt; "&amp;N27&amp;"; i++) {"&amp;CHAR(10)&amp;IF(D27="E","    Environment.",IF(D27="S","    Simulation.","ERROR"))&amp;"SetSetting("&amp;M27&amp;" + "&amp;O27&amp;", "&amp;G27&amp;", "&amp;H27&amp;");"&amp;CHAR(10)&amp;"  }",
IF(L27=2,"  for (int i = 0; i &lt; "&amp;N27&amp;"; i++) {"&amp;CHAR(10)&amp;"    for (int j = 0; j &lt; "&amp;Q27&amp;"; j++) {"&amp;CHAR(10)&amp;IF(D27="E","      Environment.",IF(D27="S","      Simulation.","ERROR"))&amp;"SetSetting("&amp;M27&amp;" + "&amp;O27&amp;" + "&amp;P27&amp;" + "&amp;R27&amp;", "&amp;G27&amp;", "&amp;H27&amp;");"&amp;CHAR(10)&amp;"    }"&amp;CHAR(10)&amp;"  }","ERROR")),""))))</f>
        <v xml:space="preserve">  // V1 Neuron Settings</v>
      </c>
      <c r="C27" s="56" t="s">
        <v>149</v>
      </c>
      <c r="D27" s="56"/>
      <c r="E27" s="57" t="s">
        <v>331</v>
      </c>
      <c r="F27" s="58"/>
      <c r="G27" s="58"/>
      <c r="H27" s="58"/>
      <c r="I27" s="58"/>
      <c r="J27" s="56" t="str">
        <f t="shared" si="9"/>
        <v/>
      </c>
    </row>
    <row r="28" spans="1:15" s="32" customFormat="1" ht="15" customHeight="1" x14ac:dyDescent="0.25">
      <c r="A28" s="29" t="str">
        <f t="shared" si="10"/>
        <v xml:space="preserve">
// V1 Neuron Parameters</v>
      </c>
      <c r="B28" s="29" t="str">
        <f t="shared" si="11"/>
        <v xml:space="preserve">  // V1 Neuron Parameters</v>
      </c>
      <c r="C28" s="30" t="s">
        <v>149</v>
      </c>
      <c r="D28" s="30"/>
      <c r="E28" s="32" t="s">
        <v>167</v>
      </c>
      <c r="F28" s="31"/>
      <c r="G28" s="31"/>
      <c r="H28" s="31"/>
      <c r="I28" s="31"/>
      <c r="J28" s="30" t="str">
        <f t="shared" si="9"/>
        <v/>
      </c>
    </row>
    <row r="29" spans="1:15" s="36" customFormat="1" ht="15" customHeight="1" x14ac:dyDescent="0.25">
      <c r="A29" s="33" t="str">
        <f t="shared" si="10"/>
        <v>#define V1_LABEL "V1"</v>
      </c>
      <c r="B29" s="33" t="str">
        <f t="shared" si="11"/>
        <v/>
      </c>
      <c r="C29" s="28" t="s">
        <v>137</v>
      </c>
      <c r="D29" s="28"/>
      <c r="E29" s="42" t="s">
        <v>266</v>
      </c>
      <c r="F29" s="35"/>
      <c r="G29" s="35"/>
      <c r="H29" s="35"/>
      <c r="I29" s="35" t="s">
        <v>267</v>
      </c>
      <c r="J29" s="28" t="str">
        <f t="shared" si="9"/>
        <v/>
      </c>
    </row>
    <row r="30" spans="1:15" ht="15" customHeight="1" x14ac:dyDescent="0.25">
      <c r="A30" s="25" t="str">
        <f t="shared" si="10"/>
        <v>#define MAX_V1_NEURONS 600</v>
      </c>
      <c r="B30" s="25" t="str">
        <f t="shared" si="11"/>
        <v/>
      </c>
      <c r="C30" s="1" t="s">
        <v>137</v>
      </c>
      <c r="E30" s="38" t="s">
        <v>168</v>
      </c>
      <c r="I30" s="13">
        <v>600</v>
      </c>
      <c r="J30" s="1" t="str">
        <f t="shared" si="9"/>
        <v/>
      </c>
      <c r="K30" t="s">
        <v>321</v>
      </c>
    </row>
    <row r="31" spans="1:15" ht="15" customHeight="1" x14ac:dyDescent="0.25">
      <c r="A31" s="25" t="str">
        <f t="shared" si="10"/>
        <v/>
      </c>
      <c r="B31" s="25" t="str">
        <f t="shared" si="11"/>
        <v xml:space="preserve">  for (int i = 0; i &lt; MAX_V1_NEURONS; i++) {
    Simulation.SetSetting(V1_LABEL + NNumber(i), Data_double, 8);
  }</v>
      </c>
      <c r="C31" s="1" t="s">
        <v>264</v>
      </c>
      <c r="D31" s="1" t="s">
        <v>264</v>
      </c>
      <c r="E31" s="38"/>
      <c r="G31" s="13" t="s">
        <v>182</v>
      </c>
      <c r="H31" s="13">
        <v>8</v>
      </c>
      <c r="J31" s="1" t="str">
        <f t="shared" si="9"/>
        <v>MAX_V1_NEURONS</v>
      </c>
      <c r="L31">
        <v>1</v>
      </c>
      <c r="M31" t="s">
        <v>266</v>
      </c>
      <c r="N31" t="s">
        <v>168</v>
      </c>
      <c r="O31" t="s">
        <v>271</v>
      </c>
    </row>
    <row r="32" spans="1:15" ht="15" customHeight="1" x14ac:dyDescent="0.25">
      <c r="A32" s="25" t="str">
        <f t="shared" si="10"/>
        <v>#define V1_FIRST_CALCULATION "V1_first_calculation"
#define DEFAULT_V1_FIRST_CALCULATION "none"</v>
      </c>
      <c r="B32" s="25" t="str">
        <f t="shared" si="11"/>
        <v xml:space="preserve">  Simulation.SetSetting(V1_FIRST_CALCULATION, Data_string, 1);</v>
      </c>
      <c r="C32" s="1" t="s">
        <v>163</v>
      </c>
      <c r="D32" s="1" t="s">
        <v>264</v>
      </c>
      <c r="E32" s="38" t="s">
        <v>355</v>
      </c>
      <c r="F32" s="13" t="s">
        <v>356</v>
      </c>
      <c r="G32" s="13" t="s">
        <v>172</v>
      </c>
      <c r="H32" s="13">
        <v>1</v>
      </c>
      <c r="I32" s="13" t="s">
        <v>173</v>
      </c>
      <c r="J32" s="1">
        <f t="shared" si="9"/>
        <v>1</v>
      </c>
      <c r="K32" t="s">
        <v>357</v>
      </c>
    </row>
    <row r="33" spans="1:11" ht="15" customHeight="1" x14ac:dyDescent="0.25">
      <c r="A33" s="25" t="str">
        <f t="shared" si="10"/>
        <v>#define V1_ACTIVATION_METHOD "V1_act_method"
#define DEFAULT_V1_ACTIVATION_METHOD "none"</v>
      </c>
      <c r="B33" s="25" t="str">
        <f t="shared" si="11"/>
        <v xml:space="preserve">  Simulation.SetSetting(V1_ACTIVATION_METHOD, Data_string, 1);</v>
      </c>
      <c r="C33" s="1" t="s">
        <v>163</v>
      </c>
      <c r="D33" s="1" t="s">
        <v>264</v>
      </c>
      <c r="E33" s="38" t="s">
        <v>170</v>
      </c>
      <c r="F33" s="13" t="s">
        <v>171</v>
      </c>
      <c r="G33" s="13" t="s">
        <v>172</v>
      </c>
      <c r="H33" s="13">
        <v>1</v>
      </c>
      <c r="I33" s="13" t="s">
        <v>173</v>
      </c>
      <c r="J33" s="1">
        <f t="shared" si="9"/>
        <v>1</v>
      </c>
      <c r="K33" t="s">
        <v>177</v>
      </c>
    </row>
    <row r="34" spans="1:11" ht="15" customHeight="1" x14ac:dyDescent="0.25">
      <c r="A34" s="25" t="str">
        <f t="shared" si="10"/>
        <v>#define V1_DACTIVATION_METHOD "V1_dac_method"
#define DEFAULT_V1_DACTIVATION_METHOD "none"</v>
      </c>
      <c r="B34" s="25" t="str">
        <f t="shared" si="11"/>
        <v xml:space="preserve">  Simulation.SetSetting(V1_DACTIVATION_METHOD, Data_string, 1);</v>
      </c>
      <c r="C34" s="1" t="s">
        <v>163</v>
      </c>
      <c r="D34" s="1" t="s">
        <v>264</v>
      </c>
      <c r="E34" s="38" t="s">
        <v>174</v>
      </c>
      <c r="F34" s="13" t="s">
        <v>175</v>
      </c>
      <c r="G34" s="13" t="s">
        <v>172</v>
      </c>
      <c r="H34" s="13">
        <v>1</v>
      </c>
      <c r="I34" s="13" t="s">
        <v>173</v>
      </c>
      <c r="J34" s="1">
        <f t="shared" si="9"/>
        <v>1</v>
      </c>
      <c r="K34" t="s">
        <v>176</v>
      </c>
    </row>
    <row r="35" spans="1:11" ht="15" customHeight="1" x14ac:dyDescent="0.25">
      <c r="A35" s="25" t="str">
        <f t="shared" si="10"/>
        <v>#define V1_EXTERNAL_EXCITATION_METHOD "V1_external_excitation_method"
#define DEFAULT_V1_EXTERNAL_EXCITATION_METHOD "none"</v>
      </c>
      <c r="B35" s="25" t="str">
        <f t="shared" si="11"/>
        <v xml:space="preserve">  Simulation.SetSetting(V1_EXTERNAL_EXCITATION_METHOD, Data_string, 1);</v>
      </c>
      <c r="C35" s="1" t="s">
        <v>163</v>
      </c>
      <c r="D35" s="1" t="s">
        <v>264</v>
      </c>
      <c r="E35" s="38" t="s">
        <v>262</v>
      </c>
      <c r="F35" s="13" t="s">
        <v>263</v>
      </c>
      <c r="G35" s="13" t="s">
        <v>172</v>
      </c>
      <c r="H35" s="13">
        <v>1</v>
      </c>
      <c r="I35" s="13" t="s">
        <v>173</v>
      </c>
      <c r="J35" s="1">
        <f t="shared" si="9"/>
        <v>1</v>
      </c>
    </row>
    <row r="36" spans="1:11" s="61" customFormat="1" ht="15" customHeight="1" x14ac:dyDescent="0.25">
      <c r="A36" s="59" t="str">
        <f t="shared" si="10"/>
        <v xml:space="preserve">
// V1 Activation Methods</v>
      </c>
      <c r="B36" s="59" t="str">
        <f t="shared" si="11"/>
        <v xml:space="preserve">  // V1 Activation Methods</v>
      </c>
      <c r="C36" s="60" t="s">
        <v>149</v>
      </c>
      <c r="D36" s="60"/>
      <c r="E36" s="63" t="s">
        <v>322</v>
      </c>
      <c r="F36" s="62"/>
      <c r="G36" s="62"/>
      <c r="H36" s="62"/>
      <c r="I36" s="62"/>
      <c r="J36" s="60" t="str">
        <f t="shared" si="9"/>
        <v/>
      </c>
    </row>
    <row r="37" spans="1:11" ht="15" customHeight="1" x14ac:dyDescent="0.25">
      <c r="A37" s="25" t="str">
        <f t="shared" si="10"/>
        <v>#define V1_A001 "V1_A001"</v>
      </c>
      <c r="B37" s="25" t="str">
        <f t="shared" si="11"/>
        <v/>
      </c>
      <c r="C37" s="1" t="s">
        <v>137</v>
      </c>
      <c r="E37" s="38" t="s">
        <v>323</v>
      </c>
      <c r="I37" s="13" t="s">
        <v>324</v>
      </c>
      <c r="J37" s="1" t="str">
        <f t="shared" si="9"/>
        <v/>
      </c>
      <c r="K37" t="s">
        <v>325</v>
      </c>
    </row>
    <row r="38" spans="1:11" s="32" customFormat="1" ht="15" customHeight="1" x14ac:dyDescent="0.25">
      <c r="A38" s="29" t="str">
        <f t="shared" si="10"/>
        <v xml:space="preserve">
// V1_A001 Method Parameters</v>
      </c>
      <c r="B38" s="29" t="str">
        <f t="shared" si="11"/>
        <v xml:space="preserve">  // V1_A001 Method Parameters</v>
      </c>
      <c r="C38" s="30" t="s">
        <v>149</v>
      </c>
      <c r="D38" s="30"/>
      <c r="E38" s="40" t="s">
        <v>328</v>
      </c>
      <c r="F38" s="31"/>
      <c r="G38" s="31"/>
      <c r="H38" s="31"/>
      <c r="I38" s="31"/>
      <c r="J38" s="30" t="str">
        <f t="shared" si="9"/>
        <v/>
      </c>
    </row>
    <row r="39" spans="1:11" ht="15" customHeight="1" x14ac:dyDescent="0.25">
      <c r="A39" s="25" t="str">
        <f t="shared" si="10"/>
        <v>#define V1_A001_NL_MAX "V1_A001_nl_max"
#define DEFAULT_V1_A001_NL_MAX 1</v>
      </c>
      <c r="B39" s="25" t="str">
        <f t="shared" si="11"/>
        <v xml:space="preserve">  Simulation.SetSetting(V1_A001_NL_MAX, Data_double, 1);</v>
      </c>
      <c r="C39" s="1" t="s">
        <v>163</v>
      </c>
      <c r="D39" s="1" t="s">
        <v>264</v>
      </c>
      <c r="E39" s="38" t="s">
        <v>364</v>
      </c>
      <c r="F39" s="13" t="s">
        <v>367</v>
      </c>
      <c r="G39" s="13" t="s">
        <v>182</v>
      </c>
      <c r="H39" s="13">
        <v>1</v>
      </c>
      <c r="I39" s="13">
        <v>1</v>
      </c>
      <c r="J39" s="1">
        <f t="shared" si="9"/>
        <v>1</v>
      </c>
    </row>
    <row r="40" spans="1:11" ht="15" customHeight="1" x14ac:dyDescent="0.25">
      <c r="A40" s="25" t="str">
        <f t="shared" si="10"/>
        <v>#define V1_A001_NL_A "V1_A001_nl_a"
#define DEFAULT_V1_A001_NL_A 5</v>
      </c>
      <c r="B40" s="25" t="str">
        <f t="shared" si="11"/>
        <v xml:space="preserve">  Simulation.SetSetting(V1_A001_NL_A, Data_double, 1);</v>
      </c>
      <c r="C40" s="1" t="s">
        <v>163</v>
      </c>
      <c r="D40" s="1" t="s">
        <v>264</v>
      </c>
      <c r="E40" s="38" t="s">
        <v>365</v>
      </c>
      <c r="F40" s="13" t="s">
        <v>368</v>
      </c>
      <c r="G40" s="13" t="s">
        <v>182</v>
      </c>
      <c r="H40" s="13">
        <v>1</v>
      </c>
      <c r="I40" s="13">
        <v>5</v>
      </c>
      <c r="J40" s="1">
        <f t="shared" si="9"/>
        <v>1</v>
      </c>
    </row>
    <row r="41" spans="1:11" ht="15" customHeight="1" x14ac:dyDescent="0.25">
      <c r="A41" s="25" t="str">
        <f t="shared" si="10"/>
        <v>#define V1_A001_NL_B "V1_A001_nl_b"
#define DEFAULT_V1_A001_NL_B 0.17</v>
      </c>
      <c r="B41" s="25" t="str">
        <f t="shared" si="11"/>
        <v xml:space="preserve">  Simulation.SetSetting(V1_A001_NL_B, Data_double, 1);</v>
      </c>
      <c r="C41" s="1" t="s">
        <v>163</v>
      </c>
      <c r="D41" s="1" t="s">
        <v>264</v>
      </c>
      <c r="E41" s="38" t="s">
        <v>366</v>
      </c>
      <c r="F41" s="13" t="s">
        <v>369</v>
      </c>
      <c r="G41" s="13" t="s">
        <v>182</v>
      </c>
      <c r="H41" s="13">
        <v>1</v>
      </c>
      <c r="I41" s="13">
        <v>0.17</v>
      </c>
      <c r="J41" s="1">
        <f t="shared" si="9"/>
        <v>1</v>
      </c>
    </row>
    <row r="42" spans="1:11" s="32" customFormat="1" ht="15" customHeight="1" x14ac:dyDescent="0.25">
      <c r="A42" s="29" t="str">
        <f t="shared" si="10"/>
        <v xml:space="preserve">
// None</v>
      </c>
      <c r="B42" s="29" t="str">
        <f t="shared" si="11"/>
        <v xml:space="preserve">  // None</v>
      </c>
      <c r="C42" s="30" t="s">
        <v>149</v>
      </c>
      <c r="D42" s="30"/>
      <c r="E42" s="40" t="s">
        <v>334</v>
      </c>
      <c r="F42" s="31"/>
      <c r="G42" s="31"/>
      <c r="H42" s="31"/>
      <c r="I42" s="31"/>
      <c r="J42" s="30" t="str">
        <f t="shared" si="9"/>
        <v/>
      </c>
    </row>
    <row r="43" spans="1:11" s="61" customFormat="1" ht="15" customHeight="1" x14ac:dyDescent="0.25">
      <c r="A43" s="59" t="str">
        <f t="shared" si="10"/>
        <v xml:space="preserve">
// V1 Derivate Activation Methods</v>
      </c>
      <c r="B43" s="59" t="str">
        <f t="shared" si="11"/>
        <v xml:space="preserve">  // V1 Derivate Activation Methods</v>
      </c>
      <c r="C43" s="60" t="s">
        <v>149</v>
      </c>
      <c r="D43" s="60"/>
      <c r="E43" s="63" t="s">
        <v>326</v>
      </c>
      <c r="F43" s="62"/>
      <c r="G43" s="62"/>
      <c r="H43" s="62"/>
      <c r="I43" s="62"/>
      <c r="J43" s="60" t="str">
        <f t="shared" si="9"/>
        <v/>
      </c>
    </row>
    <row r="44" spans="1:11" ht="15" customHeight="1" x14ac:dyDescent="0.25">
      <c r="A44" s="25" t="str">
        <f t="shared" si="10"/>
        <v>#define V1_D001 "V1_D001"</v>
      </c>
      <c r="B44" s="25" t="str">
        <f t="shared" si="11"/>
        <v/>
      </c>
      <c r="C44" s="1" t="s">
        <v>137</v>
      </c>
      <c r="E44" s="38" t="s">
        <v>178</v>
      </c>
      <c r="I44" s="13" t="s">
        <v>246</v>
      </c>
      <c r="J44" s="1" t="str">
        <f t="shared" si="9"/>
        <v/>
      </c>
      <c r="K44" t="s">
        <v>179</v>
      </c>
    </row>
    <row r="45" spans="1:11" s="32" customFormat="1" ht="15" customHeight="1" x14ac:dyDescent="0.25">
      <c r="A45" s="29" t="str">
        <f t="shared" si="10"/>
        <v xml:space="preserve">
// V1_D001 Method Parameters</v>
      </c>
      <c r="B45" s="29" t="str">
        <f t="shared" si="11"/>
        <v xml:space="preserve">  // V1_D001 Method Parameters</v>
      </c>
      <c r="C45" s="30" t="s">
        <v>149</v>
      </c>
      <c r="D45" s="30"/>
      <c r="E45" s="40" t="s">
        <v>327</v>
      </c>
      <c r="F45" s="31"/>
      <c r="G45" s="31"/>
      <c r="H45" s="31"/>
      <c r="I45" s="31"/>
      <c r="J45" s="30" t="str">
        <f t="shared" si="9"/>
        <v/>
      </c>
    </row>
    <row r="46" spans="1:11" ht="15" customHeight="1" x14ac:dyDescent="0.25">
      <c r="A46" s="25" t="str">
        <f t="shared" si="10"/>
        <v>#define V1_D001_CONDUCTANCE_LEAK "V1_D001_conductance_leak"
#define DEFAULT_V1_D001_CONDUCTANCE_LEAK -0.1</v>
      </c>
      <c r="B46" s="25" t="str">
        <f t="shared" si="11"/>
        <v xml:space="preserve">  Simulation.SetSetting(V1_D001_CONDUCTANCE_LEAK, Data_double, 1);</v>
      </c>
      <c r="C46" s="1" t="s">
        <v>163</v>
      </c>
      <c r="D46" s="1" t="s">
        <v>264</v>
      </c>
      <c r="E46" s="38" t="s">
        <v>180</v>
      </c>
      <c r="F46" s="13" t="s">
        <v>181</v>
      </c>
      <c r="G46" s="13" t="s">
        <v>182</v>
      </c>
      <c r="H46" s="13">
        <v>1</v>
      </c>
      <c r="I46" s="13">
        <v>-0.1</v>
      </c>
      <c r="J46" s="1">
        <f t="shared" si="9"/>
        <v>1</v>
      </c>
    </row>
    <row r="47" spans="1:11" ht="15" customHeight="1" x14ac:dyDescent="0.25">
      <c r="A47" s="25" t="str">
        <f t="shared" si="10"/>
        <v>#define V1_D001_EXCITATORY_FACTOR "V1_D001_excitatory_factor"
#define DEFAULT_V1_D001_EXCITATORY_FACTOR 0.2</v>
      </c>
      <c r="B47" s="25" t="str">
        <f t="shared" si="11"/>
        <v xml:space="preserve">  Simulation.SetSetting(V1_D001_EXCITATORY_FACTOR, Data_double, 1);</v>
      </c>
      <c r="C47" s="1" t="s">
        <v>163</v>
      </c>
      <c r="D47" s="1" t="s">
        <v>264</v>
      </c>
      <c r="E47" s="38" t="s">
        <v>183</v>
      </c>
      <c r="F47" s="13" t="s">
        <v>184</v>
      </c>
      <c r="G47" s="13" t="s">
        <v>182</v>
      </c>
      <c r="H47" s="13">
        <v>1</v>
      </c>
      <c r="I47" s="13">
        <v>0.2</v>
      </c>
      <c r="J47" s="1">
        <f t="shared" si="9"/>
        <v>1</v>
      </c>
    </row>
    <row r="48" spans="1:11" ht="15" customHeight="1" x14ac:dyDescent="0.25">
      <c r="A48" s="25" t="str">
        <f t="shared" si="10"/>
        <v>#define V1_D001_INHIBITION_FACTOR "V1_D001_inhibition_factor"
#define DEFAULT_V1_D001_INHIBITION_FACTOR -0.8</v>
      </c>
      <c r="B48" s="25" t="str">
        <f t="shared" si="11"/>
        <v xml:space="preserve">  Simulation.SetSetting(V1_D001_INHIBITION_FACTOR, Data_double, 1);</v>
      </c>
      <c r="C48" s="1" t="s">
        <v>163</v>
      </c>
      <c r="D48" s="1" t="s">
        <v>264</v>
      </c>
      <c r="E48" s="38" t="s">
        <v>185</v>
      </c>
      <c r="F48" s="13" t="s">
        <v>186</v>
      </c>
      <c r="G48" s="13" t="s">
        <v>182</v>
      </c>
      <c r="H48" s="13">
        <v>1</v>
      </c>
      <c r="I48" s="13">
        <v>-0.8</v>
      </c>
      <c r="J48" s="1">
        <f t="shared" si="9"/>
        <v>1</v>
      </c>
    </row>
    <row r="49" spans="1:15" ht="15" customHeight="1" x14ac:dyDescent="0.25">
      <c r="A49" s="25" t="str">
        <f t="shared" ref="A49" si="12">IF(C49="","",IF(C49="C",CHAR(10) &amp; "// " &amp; E49,IF(C49="I","#define " &amp; E49 &amp; " " &amp; I49,IF(C49="P","#define " &amp; E49 &amp; " """ &amp; F49 &amp; """" &amp; CHAR(10) &amp; "#define DEFAULT_" &amp; E49 &amp; " " &amp; I49,IF(C49="S","","ERROR")))))</f>
        <v>#define V1_D001_WEIGHT_FACTOR "V1_D001_weight_factor"
#define DEFAULT_V1_D001_WEIGHT_FACTOR 100</v>
      </c>
      <c r="B49" s="25" t="str">
        <f t="shared" ref="B49" si="13">IF(C49="","",IF(C49="C","  // "&amp;E49,IF(C49="P",IF(D49="E","  Environment.",IF(D49="S","  Simulation.","ERROR"))&amp;"SetSetting("&amp;E49&amp;", "&amp;G49&amp;", "&amp;H49&amp;");",IF(C49="S",
IF(L49=1,"  for (int i = 0; i &lt; "&amp;N49&amp;"; i++) {"&amp;CHAR(10)&amp;IF(D49="E","    Environment.",IF(D49="S","    Simulation.","ERROR"))&amp;"SetSetting("&amp;M49&amp;" + "&amp;O49&amp;", "&amp;G49&amp;", "&amp;H49&amp;");"&amp;CHAR(10)&amp;"  }",
IF(L49=2,"  for (int i = 0; i &lt; "&amp;N49&amp;"; i++) {"&amp;CHAR(10)&amp;"    for (int j = 0; j &lt; "&amp;Q49&amp;"; j++) {"&amp;CHAR(10)&amp;IF(D49="E","      Environment.",IF(D49="S","      Simulation.","ERROR"))&amp;"SetSetting("&amp;M49&amp;" + "&amp;O49&amp;" + "&amp;P49&amp;" + "&amp;R49&amp;", "&amp;G49&amp;", "&amp;H49&amp;");"&amp;CHAR(10)&amp;"    }"&amp;CHAR(10)&amp;"  }","ERROR")),""))))</f>
        <v xml:space="preserve">  Simulation.SetSetting(V1_D001_WEIGHT_FACTOR, Data_double, 1);</v>
      </c>
      <c r="C49" s="1" t="s">
        <v>163</v>
      </c>
      <c r="D49" s="1" t="s">
        <v>264</v>
      </c>
      <c r="E49" s="38" t="s">
        <v>383</v>
      </c>
      <c r="F49" s="13" t="s">
        <v>384</v>
      </c>
      <c r="G49" s="13" t="s">
        <v>182</v>
      </c>
      <c r="H49" s="13">
        <v>1</v>
      </c>
      <c r="I49" s="13">
        <v>100</v>
      </c>
      <c r="J49" s="1">
        <f t="shared" si="9"/>
        <v>1</v>
      </c>
    </row>
    <row r="50" spans="1:15" s="61" customFormat="1" ht="15" customHeight="1" x14ac:dyDescent="0.25">
      <c r="A50" s="59" t="str">
        <f t="shared" si="10"/>
        <v xml:space="preserve">
// V1 Diffusion Imput Methods</v>
      </c>
      <c r="B50" s="59" t="str">
        <f t="shared" si="11"/>
        <v xml:space="preserve">  // V1 Diffusion Imput Methods</v>
      </c>
      <c r="C50" s="60" t="s">
        <v>149</v>
      </c>
      <c r="D50" s="60"/>
      <c r="E50" s="61" t="s">
        <v>329</v>
      </c>
      <c r="F50" s="62"/>
      <c r="G50" s="62"/>
      <c r="H50" s="62"/>
      <c r="I50" s="62"/>
      <c r="J50" s="60" t="str">
        <f t="shared" si="9"/>
        <v/>
      </c>
    </row>
    <row r="51" spans="1:15" s="36" customFormat="1" ht="15" customHeight="1" x14ac:dyDescent="0.25">
      <c r="A51" s="33" t="str">
        <f t="shared" si="10"/>
        <v>#define V1_F001 "V1_F001"</v>
      </c>
      <c r="B51" s="33" t="str">
        <f t="shared" si="11"/>
        <v/>
      </c>
      <c r="C51" s="28" t="s">
        <v>137</v>
      </c>
      <c r="D51" s="28"/>
      <c r="E51" s="36" t="s">
        <v>201</v>
      </c>
      <c r="F51" s="35"/>
      <c r="G51" s="35"/>
      <c r="H51" s="35"/>
      <c r="I51" s="35" t="s">
        <v>247</v>
      </c>
      <c r="J51" s="28" t="str">
        <f t="shared" si="9"/>
        <v/>
      </c>
    </row>
    <row r="52" spans="1:15" s="32" customFormat="1" ht="15" customHeight="1" x14ac:dyDescent="0.25">
      <c r="A52" s="29" t="str">
        <f t="shared" si="10"/>
        <v xml:space="preserve">
// V1_F001 Method Parameters</v>
      </c>
      <c r="B52" s="29" t="str">
        <f t="shared" si="11"/>
        <v xml:space="preserve">  // V1_F001 Method Parameters</v>
      </c>
      <c r="C52" s="30" t="s">
        <v>149</v>
      </c>
      <c r="D52" s="30"/>
      <c r="E52" s="32" t="s">
        <v>330</v>
      </c>
      <c r="F52" s="31"/>
      <c r="G52" s="31"/>
      <c r="H52" s="31"/>
      <c r="I52" s="31"/>
      <c r="J52" s="30" t="str">
        <f t="shared" si="9"/>
        <v/>
      </c>
    </row>
    <row r="53" spans="1:15" ht="15" customHeight="1" x14ac:dyDescent="0.25">
      <c r="A53" s="25" t="str">
        <f t="shared" si="10"/>
        <v>#define V1_F001_A "V1_F001_a"
#define DEFAULT_V1_F001_A 0</v>
      </c>
      <c r="B53" s="25" t="str">
        <f t="shared" si="11"/>
        <v xml:space="preserve">  Simulation.SetSetting(V1_F001_A, Data_double, 1);</v>
      </c>
      <c r="C53" s="1" t="s">
        <v>163</v>
      </c>
      <c r="D53" s="1" t="s">
        <v>264</v>
      </c>
      <c r="E53" t="s">
        <v>187</v>
      </c>
      <c r="F53" t="s">
        <v>194</v>
      </c>
      <c r="G53" s="13" t="s">
        <v>182</v>
      </c>
      <c r="H53" s="13">
        <v>1</v>
      </c>
      <c r="I53" s="13">
        <v>0</v>
      </c>
      <c r="J53" s="1">
        <f t="shared" ref="J53:J84" si="14">IF(OR(C53="P",C53="S"),IF(L53="",1,IF(L53=1,N53,IF(L53=2,N53&amp;" * "&amp;Q53,"ERROR"))),"")</f>
        <v>1</v>
      </c>
    </row>
    <row r="54" spans="1:15" ht="15" customHeight="1" x14ac:dyDescent="0.25">
      <c r="A54" s="25" t="str">
        <f t="shared" si="10"/>
        <v>#define V1_F001_B "V1_F001_b"
#define DEFAULT_V1_F001_B 0</v>
      </c>
      <c r="B54" s="25" t="str">
        <f t="shared" si="11"/>
        <v xml:space="preserve">  Simulation.SetSetting(V1_F001_B, Data_double, 1);</v>
      </c>
      <c r="C54" s="1" t="s">
        <v>163</v>
      </c>
      <c r="D54" s="1" t="s">
        <v>264</v>
      </c>
      <c r="E54" t="s">
        <v>188</v>
      </c>
      <c r="F54" t="s">
        <v>195</v>
      </c>
      <c r="G54" s="13" t="s">
        <v>182</v>
      </c>
      <c r="H54" s="13">
        <v>1</v>
      </c>
      <c r="I54" s="13">
        <v>0</v>
      </c>
      <c r="J54" s="1">
        <f t="shared" si="14"/>
        <v>1</v>
      </c>
    </row>
    <row r="55" spans="1:15" ht="15" customHeight="1" x14ac:dyDescent="0.25">
      <c r="A55" s="25" t="str">
        <f t="shared" si="10"/>
        <v>#define V1_F001_ORIENTATION "V1_F001_orientation"
#define DEFAULT_V1_F001_ORIENTATION 0</v>
      </c>
      <c r="B55" s="25" t="str">
        <f t="shared" si="11"/>
        <v xml:space="preserve">  Simulation.SetSetting(V1_F001_ORIENTATION, Data_double, 1);</v>
      </c>
      <c r="C55" s="1" t="s">
        <v>163</v>
      </c>
      <c r="D55" s="1" t="s">
        <v>264</v>
      </c>
      <c r="E55" t="s">
        <v>189</v>
      </c>
      <c r="F55" t="s">
        <v>196</v>
      </c>
      <c r="G55" s="13" t="s">
        <v>182</v>
      </c>
      <c r="H55" s="13">
        <v>1</v>
      </c>
      <c r="I55" s="13">
        <v>0</v>
      </c>
      <c r="J55" s="1">
        <f t="shared" si="14"/>
        <v>1</v>
      </c>
    </row>
    <row r="56" spans="1:15" ht="15" customHeight="1" x14ac:dyDescent="0.25">
      <c r="A56" s="25" t="str">
        <f t="shared" si="10"/>
        <v>#define V1_F001_SPATIAL_FREQUENCY "V1_F001_spatial_frequency"
#define DEFAULT_V1_F001_SPATIAL_FREQUENCY 0</v>
      </c>
      <c r="B56" s="25" t="str">
        <f t="shared" si="11"/>
        <v xml:space="preserve">  Simulation.SetSetting(V1_F001_SPATIAL_FREQUENCY, Data_double, 1);</v>
      </c>
      <c r="C56" s="1" t="s">
        <v>163</v>
      </c>
      <c r="D56" s="1" t="s">
        <v>264</v>
      </c>
      <c r="E56" t="s">
        <v>190</v>
      </c>
      <c r="F56" t="s">
        <v>197</v>
      </c>
      <c r="G56" s="13" t="s">
        <v>182</v>
      </c>
      <c r="H56" s="13">
        <v>1</v>
      </c>
      <c r="I56" s="13">
        <v>0</v>
      </c>
      <c r="J56" s="1">
        <f t="shared" si="14"/>
        <v>1</v>
      </c>
    </row>
    <row r="57" spans="1:15" ht="15" customHeight="1" x14ac:dyDescent="0.25">
      <c r="A57" s="25" t="str">
        <f t="shared" si="10"/>
        <v>#define V1_F001_TEMPORAL_FREQUENCY "V1_F001_temporal_frequency"
#define DEFAULT_V1_F001_TEMPORAL_FREQUENCY 0</v>
      </c>
      <c r="B57" s="25" t="str">
        <f t="shared" si="11"/>
        <v xml:space="preserve">  Simulation.SetSetting(V1_F001_TEMPORAL_FREQUENCY, Data_double, 1);</v>
      </c>
      <c r="C57" s="1" t="s">
        <v>163</v>
      </c>
      <c r="D57" s="1" t="s">
        <v>264</v>
      </c>
      <c r="E57" t="s">
        <v>191</v>
      </c>
      <c r="F57" t="s">
        <v>198</v>
      </c>
      <c r="G57" s="13" t="s">
        <v>182</v>
      </c>
      <c r="H57" s="13">
        <v>1</v>
      </c>
      <c r="I57" s="13">
        <v>0</v>
      </c>
      <c r="J57" s="1">
        <f t="shared" si="14"/>
        <v>1</v>
      </c>
    </row>
    <row r="58" spans="1:15" ht="15" customHeight="1" x14ac:dyDescent="0.25">
      <c r="A58" s="25" t="str">
        <f t="shared" si="10"/>
        <v>#define V1_F001_MAGNITUDE "V1_F001_magnitude"
#define DEFAULT_V1_F001_MAGNITUDE 0</v>
      </c>
      <c r="B58" s="25" t="str">
        <f t="shared" si="11"/>
        <v xml:space="preserve">  Simulation.SetSetting(V1_F001_MAGNITUDE, Data_double, 1);</v>
      </c>
      <c r="C58" s="1" t="s">
        <v>163</v>
      </c>
      <c r="D58" s="1" t="s">
        <v>264</v>
      </c>
      <c r="E58" t="s">
        <v>192</v>
      </c>
      <c r="F58" t="s">
        <v>199</v>
      </c>
      <c r="G58" s="13" t="s">
        <v>182</v>
      </c>
      <c r="H58" s="13">
        <v>1</v>
      </c>
      <c r="I58" s="13">
        <v>0</v>
      </c>
      <c r="J58" s="1">
        <f t="shared" si="14"/>
        <v>1</v>
      </c>
    </row>
    <row r="59" spans="1:15" ht="15" customHeight="1" x14ac:dyDescent="0.25">
      <c r="A59" s="25" t="str">
        <f t="shared" si="10"/>
        <v>#define V1_F001_PHASE "V1_F001_phase"
#define DEFAULT_V1_F001_PHASE 0</v>
      </c>
      <c r="B59" s="25" t="str">
        <f t="shared" si="11"/>
        <v xml:space="preserve">  Simulation.SetSetting(V1_F001_PHASE, Data_int, 1);</v>
      </c>
      <c r="C59" s="1" t="s">
        <v>163</v>
      </c>
      <c r="D59" s="1" t="s">
        <v>264</v>
      </c>
      <c r="E59" t="s">
        <v>193</v>
      </c>
      <c r="F59" t="s">
        <v>200</v>
      </c>
      <c r="G59" s="13" t="s">
        <v>274</v>
      </c>
      <c r="H59" s="13">
        <v>1</v>
      </c>
      <c r="I59" s="13">
        <v>0</v>
      </c>
      <c r="J59" s="1">
        <f t="shared" si="14"/>
        <v>1</v>
      </c>
    </row>
    <row r="60" spans="1:15" s="57" customFormat="1" ht="15" customHeight="1" x14ac:dyDescent="0.25">
      <c r="A60" s="55" t="str">
        <f t="shared" ref="A60:A91" si="15">IF(C60="","",IF(C60="C",CHAR(10) &amp; "// " &amp; E60,IF(C60="I","#define " &amp; E60 &amp; " " &amp; I60,IF(C60="P","#define " &amp; E60 &amp; " """ &amp; F60 &amp; """" &amp; CHAR(10) &amp; "#define DEFAULT_" &amp; E60 &amp; " " &amp; I60,IF(C60="S","","ERROR")))))</f>
        <v xml:space="preserve">
// MT Neuron Settings</v>
      </c>
      <c r="B60" s="55" t="str">
        <f t="shared" ref="B60:B91" si="16">IF(C60="","",IF(C60="C","  // "&amp;E60,IF(C60="P",IF(D60="E","  Environment.",IF(D60="S","  Simulation.","ERROR"))&amp;"SetSetting("&amp;E60&amp;", "&amp;G60&amp;", "&amp;H60&amp;");",IF(C60="S",
IF(L60=1,"  for (int i = 0; i &lt; "&amp;N60&amp;"; i++) {"&amp;CHAR(10)&amp;IF(D60="E","    Environment.",IF(D60="S","    Simulation.","ERROR"))&amp;"SetSetting("&amp;M60&amp;" + "&amp;O60&amp;", "&amp;G60&amp;", "&amp;H60&amp;");"&amp;CHAR(10)&amp;"  }",
IF(L60=2,"  for (int i = 0; i &lt; "&amp;N60&amp;"; i++) {"&amp;CHAR(10)&amp;"    for (int j = 0; j &lt; "&amp;Q60&amp;"; j++) {"&amp;CHAR(10)&amp;IF(D60="E","      Environment.",IF(D60="S","      Simulation.","ERROR"))&amp;"SetSetting("&amp;M60&amp;" + "&amp;O60&amp;" + "&amp;P60&amp;" + "&amp;R60&amp;", "&amp;G60&amp;", "&amp;H60&amp;");"&amp;CHAR(10)&amp;"    }"&amp;CHAR(10)&amp;"  }","ERROR")),""))))</f>
        <v xml:space="preserve">  // MT Neuron Settings</v>
      </c>
      <c r="C60" s="56" t="s">
        <v>149</v>
      </c>
      <c r="D60" s="56"/>
      <c r="E60" s="57" t="s">
        <v>332</v>
      </c>
      <c r="F60" s="58"/>
      <c r="G60" s="58"/>
      <c r="H60" s="58"/>
      <c r="I60" s="58"/>
      <c r="J60" s="56" t="str">
        <f t="shared" si="14"/>
        <v/>
      </c>
    </row>
    <row r="61" spans="1:15" s="32" customFormat="1" ht="15" customHeight="1" x14ac:dyDescent="0.25">
      <c r="A61" s="29" t="str">
        <f t="shared" si="15"/>
        <v xml:space="preserve">
// MT Neuron Parameters</v>
      </c>
      <c r="B61" s="29" t="str">
        <f t="shared" si="16"/>
        <v xml:space="preserve">  // MT Neuron Parameters</v>
      </c>
      <c r="C61" s="30" t="s">
        <v>149</v>
      </c>
      <c r="D61" s="30"/>
      <c r="E61" s="32" t="s">
        <v>202</v>
      </c>
      <c r="F61" s="31"/>
      <c r="G61" s="31"/>
      <c r="H61" s="31"/>
      <c r="I61" s="31"/>
      <c r="J61" s="30" t="str">
        <f t="shared" si="14"/>
        <v/>
      </c>
    </row>
    <row r="62" spans="1:15" s="36" customFormat="1" ht="15" customHeight="1" x14ac:dyDescent="0.25">
      <c r="A62" s="33" t="str">
        <f t="shared" si="15"/>
        <v>#define MT_LABEL "MT"</v>
      </c>
      <c r="B62" s="33" t="str">
        <f t="shared" si="16"/>
        <v/>
      </c>
      <c r="C62" s="28" t="s">
        <v>137</v>
      </c>
      <c r="D62" s="28"/>
      <c r="E62" s="42" t="s">
        <v>268</v>
      </c>
      <c r="F62" s="35"/>
      <c r="G62" s="35"/>
      <c r="H62" s="35"/>
      <c r="I62" s="35" t="s">
        <v>269</v>
      </c>
      <c r="J62" s="28" t="str">
        <f t="shared" si="14"/>
        <v/>
      </c>
    </row>
    <row r="63" spans="1:15" ht="15" customHeight="1" x14ac:dyDescent="0.25">
      <c r="A63" s="25" t="str">
        <f t="shared" si="15"/>
        <v>#define MAX_MT_NEURONS 10</v>
      </c>
      <c r="B63" s="25" t="str">
        <f t="shared" si="16"/>
        <v/>
      </c>
      <c r="C63" s="1" t="s">
        <v>137</v>
      </c>
      <c r="E63" t="s">
        <v>203</v>
      </c>
      <c r="I63" s="13">
        <v>10</v>
      </c>
      <c r="J63" s="1" t="str">
        <f t="shared" si="14"/>
        <v/>
      </c>
    </row>
    <row r="64" spans="1:15" ht="15" customHeight="1" x14ac:dyDescent="0.25">
      <c r="A64" s="25" t="str">
        <f t="shared" si="15"/>
        <v/>
      </c>
      <c r="B64" s="25" t="str">
        <f t="shared" si="16"/>
        <v xml:space="preserve">  for (int i = 0; i &lt; MAX_MT_NEURONS; i++) {
    Simulation.SetSetting(MT_LABEL + NNumber(i), Data_double, 6);
  }</v>
      </c>
      <c r="C64" s="1" t="s">
        <v>264</v>
      </c>
      <c r="D64" s="1" t="s">
        <v>264</v>
      </c>
      <c r="E64" s="38"/>
      <c r="G64" s="13" t="s">
        <v>182</v>
      </c>
      <c r="H64" s="13">
        <v>6</v>
      </c>
      <c r="J64" s="1" t="str">
        <f t="shared" si="14"/>
        <v>MAX_MT_NEURONS</v>
      </c>
      <c r="L64">
        <v>1</v>
      </c>
      <c r="M64" t="s">
        <v>268</v>
      </c>
      <c r="N64" t="s">
        <v>203</v>
      </c>
      <c r="O64" t="s">
        <v>271</v>
      </c>
    </row>
    <row r="65" spans="1:11" ht="15" customHeight="1" x14ac:dyDescent="0.25">
      <c r="A65" s="25" t="str">
        <f t="shared" si="15"/>
        <v>#define MT_FIRST_CALCULATION "MT_first_calculation"
#define DEFAULT_MT_FIRST_CALCULATION "none"</v>
      </c>
      <c r="B65" s="25" t="str">
        <f t="shared" si="16"/>
        <v xml:space="preserve">  Simulation.SetSetting(MT_FIRST_CALCULATION, Data_string, 1);</v>
      </c>
      <c r="C65" s="1" t="s">
        <v>163</v>
      </c>
      <c r="D65" s="1" t="s">
        <v>264</v>
      </c>
      <c r="E65" s="38" t="s">
        <v>358</v>
      </c>
      <c r="F65" s="13" t="s">
        <v>359</v>
      </c>
      <c r="G65" s="13" t="s">
        <v>172</v>
      </c>
      <c r="H65" s="13">
        <v>1</v>
      </c>
      <c r="I65" s="13" t="s">
        <v>173</v>
      </c>
      <c r="J65" s="1">
        <f t="shared" si="14"/>
        <v>1</v>
      </c>
      <c r="K65" t="s">
        <v>357</v>
      </c>
    </row>
    <row r="66" spans="1:11" ht="15" customHeight="1" x14ac:dyDescent="0.25">
      <c r="A66" s="25" t="str">
        <f t="shared" si="15"/>
        <v>#define MT_ACTIVATION_METHOD "MT_act_method"
#define DEFAULT_MT_ACTIVATION_METHOD "none"</v>
      </c>
      <c r="B66" s="25" t="str">
        <f t="shared" si="16"/>
        <v xml:space="preserve">  Simulation.SetSetting(MT_ACTIVATION_METHOD, Data_string, 1);</v>
      </c>
      <c r="C66" s="1" t="s">
        <v>163</v>
      </c>
      <c r="D66" s="1" t="s">
        <v>264</v>
      </c>
      <c r="E66" t="s">
        <v>204</v>
      </c>
      <c r="F66" s="13" t="s">
        <v>205</v>
      </c>
      <c r="G66" s="13" t="s">
        <v>172</v>
      </c>
      <c r="H66" s="13">
        <v>1</v>
      </c>
      <c r="I66" s="13" t="s">
        <v>173</v>
      </c>
      <c r="J66" s="1">
        <f t="shared" si="14"/>
        <v>1</v>
      </c>
    </row>
    <row r="67" spans="1:11" ht="15" customHeight="1" x14ac:dyDescent="0.25">
      <c r="A67" s="25" t="str">
        <f t="shared" si="15"/>
        <v>#define MT_DACTIVATION_METHOD "MT_dac_method"
#define DEFAULT_MT_DACTIVATION_METHOD "none"</v>
      </c>
      <c r="B67" s="25" t="str">
        <f t="shared" si="16"/>
        <v xml:space="preserve">  Simulation.SetSetting(MT_DACTIVATION_METHOD, Data_string, 1);</v>
      </c>
      <c r="C67" s="1" t="s">
        <v>163</v>
      </c>
      <c r="D67" s="1" t="s">
        <v>264</v>
      </c>
      <c r="E67" t="s">
        <v>206</v>
      </c>
      <c r="F67" s="13" t="s">
        <v>207</v>
      </c>
      <c r="G67" s="13" t="s">
        <v>172</v>
      </c>
      <c r="H67" s="13">
        <v>1</v>
      </c>
      <c r="I67" s="13" t="s">
        <v>173</v>
      </c>
      <c r="J67" s="1">
        <f t="shared" si="14"/>
        <v>1</v>
      </c>
    </row>
    <row r="68" spans="1:11" s="61" customFormat="1" ht="15" customHeight="1" x14ac:dyDescent="0.25">
      <c r="A68" s="59" t="str">
        <f t="shared" si="15"/>
        <v xml:space="preserve">
// MT Activation Methods</v>
      </c>
      <c r="B68" s="59" t="str">
        <f t="shared" si="16"/>
        <v xml:space="preserve">  // MT Activation Methods</v>
      </c>
      <c r="C68" s="60" t="s">
        <v>149</v>
      </c>
      <c r="D68" s="60"/>
      <c r="E68" s="61" t="s">
        <v>335</v>
      </c>
      <c r="F68" s="62"/>
      <c r="G68" s="62"/>
      <c r="H68" s="62"/>
      <c r="I68" s="62"/>
      <c r="J68" s="60" t="str">
        <f t="shared" si="14"/>
        <v/>
      </c>
    </row>
    <row r="69" spans="1:11" ht="15" customHeight="1" x14ac:dyDescent="0.25">
      <c r="A69" s="25" t="str">
        <f t="shared" si="15"/>
        <v>#define MT_A001 "MT_A001"</v>
      </c>
      <c r="B69" s="25" t="str">
        <f t="shared" si="16"/>
        <v/>
      </c>
      <c r="C69" s="1" t="s">
        <v>137</v>
      </c>
      <c r="E69" t="s">
        <v>208</v>
      </c>
      <c r="I69" s="13" t="s">
        <v>248</v>
      </c>
      <c r="J69" s="1" t="str">
        <f t="shared" si="14"/>
        <v/>
      </c>
    </row>
    <row r="70" spans="1:11" s="32" customFormat="1" ht="15" customHeight="1" x14ac:dyDescent="0.25">
      <c r="A70" s="29" t="str">
        <f t="shared" si="15"/>
        <v xml:space="preserve">
// MT_A001 Parameters</v>
      </c>
      <c r="B70" s="29" t="str">
        <f t="shared" si="16"/>
        <v xml:space="preserve">  // MT_A001 Parameters</v>
      </c>
      <c r="C70" s="30" t="s">
        <v>149</v>
      </c>
      <c r="D70" s="30"/>
      <c r="E70" s="32" t="s">
        <v>333</v>
      </c>
      <c r="F70" s="31"/>
      <c r="G70" s="31"/>
      <c r="H70" s="31"/>
      <c r="I70" s="31"/>
      <c r="J70" s="30" t="str">
        <f t="shared" si="14"/>
        <v/>
      </c>
    </row>
    <row r="71" spans="1:11" s="32" customFormat="1" ht="15" customHeight="1" x14ac:dyDescent="0.25">
      <c r="A71" s="29" t="str">
        <f t="shared" si="15"/>
        <v xml:space="preserve">
// None</v>
      </c>
      <c r="B71" s="29" t="str">
        <f t="shared" si="16"/>
        <v xml:space="preserve">  // None</v>
      </c>
      <c r="C71" s="30" t="s">
        <v>149</v>
      </c>
      <c r="D71" s="30"/>
      <c r="E71" s="32" t="s">
        <v>334</v>
      </c>
      <c r="F71" s="31"/>
      <c r="G71" s="31"/>
      <c r="H71" s="31"/>
      <c r="I71" s="31"/>
      <c r="J71" s="30" t="str">
        <f t="shared" si="14"/>
        <v/>
      </c>
    </row>
    <row r="72" spans="1:11" s="61" customFormat="1" ht="15" customHeight="1" x14ac:dyDescent="0.25">
      <c r="A72" s="59" t="str">
        <f t="shared" si="15"/>
        <v xml:space="preserve">
// MT Derivate Activation Methods</v>
      </c>
      <c r="B72" s="59" t="str">
        <f t="shared" si="16"/>
        <v xml:space="preserve">  // MT Derivate Activation Methods</v>
      </c>
      <c r="C72" s="60" t="s">
        <v>149</v>
      </c>
      <c r="D72" s="60"/>
      <c r="E72" s="61" t="s">
        <v>336</v>
      </c>
      <c r="F72" s="62"/>
      <c r="G72" s="62"/>
      <c r="H72" s="62"/>
      <c r="I72" s="62"/>
      <c r="J72" s="60" t="str">
        <f t="shared" si="14"/>
        <v/>
      </c>
    </row>
    <row r="73" spans="1:11" ht="15" customHeight="1" x14ac:dyDescent="0.25">
      <c r="A73" s="25" t="str">
        <f t="shared" si="15"/>
        <v>#define MT_D001 "MT_D001"</v>
      </c>
      <c r="B73" s="25" t="str">
        <f t="shared" si="16"/>
        <v/>
      </c>
      <c r="C73" s="1" t="s">
        <v>137</v>
      </c>
      <c r="E73" t="s">
        <v>337</v>
      </c>
      <c r="I73" s="13" t="s">
        <v>338</v>
      </c>
      <c r="J73" s="1" t="str">
        <f t="shared" si="14"/>
        <v/>
      </c>
    </row>
    <row r="74" spans="1:11" s="32" customFormat="1" ht="15" customHeight="1" x14ac:dyDescent="0.25">
      <c r="A74" s="29" t="str">
        <f t="shared" si="15"/>
        <v xml:space="preserve">
// MT_D001 Parameters</v>
      </c>
      <c r="B74" s="29" t="str">
        <f t="shared" si="16"/>
        <v xml:space="preserve">  // MT_D001 Parameters</v>
      </c>
      <c r="C74" s="30" t="s">
        <v>149</v>
      </c>
      <c r="D74" s="30"/>
      <c r="E74" s="32" t="s">
        <v>339</v>
      </c>
      <c r="F74" s="31"/>
      <c r="G74" s="31"/>
      <c r="H74" s="31"/>
      <c r="I74" s="31"/>
      <c r="J74" s="30" t="str">
        <f t="shared" si="14"/>
        <v/>
      </c>
    </row>
    <row r="75" spans="1:11" s="32" customFormat="1" ht="15" customHeight="1" x14ac:dyDescent="0.25">
      <c r="A75" s="29" t="str">
        <f t="shared" si="15"/>
        <v xml:space="preserve">
// None</v>
      </c>
      <c r="B75" s="29" t="str">
        <f t="shared" si="16"/>
        <v xml:space="preserve">  // None</v>
      </c>
      <c r="C75" s="30" t="s">
        <v>149</v>
      </c>
      <c r="D75" s="30"/>
      <c r="E75" s="32" t="s">
        <v>334</v>
      </c>
      <c r="F75" s="31"/>
      <c r="G75" s="31"/>
      <c r="H75" s="31"/>
      <c r="I75" s="31"/>
      <c r="J75" s="30" t="str">
        <f t="shared" si="14"/>
        <v/>
      </c>
    </row>
    <row r="76" spans="1:11" s="57" customFormat="1" ht="15" customHeight="1" x14ac:dyDescent="0.25">
      <c r="A76" s="55" t="str">
        <f t="shared" si="15"/>
        <v xml:space="preserve">
// Neuron Linking</v>
      </c>
      <c r="B76" s="55" t="str">
        <f t="shared" si="16"/>
        <v xml:space="preserve">  // Neuron Linking</v>
      </c>
      <c r="C76" s="56" t="s">
        <v>149</v>
      </c>
      <c r="D76" s="56"/>
      <c r="E76" s="57" t="s">
        <v>340</v>
      </c>
      <c r="F76" s="58"/>
      <c r="G76" s="58"/>
      <c r="H76" s="58"/>
      <c r="I76" s="58"/>
      <c r="J76" s="56" t="str">
        <f t="shared" si="14"/>
        <v/>
      </c>
    </row>
    <row r="77" spans="1:11" s="61" customFormat="1" ht="15" customHeight="1" x14ac:dyDescent="0.25">
      <c r="A77" s="59" t="str">
        <f t="shared" si="15"/>
        <v xml:space="preserve">
// V1V1 Linking Methods</v>
      </c>
      <c r="B77" s="59" t="str">
        <f t="shared" si="16"/>
        <v xml:space="preserve">  // V1V1 Linking Methods</v>
      </c>
      <c r="C77" s="60" t="s">
        <v>149</v>
      </c>
      <c r="D77" s="60"/>
      <c r="E77" s="61" t="s">
        <v>341</v>
      </c>
      <c r="F77" s="62"/>
      <c r="G77" s="62"/>
      <c r="H77" s="62"/>
      <c r="I77" s="62"/>
      <c r="J77" s="60" t="str">
        <f t="shared" si="14"/>
        <v/>
      </c>
    </row>
    <row r="78" spans="1:11" s="36" customFormat="1" ht="15" customHeight="1" x14ac:dyDescent="0.25">
      <c r="A78" s="33" t="str">
        <f t="shared" si="15"/>
        <v>#define V1V1_CONNECTION_METHOD "V1V1_connection_method"
#define DEFAULT_V1V1_CONNECTION_METHOD "none"</v>
      </c>
      <c r="B78" s="33" t="str">
        <f t="shared" si="16"/>
        <v xml:space="preserve">  Simulation.SetSetting(V1V1_CONNECTION_METHOD, Data_string, 1);</v>
      </c>
      <c r="C78" s="28" t="s">
        <v>163</v>
      </c>
      <c r="D78" s="28" t="s">
        <v>264</v>
      </c>
      <c r="E78" s="36" t="s">
        <v>350</v>
      </c>
      <c r="F78" s="35" t="s">
        <v>351</v>
      </c>
      <c r="G78" s="35" t="s">
        <v>172</v>
      </c>
      <c r="H78" s="35">
        <v>1</v>
      </c>
      <c r="I78" s="35" t="s">
        <v>173</v>
      </c>
      <c r="J78" s="28">
        <f t="shared" si="14"/>
        <v>1</v>
      </c>
    </row>
    <row r="79" spans="1:11" ht="15" customHeight="1" x14ac:dyDescent="0.25">
      <c r="A79" s="25" t="str">
        <f t="shared" si="15"/>
        <v>#define V1V1_L001 "V1V1_L001"</v>
      </c>
      <c r="B79" s="25" t="str">
        <f t="shared" si="16"/>
        <v/>
      </c>
      <c r="C79" s="1" t="s">
        <v>137</v>
      </c>
      <c r="E79" t="s">
        <v>342</v>
      </c>
      <c r="I79" s="13" t="s">
        <v>343</v>
      </c>
      <c r="J79" s="1" t="str">
        <f t="shared" si="14"/>
        <v/>
      </c>
    </row>
    <row r="80" spans="1:11" s="32" customFormat="1" ht="15" customHeight="1" x14ac:dyDescent="0.25">
      <c r="A80" s="29" t="str">
        <f t="shared" si="15"/>
        <v xml:space="preserve">
// V1V1_L001 Link Parameters</v>
      </c>
      <c r="B80" s="29" t="str">
        <f t="shared" si="16"/>
        <v xml:space="preserve">  // V1V1_L001 Link Parameters</v>
      </c>
      <c r="C80" s="30" t="s">
        <v>149</v>
      </c>
      <c r="D80" s="30"/>
      <c r="E80" s="32" t="s">
        <v>344</v>
      </c>
      <c r="F80" s="31"/>
      <c r="G80" s="31"/>
      <c r="H80" s="31"/>
      <c r="I80" s="31"/>
      <c r="J80" s="30" t="str">
        <f t="shared" si="14"/>
        <v/>
      </c>
    </row>
    <row r="81" spans="1:18" s="36" customFormat="1" ht="15" customHeight="1" x14ac:dyDescent="0.25">
      <c r="A81" s="33" t="str">
        <f t="shared" si="15"/>
        <v>#define V1V1_L001_BASE_WEIGHT_SOURCE "V1V1_L001_base_weight_source"
#define DEFAULT_V1V1_L001_BASE_WEIGHT_SOURCE "none"</v>
      </c>
      <c r="B81" s="33" t="str">
        <f t="shared" si="16"/>
        <v xml:space="preserve">  Simulation.SetSetting(V1V1_L001_BASE_WEIGHT_SOURCE, Data_string, 1);</v>
      </c>
      <c r="C81" s="28" t="s">
        <v>163</v>
      </c>
      <c r="D81" s="28" t="s">
        <v>264</v>
      </c>
      <c r="E81" s="36" t="s">
        <v>346</v>
      </c>
      <c r="F81" s="35" t="s">
        <v>352</v>
      </c>
      <c r="G81" s="35" t="s">
        <v>172</v>
      </c>
      <c r="H81" s="35">
        <v>1</v>
      </c>
      <c r="I81" s="35" t="s">
        <v>173</v>
      </c>
      <c r="J81" s="1">
        <f t="shared" si="14"/>
        <v>1</v>
      </c>
    </row>
    <row r="82" spans="1:18" ht="15" customHeight="1" x14ac:dyDescent="0.25">
      <c r="A82" s="25" t="str">
        <f t="shared" si="15"/>
        <v>#define V1V1_L001_DEFAULT_WEIGHT "V1V1_L001_default_weight"
#define DEFAULT_V1V1_L001_DEFAULT_WEIGHT 0</v>
      </c>
      <c r="B82" s="25" t="str">
        <f t="shared" si="16"/>
        <v xml:space="preserve">  Simulation.SetSetting(V1V1_L001_DEFAULT_WEIGHT, Data_double, 1);</v>
      </c>
      <c r="C82" s="1" t="s">
        <v>163</v>
      </c>
      <c r="D82" s="1" t="s">
        <v>264</v>
      </c>
      <c r="E82" s="36" t="s">
        <v>347</v>
      </c>
      <c r="F82" s="13" t="s">
        <v>353</v>
      </c>
      <c r="G82" s="13" t="s">
        <v>182</v>
      </c>
      <c r="H82" s="13">
        <v>1</v>
      </c>
      <c r="I82" s="13">
        <v>0</v>
      </c>
      <c r="J82" s="1">
        <f t="shared" si="14"/>
        <v>1</v>
      </c>
    </row>
    <row r="83" spans="1:18" ht="15" customHeight="1" x14ac:dyDescent="0.25">
      <c r="A83" s="25" t="str">
        <f t="shared" si="15"/>
        <v/>
      </c>
      <c r="B83" s="25" t="str">
        <f t="shared" si="16"/>
        <v xml:space="preserve">  for (int i = 0; i &lt; MAX_V1_NEURONS; i++) {
    for (int j = 0; j &lt; MAX_V1_NEURONS; j++) {
      Simulation.SetSetting(V1_LABEL + NNumber(i) + ":" + V1_LABEL + NNumber(j), Data_double, 1);
    }
  }</v>
      </c>
      <c r="C83" s="1" t="s">
        <v>264</v>
      </c>
      <c r="D83" s="1" t="s">
        <v>264</v>
      </c>
      <c r="E83" s="36"/>
      <c r="G83" s="13" t="s">
        <v>182</v>
      </c>
      <c r="H83" s="13">
        <v>1</v>
      </c>
      <c r="I83" s="13" t="s">
        <v>347</v>
      </c>
      <c r="J83" s="1" t="str">
        <f t="shared" si="14"/>
        <v>MAX_V1_NEURONS * MAX_V1_NEURONS</v>
      </c>
      <c r="L83">
        <v>2</v>
      </c>
      <c r="M83" t="s">
        <v>266</v>
      </c>
      <c r="N83" t="s">
        <v>168</v>
      </c>
      <c r="O83" t="s">
        <v>271</v>
      </c>
      <c r="P83" t="s">
        <v>382</v>
      </c>
      <c r="Q83" t="s">
        <v>168</v>
      </c>
      <c r="R83" t="s">
        <v>272</v>
      </c>
    </row>
    <row r="84" spans="1:18" s="61" customFormat="1" ht="15" customHeight="1" x14ac:dyDescent="0.25">
      <c r="A84" s="59" t="str">
        <f t="shared" si="15"/>
        <v xml:space="preserve">
// MTMT Link Methods</v>
      </c>
      <c r="B84" s="59" t="str">
        <f t="shared" si="16"/>
        <v xml:space="preserve">  // MTMT Link Methods</v>
      </c>
      <c r="C84" s="60" t="s">
        <v>149</v>
      </c>
      <c r="D84" s="60"/>
      <c r="E84" s="61" t="s">
        <v>345</v>
      </c>
      <c r="F84" s="62"/>
      <c r="G84" s="62"/>
      <c r="H84" s="62"/>
      <c r="I84" s="62"/>
      <c r="J84" s="60" t="str">
        <f t="shared" si="14"/>
        <v/>
      </c>
    </row>
    <row r="85" spans="1:18" s="32" customFormat="1" ht="15" customHeight="1" x14ac:dyDescent="0.25">
      <c r="A85" s="29" t="str">
        <f t="shared" si="15"/>
        <v xml:space="preserve">
// None</v>
      </c>
      <c r="B85" s="29" t="str">
        <f t="shared" si="16"/>
        <v xml:space="preserve">  // None</v>
      </c>
      <c r="C85" s="30" t="s">
        <v>149</v>
      </c>
      <c r="D85" s="30"/>
      <c r="E85" s="32" t="s">
        <v>334</v>
      </c>
      <c r="F85" s="31"/>
      <c r="G85" s="31"/>
      <c r="H85" s="31"/>
      <c r="I85" s="31"/>
      <c r="J85" s="30" t="str">
        <f t="shared" ref="J85:J116" si="17">IF(OR(C85="P",C85="S"),IF(L85="",1,IF(L85=1,N85,IF(L85=2,N85&amp;" * "&amp;Q85,"ERROR"))),"")</f>
        <v/>
      </c>
    </row>
    <row r="86" spans="1:18" s="61" customFormat="1" ht="15" customHeight="1" x14ac:dyDescent="0.25">
      <c r="A86" s="59" t="str">
        <f t="shared" si="15"/>
        <v xml:space="preserve">
// V1MT Linking Methods</v>
      </c>
      <c r="B86" s="59" t="str">
        <f t="shared" si="16"/>
        <v xml:space="preserve">  // V1MT Linking Methods</v>
      </c>
      <c r="C86" s="60" t="s">
        <v>149</v>
      </c>
      <c r="D86" s="60"/>
      <c r="E86" s="61" t="s">
        <v>348</v>
      </c>
      <c r="F86" s="62"/>
      <c r="G86" s="62"/>
      <c r="H86" s="62"/>
      <c r="I86" s="62"/>
      <c r="J86" s="60" t="str">
        <f t="shared" si="17"/>
        <v/>
      </c>
    </row>
    <row r="87" spans="1:18" s="36" customFormat="1" ht="15" customHeight="1" x14ac:dyDescent="0.25">
      <c r="A87" s="33" t="str">
        <f t="shared" si="15"/>
        <v>#define V1MT_CONNECTION_METHOD "V1MT_connection_method"
#define DEFAULT_V1MT_CONNECTION_METHOD "none"</v>
      </c>
      <c r="B87" s="33" t="str">
        <f t="shared" si="16"/>
        <v xml:space="preserve">  Simulation.SetSetting(V1MT_CONNECTION_METHOD, Data_string, 1);</v>
      </c>
      <c r="C87" s="28" t="s">
        <v>163</v>
      </c>
      <c r="D87" s="28" t="s">
        <v>264</v>
      </c>
      <c r="E87" s="36" t="s">
        <v>250</v>
      </c>
      <c r="F87" s="35" t="s">
        <v>251</v>
      </c>
      <c r="G87" s="35" t="s">
        <v>172</v>
      </c>
      <c r="H87" s="35">
        <v>1</v>
      </c>
      <c r="I87" s="35" t="s">
        <v>173</v>
      </c>
      <c r="J87" s="1">
        <f t="shared" si="17"/>
        <v>1</v>
      </c>
    </row>
    <row r="88" spans="1:18" s="36" customFormat="1" ht="15" customHeight="1" x14ac:dyDescent="0.25">
      <c r="A88" s="33" t="str">
        <f t="shared" si="15"/>
        <v>#define V1MT_L001 "V1MT_L001"</v>
      </c>
      <c r="B88" s="33" t="str">
        <f t="shared" si="16"/>
        <v/>
      </c>
      <c r="C88" s="28" t="s">
        <v>137</v>
      </c>
      <c r="D88" s="28"/>
      <c r="E88" s="36" t="s">
        <v>252</v>
      </c>
      <c r="F88" s="35"/>
      <c r="G88" s="35"/>
      <c r="H88" s="35"/>
      <c r="I88" s="35" t="s">
        <v>253</v>
      </c>
      <c r="J88" s="28" t="str">
        <f t="shared" si="17"/>
        <v/>
      </c>
    </row>
    <row r="89" spans="1:18" s="32" customFormat="1" ht="15" customHeight="1" x14ac:dyDescent="0.25">
      <c r="A89" s="29" t="str">
        <f t="shared" si="15"/>
        <v xml:space="preserve">
// V1MT_L001 Link Parameters</v>
      </c>
      <c r="B89" s="29" t="str">
        <f t="shared" si="16"/>
        <v xml:space="preserve">  // V1MT_L001 Link Parameters</v>
      </c>
      <c r="C89" s="30" t="s">
        <v>149</v>
      </c>
      <c r="D89" s="30"/>
      <c r="E89" s="32" t="s">
        <v>349</v>
      </c>
      <c r="F89" s="31"/>
      <c r="G89" s="31"/>
      <c r="H89" s="31"/>
      <c r="I89" s="31"/>
      <c r="J89" s="30" t="str">
        <f t="shared" si="17"/>
        <v/>
      </c>
    </row>
    <row r="90" spans="1:18" s="36" customFormat="1" ht="15" customHeight="1" x14ac:dyDescent="0.25">
      <c r="A90" s="33" t="str">
        <f t="shared" si="15"/>
        <v>#define V1MT_L001_APERTURE "V1MT_L001_aperture"
#define DEFAULT_V1MT_L001_APERTURE 45.0 + 1.0</v>
      </c>
      <c r="B90" s="33" t="str">
        <f t="shared" si="16"/>
        <v xml:space="preserve">  Simulation.SetSetting(V1MT_L001_APERTURE, Data_double, 1);</v>
      </c>
      <c r="C90" s="28" t="s">
        <v>163</v>
      </c>
      <c r="D90" s="28" t="s">
        <v>264</v>
      </c>
      <c r="E90" s="36" t="s">
        <v>254</v>
      </c>
      <c r="F90" s="35" t="s">
        <v>255</v>
      </c>
      <c r="G90" s="35" t="s">
        <v>182</v>
      </c>
      <c r="H90" s="35">
        <v>1</v>
      </c>
      <c r="I90" s="35" t="s">
        <v>385</v>
      </c>
      <c r="J90" s="28">
        <f t="shared" si="17"/>
        <v>1</v>
      </c>
    </row>
    <row r="91" spans="1:18" s="36" customFormat="1" ht="15" customHeight="1" x14ac:dyDescent="0.25">
      <c r="A91" s="33" t="str">
        <f t="shared" si="15"/>
        <v>#define V1MT_L001_AMPLIFICATION "V1MT_L001_amplification"
#define DEFAULT_V1MT_L001_AMPLIFICATION 1</v>
      </c>
      <c r="B91" s="33" t="str">
        <f t="shared" si="16"/>
        <v xml:space="preserve">  Simulation.SetSetting(V1MT_L001_AMPLIFICATION, Data_double, 1);</v>
      </c>
      <c r="C91" s="28" t="s">
        <v>163</v>
      </c>
      <c r="D91" s="28" t="s">
        <v>264</v>
      </c>
      <c r="E91" s="36" t="s">
        <v>256</v>
      </c>
      <c r="F91" s="35" t="s">
        <v>257</v>
      </c>
      <c r="G91" s="35" t="s">
        <v>182</v>
      </c>
      <c r="H91" s="35">
        <v>1</v>
      </c>
      <c r="I91" s="35">
        <v>1</v>
      </c>
      <c r="J91" s="28">
        <f t="shared" si="17"/>
        <v>1</v>
      </c>
    </row>
    <row r="92" spans="1:18" s="36" customFormat="1" ht="15" customHeight="1" x14ac:dyDescent="0.25">
      <c r="A92" s="33" t="str">
        <f t="shared" ref="A92:A122" si="18">IF(C92="","",IF(C92="C",CHAR(10) &amp; "// " &amp; E92,IF(C92="I","#define " &amp; E92 &amp; " " &amp; I92,IF(C92="P","#define " &amp; E92 &amp; " """ &amp; F92 &amp; """" &amp; CHAR(10) &amp; "#define DEFAULT_" &amp; E92 &amp; " " &amp; I92,IF(C92="S","","ERROR")))))</f>
        <v>#define V1MT_L001_SIGMA "V1MT_L001_sigma"
#define DEFAULT_V1MT_L001_SIGMA 2.0/3.0</v>
      </c>
      <c r="B92" s="33" t="str">
        <f t="shared" ref="B92:B122" si="19">IF(C92="","",IF(C92="C","  // "&amp;E92,IF(C92="P",IF(D92="E","  Environment.",IF(D92="S","  Simulation.","ERROR"))&amp;"SetSetting("&amp;E92&amp;", "&amp;G92&amp;", "&amp;H92&amp;");",IF(C92="S",
IF(L92=1,"  for (int i = 0; i &lt; "&amp;N92&amp;"; i++) {"&amp;CHAR(10)&amp;IF(D92="E","    Environment.",IF(D92="S","    Simulation.","ERROR"))&amp;"SetSetting("&amp;M92&amp;" + "&amp;O92&amp;", "&amp;G92&amp;", "&amp;H92&amp;");"&amp;CHAR(10)&amp;"  }",
IF(L92=2,"  for (int i = 0; i &lt; "&amp;N92&amp;"; i++) {"&amp;CHAR(10)&amp;"    for (int j = 0; j &lt; "&amp;Q92&amp;"; j++) {"&amp;CHAR(10)&amp;IF(D92="E","      Environment.",IF(D92="S","      Simulation.","ERROR"))&amp;"SetSetting("&amp;M92&amp;" + "&amp;O92&amp;" + "&amp;P92&amp;" + "&amp;R92&amp;", "&amp;G92&amp;", "&amp;H92&amp;");"&amp;CHAR(10)&amp;"    }"&amp;CHAR(10)&amp;"  }","ERROR")),""))))</f>
        <v xml:space="preserve">  Simulation.SetSetting(V1MT_L001_SIGMA, Data_double, 1);</v>
      </c>
      <c r="C92" s="28" t="s">
        <v>163</v>
      </c>
      <c r="D92" s="28" t="s">
        <v>264</v>
      </c>
      <c r="E92" s="36" t="s">
        <v>258</v>
      </c>
      <c r="F92" s="35" t="s">
        <v>259</v>
      </c>
      <c r="G92" s="35" t="s">
        <v>182</v>
      </c>
      <c r="H92" s="35">
        <v>1</v>
      </c>
      <c r="I92" s="66" t="s">
        <v>320</v>
      </c>
      <c r="J92" s="67">
        <f t="shared" si="17"/>
        <v>1</v>
      </c>
    </row>
    <row r="93" spans="1:18" s="36" customFormat="1" ht="15" customHeight="1" x14ac:dyDescent="0.25">
      <c r="A93" s="33" t="str">
        <f t="shared" si="18"/>
        <v>#define V1MT_L001_MODULATION "V1MT_L001_modulation"
#define DEFAULT_V1MT_L001_MODULATION 5.33648681640625</v>
      </c>
      <c r="B93" s="33" t="str">
        <f t="shared" si="19"/>
        <v xml:space="preserve">  Simulation.SetSetting(V1MT_L001_MODULATION, Data_double, 1);</v>
      </c>
      <c r="C93" s="28" t="s">
        <v>163</v>
      </c>
      <c r="D93" s="28" t="s">
        <v>264</v>
      </c>
      <c r="E93" s="36" t="s">
        <v>260</v>
      </c>
      <c r="F93" s="35" t="s">
        <v>261</v>
      </c>
      <c r="G93" s="35" t="s">
        <v>182</v>
      </c>
      <c r="H93" s="35">
        <v>1</v>
      </c>
      <c r="I93" s="68">
        <v>5.33648681640625</v>
      </c>
      <c r="J93" s="69">
        <f t="shared" si="17"/>
        <v>1</v>
      </c>
    </row>
    <row r="94" spans="1:18" s="57" customFormat="1" ht="15" customHeight="1" x14ac:dyDescent="0.25">
      <c r="A94" s="55" t="str">
        <f t="shared" si="18"/>
        <v xml:space="preserve">
// Defines</v>
      </c>
      <c r="B94" s="55" t="str">
        <f t="shared" si="19"/>
        <v xml:space="preserve">  // Defines</v>
      </c>
      <c r="C94" s="56" t="s">
        <v>149</v>
      </c>
      <c r="D94" s="56"/>
      <c r="E94" s="57" t="s">
        <v>354</v>
      </c>
      <c r="F94" s="58"/>
      <c r="G94" s="58"/>
      <c r="H94" s="58"/>
      <c r="I94" s="58"/>
      <c r="J94" s="56" t="str">
        <f t="shared" si="17"/>
        <v/>
      </c>
    </row>
    <row r="95" spans="1:18" s="32" customFormat="1" ht="15" customHeight="1" x14ac:dyDescent="0.25">
      <c r="A95" s="29" t="str">
        <f t="shared" si="18"/>
        <v xml:space="preserve">
// Simulator Defines</v>
      </c>
      <c r="B95" s="29" t="str">
        <f t="shared" si="19"/>
        <v xml:space="preserve">  // Simulator Defines</v>
      </c>
      <c r="C95" s="30" t="s">
        <v>149</v>
      </c>
      <c r="D95" s="30"/>
      <c r="E95" s="32" t="s">
        <v>209</v>
      </c>
      <c r="F95" s="31"/>
      <c r="G95" s="31"/>
      <c r="H95" s="31"/>
      <c r="I95" s="31"/>
      <c r="J95" s="30" t="str">
        <f t="shared" si="17"/>
        <v/>
      </c>
    </row>
    <row r="96" spans="1:18" ht="15" customHeight="1" x14ac:dyDescent="0.25">
      <c r="A96" s="25" t="str">
        <f t="shared" si="18"/>
        <v>#define SIMULATOR_TIME_STEP "simulator_time_step"
#define DEFAULT_SIMULATOR_TIME_STEP 0.005</v>
      </c>
      <c r="B96" s="25" t="str">
        <f t="shared" si="19"/>
        <v xml:space="preserve">  Simulation.SetSetting(SIMULATOR_TIME_STEP, Data_double, 1);</v>
      </c>
      <c r="C96" s="1" t="s">
        <v>163</v>
      </c>
      <c r="D96" s="1" t="s">
        <v>264</v>
      </c>
      <c r="E96" s="36" t="s">
        <v>210</v>
      </c>
      <c r="F96" s="13" t="s">
        <v>211</v>
      </c>
      <c r="G96" s="13" t="s">
        <v>182</v>
      </c>
      <c r="H96" s="13">
        <v>1</v>
      </c>
      <c r="I96" s="13">
        <v>5.0000000000000001E-3</v>
      </c>
      <c r="J96" s="1">
        <f t="shared" si="17"/>
        <v>1</v>
      </c>
    </row>
    <row r="97" spans="1:10" s="36" customFormat="1" ht="15" customHeight="1" x14ac:dyDescent="0.25">
      <c r="A97" s="33" t="str">
        <f t="shared" si="18"/>
        <v>#define CALCULATE_ACTIVATION "activation"</v>
      </c>
      <c r="B97" s="33" t="str">
        <f t="shared" si="19"/>
        <v/>
      </c>
      <c r="C97" s="28" t="s">
        <v>137</v>
      </c>
      <c r="D97" s="28"/>
      <c r="E97" s="36" t="s">
        <v>360</v>
      </c>
      <c r="F97" s="35"/>
      <c r="G97" s="35"/>
      <c r="H97" s="35"/>
      <c r="I97" s="35" t="s">
        <v>362</v>
      </c>
      <c r="J97" s="28" t="str">
        <f t="shared" si="17"/>
        <v/>
      </c>
    </row>
    <row r="98" spans="1:10" s="36" customFormat="1" ht="15" customHeight="1" x14ac:dyDescent="0.25">
      <c r="A98" s="33" t="str">
        <f t="shared" si="18"/>
        <v>#define CALCULATE_DACTIVATION "dactivation"</v>
      </c>
      <c r="B98" s="33" t="str">
        <f t="shared" si="19"/>
        <v/>
      </c>
      <c r="C98" s="28" t="s">
        <v>137</v>
      </c>
      <c r="D98" s="28"/>
      <c r="E98" s="36" t="s">
        <v>361</v>
      </c>
      <c r="F98" s="35"/>
      <c r="G98" s="35"/>
      <c r="H98" s="35"/>
      <c r="I98" s="35" t="s">
        <v>363</v>
      </c>
      <c r="J98" s="28" t="str">
        <f t="shared" si="17"/>
        <v/>
      </c>
    </row>
    <row r="99" spans="1:10" s="32" customFormat="1" ht="15" customHeight="1" x14ac:dyDescent="0.25">
      <c r="A99" s="29" t="str">
        <f t="shared" si="18"/>
        <v xml:space="preserve">
// Interface Defines</v>
      </c>
      <c r="B99" s="29" t="str">
        <f t="shared" si="19"/>
        <v xml:space="preserve">  // Interface Defines</v>
      </c>
      <c r="C99" s="30" t="s">
        <v>149</v>
      </c>
      <c r="D99" s="30"/>
      <c r="E99" s="32" t="s">
        <v>212</v>
      </c>
      <c r="F99" s="31"/>
      <c r="G99" s="31"/>
      <c r="H99" s="31"/>
      <c r="I99" s="31"/>
      <c r="J99" s="30" t="str">
        <f t="shared" si="17"/>
        <v/>
      </c>
    </row>
    <row r="100" spans="1:10" s="36" customFormat="1" ht="15" customHeight="1" x14ac:dyDescent="0.25">
      <c r="A100" s="33" t="str">
        <f t="shared" si="18"/>
        <v>#define LABEL_DONE "DONE"</v>
      </c>
      <c r="B100" s="33" t="str">
        <f t="shared" si="19"/>
        <v/>
      </c>
      <c r="C100" s="28" t="s">
        <v>137</v>
      </c>
      <c r="D100" s="28"/>
      <c r="E100" s="36" t="s">
        <v>213</v>
      </c>
      <c r="F100" s="35"/>
      <c r="G100" s="35"/>
      <c r="H100" s="35"/>
      <c r="I100" s="35" t="s">
        <v>214</v>
      </c>
      <c r="J100" s="28" t="str">
        <f t="shared" si="17"/>
        <v/>
      </c>
    </row>
    <row r="101" spans="1:10" s="36" customFormat="1" ht="15" customHeight="1" x14ac:dyDescent="0.25">
      <c r="A101" s="33" t="str">
        <f t="shared" si="18"/>
        <v>#define LABEL_FAIL "FAIL"</v>
      </c>
      <c r="B101" s="33" t="str">
        <f t="shared" si="19"/>
        <v/>
      </c>
      <c r="C101" s="28" t="s">
        <v>137</v>
      </c>
      <c r="D101" s="28"/>
      <c r="E101" s="36" t="s">
        <v>249</v>
      </c>
      <c r="F101" s="35"/>
      <c r="G101" s="35"/>
      <c r="H101" s="35"/>
      <c r="I101" s="35" t="s">
        <v>215</v>
      </c>
      <c r="J101" s="28" t="str">
        <f t="shared" si="17"/>
        <v/>
      </c>
    </row>
    <row r="102" spans="1:10" ht="15" customHeight="1" x14ac:dyDescent="0.25">
      <c r="A102" s="25" t="str">
        <f t="shared" si="18"/>
        <v>#define LABEL_ENVIRONMENT_SETTINGS "setenv"</v>
      </c>
      <c r="B102" s="25" t="str">
        <f t="shared" si="19"/>
        <v/>
      </c>
      <c r="C102" s="1" t="s">
        <v>137</v>
      </c>
      <c r="E102" t="s">
        <v>216</v>
      </c>
      <c r="I102" s="13" t="s">
        <v>221</v>
      </c>
      <c r="J102" s="1" t="str">
        <f t="shared" si="17"/>
        <v/>
      </c>
    </row>
    <row r="103" spans="1:10" ht="15" customHeight="1" x14ac:dyDescent="0.25">
      <c r="A103" s="25" t="str">
        <f t="shared" si="18"/>
        <v>#define LABEL_SIMULATOR_SETTINGS "setsim"</v>
      </c>
      <c r="B103" s="25" t="str">
        <f t="shared" si="19"/>
        <v/>
      </c>
      <c r="C103" s="1" t="s">
        <v>137</v>
      </c>
      <c r="E103" t="s">
        <v>217</v>
      </c>
      <c r="I103" s="13" t="s">
        <v>222</v>
      </c>
      <c r="J103" s="1" t="str">
        <f t="shared" si="17"/>
        <v/>
      </c>
    </row>
    <row r="104" spans="1:10" ht="15" customHeight="1" x14ac:dyDescent="0.25">
      <c r="A104" s="25" t="str">
        <f t="shared" si="18"/>
        <v>#define LABEL_COMMENT_STRING "#"</v>
      </c>
      <c r="B104" s="25" t="str">
        <f t="shared" si="19"/>
        <v/>
      </c>
      <c r="C104" s="1" t="s">
        <v>137</v>
      </c>
      <c r="E104" t="s">
        <v>226</v>
      </c>
      <c r="I104" s="13" t="s">
        <v>229</v>
      </c>
      <c r="J104" s="1" t="str">
        <f t="shared" si="17"/>
        <v/>
      </c>
    </row>
    <row r="105" spans="1:10" ht="15" customHeight="1" x14ac:dyDescent="0.25">
      <c r="A105" s="25" t="str">
        <f t="shared" si="18"/>
        <v>#define LABEL_COMMENT_CHAR '#'</v>
      </c>
      <c r="B105" s="25" t="str">
        <f t="shared" si="19"/>
        <v/>
      </c>
      <c r="C105" s="1" t="s">
        <v>137</v>
      </c>
      <c r="E105" t="s">
        <v>227</v>
      </c>
      <c r="I105" s="13" t="s">
        <v>228</v>
      </c>
      <c r="J105" s="1" t="str">
        <f t="shared" si="17"/>
        <v/>
      </c>
    </row>
    <row r="106" spans="1:10" s="32" customFormat="1" ht="15" customHeight="1" x14ac:dyDescent="0.25">
      <c r="A106" s="29" t="str">
        <f t="shared" si="18"/>
        <v xml:space="preserve">
// Run Simulation Calls</v>
      </c>
      <c r="B106" s="29" t="str">
        <f t="shared" si="19"/>
        <v xml:space="preserve">  // Run Simulation Calls</v>
      </c>
      <c r="C106" s="30" t="s">
        <v>149</v>
      </c>
      <c r="D106" s="30"/>
      <c r="E106" s="32" t="s">
        <v>230</v>
      </c>
      <c r="F106" s="31"/>
      <c r="G106" s="31"/>
      <c r="H106" s="31"/>
      <c r="I106" s="31"/>
      <c r="J106" s="30" t="str">
        <f t="shared" si="17"/>
        <v/>
      </c>
    </row>
    <row r="107" spans="1:10" ht="15" customHeight="1" x14ac:dyDescent="0.25">
      <c r="A107" s="25" t="str">
        <f t="shared" si="18"/>
        <v>#define LABEL_RUN_SIMULATION "runsim"</v>
      </c>
      <c r="B107" s="25" t="str">
        <f t="shared" si="19"/>
        <v/>
      </c>
      <c r="C107" s="1" t="s">
        <v>137</v>
      </c>
      <c r="E107" t="s">
        <v>218</v>
      </c>
      <c r="I107" s="13" t="s">
        <v>223</v>
      </c>
      <c r="J107" s="1" t="str">
        <f t="shared" si="17"/>
        <v/>
      </c>
    </row>
    <row r="108" spans="1:10" ht="15" customHeight="1" x14ac:dyDescent="0.25">
      <c r="A108" s="25" t="str">
        <f t="shared" si="18"/>
        <v>#define SS_INITIALIZE "ss_initialize"</v>
      </c>
      <c r="B108" s="25" t="str">
        <f t="shared" si="19"/>
        <v/>
      </c>
      <c r="C108" s="1" t="s">
        <v>137</v>
      </c>
      <c r="E108" t="s">
        <v>231</v>
      </c>
      <c r="I108" s="13" t="s">
        <v>305</v>
      </c>
      <c r="J108" s="1" t="str">
        <f t="shared" si="17"/>
        <v/>
      </c>
    </row>
    <row r="109" spans="1:10" ht="15" customHeight="1" x14ac:dyDescent="0.25">
      <c r="A109" s="25" t="str">
        <f t="shared" si="18"/>
        <v>#define SS_ADD_V1_DIFFUSION "ss_add_V1_diffusion"</v>
      </c>
      <c r="B109" s="25" t="str">
        <f t="shared" si="19"/>
        <v/>
      </c>
      <c r="C109" s="1" t="s">
        <v>137</v>
      </c>
      <c r="E109" t="s">
        <v>232</v>
      </c>
      <c r="I109" s="13" t="s">
        <v>306</v>
      </c>
      <c r="J109" s="1" t="str">
        <f t="shared" si="17"/>
        <v/>
      </c>
    </row>
    <row r="110" spans="1:10" ht="15" customHeight="1" x14ac:dyDescent="0.25">
      <c r="A110" s="25" t="str">
        <f t="shared" si="18"/>
        <v>#define SS_SIMULATE "ss_simulate"</v>
      </c>
      <c r="B110" s="25" t="str">
        <f t="shared" si="19"/>
        <v/>
      </c>
      <c r="C110" s="1" t="s">
        <v>137</v>
      </c>
      <c r="E110" t="s">
        <v>233</v>
      </c>
      <c r="I110" s="13" t="s">
        <v>307</v>
      </c>
      <c r="J110" s="1" t="str">
        <f t="shared" si="17"/>
        <v/>
      </c>
    </row>
    <row r="111" spans="1:10" s="32" customFormat="1" ht="15" customHeight="1" x14ac:dyDescent="0.25">
      <c r="A111" s="29" t="str">
        <f t="shared" si="18"/>
        <v xml:space="preserve">
// Reporting Calls</v>
      </c>
      <c r="B111" s="29" t="str">
        <f t="shared" si="19"/>
        <v xml:space="preserve">  // Reporting Calls</v>
      </c>
      <c r="C111" s="30" t="s">
        <v>149</v>
      </c>
      <c r="D111" s="30"/>
      <c r="E111" s="32" t="s">
        <v>234</v>
      </c>
      <c r="F111" s="31"/>
      <c r="G111" s="31"/>
      <c r="H111" s="31"/>
      <c r="I111" s="31"/>
      <c r="J111" s="30" t="str">
        <f t="shared" si="17"/>
        <v/>
      </c>
    </row>
    <row r="112" spans="1:10" ht="15" customHeight="1" x14ac:dyDescent="0.25">
      <c r="A112" s="25" t="str">
        <f t="shared" si="18"/>
        <v>#define LABEL_REPORTING "report"</v>
      </c>
      <c r="B112" s="25" t="str">
        <f t="shared" si="19"/>
        <v/>
      </c>
      <c r="C112" s="1" t="s">
        <v>137</v>
      </c>
      <c r="E112" t="s">
        <v>219</v>
      </c>
      <c r="I112" s="13" t="s">
        <v>224</v>
      </c>
      <c r="J112" s="1" t="str">
        <f t="shared" si="17"/>
        <v/>
      </c>
    </row>
    <row r="113" spans="1:11" ht="15" customHeight="1" x14ac:dyDescent="0.25">
      <c r="A113" s="25" t="str">
        <f t="shared" si="18"/>
        <v>#define PRINT_ENV "print_env"</v>
      </c>
      <c r="B113" s="25" t="str">
        <f t="shared" si="19"/>
        <v/>
      </c>
      <c r="C113" s="1" t="s">
        <v>137</v>
      </c>
      <c r="E113" t="s">
        <v>235</v>
      </c>
      <c r="I113" s="13" t="s">
        <v>308</v>
      </c>
      <c r="J113" s="1" t="str">
        <f t="shared" si="17"/>
        <v/>
      </c>
    </row>
    <row r="114" spans="1:11" ht="15" customHeight="1" x14ac:dyDescent="0.25">
      <c r="A114" s="25" t="str">
        <f t="shared" si="18"/>
        <v>#define PRINT_SIM "print_sim"</v>
      </c>
      <c r="B114" s="25" t="str">
        <f t="shared" si="19"/>
        <v/>
      </c>
      <c r="C114" s="1" t="s">
        <v>137</v>
      </c>
      <c r="E114" t="s">
        <v>236</v>
      </c>
      <c r="I114" s="13" t="s">
        <v>309</v>
      </c>
      <c r="J114" s="1" t="str">
        <f t="shared" si="17"/>
        <v/>
      </c>
    </row>
    <row r="115" spans="1:11" ht="15" customHeight="1" x14ac:dyDescent="0.25">
      <c r="A115" s="25" t="str">
        <f t="shared" si="18"/>
        <v>#define SS_PRINT_V1_ACTIVATION "ss_print_V1_activation"</v>
      </c>
      <c r="B115" s="25" t="str">
        <f t="shared" si="19"/>
        <v/>
      </c>
      <c r="C115" s="1" t="s">
        <v>137</v>
      </c>
      <c r="E115" t="s">
        <v>237</v>
      </c>
      <c r="I115" s="13" t="s">
        <v>310</v>
      </c>
      <c r="J115" s="1" t="str">
        <f t="shared" si="17"/>
        <v/>
      </c>
    </row>
    <row r="116" spans="1:11" ht="15" customHeight="1" x14ac:dyDescent="0.25">
      <c r="A116" s="25" t="str">
        <f t="shared" si="18"/>
        <v>#define SS_PRINT_V1_ACTIVATION_HORIZONTAL "ss_print_V1_activation_horizontal"</v>
      </c>
      <c r="B116" s="25" t="str">
        <f t="shared" si="19"/>
        <v/>
      </c>
      <c r="C116" s="1" t="s">
        <v>137</v>
      </c>
      <c r="E116" t="s">
        <v>238</v>
      </c>
      <c r="I116" s="13" t="s">
        <v>311</v>
      </c>
      <c r="J116" s="1" t="str">
        <f t="shared" si="17"/>
        <v/>
      </c>
    </row>
    <row r="117" spans="1:11" ht="15" customHeight="1" x14ac:dyDescent="0.25">
      <c r="A117" s="25" t="str">
        <f t="shared" si="18"/>
        <v>#define SS_PRINT_V1_EXTERNAL_EXCITATION "ss_print_V1_external_excitation"</v>
      </c>
      <c r="B117" s="25" t="str">
        <f t="shared" si="19"/>
        <v/>
      </c>
      <c r="C117" s="1" t="s">
        <v>137</v>
      </c>
      <c r="E117" t="s">
        <v>239</v>
      </c>
      <c r="I117" s="13" t="s">
        <v>312</v>
      </c>
      <c r="J117" s="1" t="str">
        <f t="shared" ref="J117:J125" si="20">IF(OR(C117="P",C117="S"),IF(L117="",1,IF(L117=1,N117,IF(L117=2,N117&amp;" * "&amp;Q117,"ERROR"))),"")</f>
        <v/>
      </c>
    </row>
    <row r="118" spans="1:11" ht="15" customHeight="1" x14ac:dyDescent="0.25">
      <c r="A118" s="25" t="str">
        <f t="shared" si="18"/>
        <v>#define SS_PRINT_MT_ACTIVATION "ss_print_MT_activation"</v>
      </c>
      <c r="B118" s="25" t="str">
        <f t="shared" si="19"/>
        <v/>
      </c>
      <c r="C118" s="1" t="s">
        <v>137</v>
      </c>
      <c r="E118" t="s">
        <v>240</v>
      </c>
      <c r="I118" s="13" t="s">
        <v>313</v>
      </c>
      <c r="J118" s="1" t="str">
        <f t="shared" si="20"/>
        <v/>
      </c>
    </row>
    <row r="119" spans="1:11" ht="15" customHeight="1" x14ac:dyDescent="0.25">
      <c r="A119" s="25" t="str">
        <f t="shared" si="18"/>
        <v>#define SS_PRINT_MT_ACTIVATION_HORIZONTAL "ss_print_MT_activation_horizontal"</v>
      </c>
      <c r="B119" s="25" t="str">
        <f t="shared" si="19"/>
        <v/>
      </c>
      <c r="C119" s="1" t="s">
        <v>137</v>
      </c>
      <c r="E119" t="s">
        <v>241</v>
      </c>
      <c r="I119" s="13" t="s">
        <v>314</v>
      </c>
      <c r="J119" s="1" t="str">
        <f t="shared" si="20"/>
        <v/>
      </c>
    </row>
    <row r="120" spans="1:11" s="32" customFormat="1" ht="15" customHeight="1" x14ac:dyDescent="0.25">
      <c r="A120" s="29" t="str">
        <f t="shared" si="18"/>
        <v xml:space="preserve">
// IO Interaction Calls</v>
      </c>
      <c r="B120" s="29" t="str">
        <f t="shared" si="19"/>
        <v xml:space="preserve">  // IO Interaction Calls</v>
      </c>
      <c r="C120" s="30" t="s">
        <v>149</v>
      </c>
      <c r="D120" s="30"/>
      <c r="E120" s="32" t="s">
        <v>242</v>
      </c>
      <c r="F120" s="31"/>
      <c r="G120" s="31"/>
      <c r="H120" s="31"/>
      <c r="I120" s="31"/>
      <c r="J120" s="30" t="str">
        <f t="shared" si="20"/>
        <v/>
      </c>
    </row>
    <row r="121" spans="1:11" ht="15" customHeight="1" x14ac:dyDescent="0.25">
      <c r="A121" s="25" t="str">
        <f t="shared" si="18"/>
        <v>#define LABEL_IO_INTERACTIONS "rescue"</v>
      </c>
      <c r="B121" s="25" t="str">
        <f t="shared" si="19"/>
        <v/>
      </c>
      <c r="C121" s="1" t="s">
        <v>137</v>
      </c>
      <c r="E121" t="s">
        <v>220</v>
      </c>
      <c r="I121" s="13" t="s">
        <v>225</v>
      </c>
      <c r="J121" s="1" t="str">
        <f t="shared" si="20"/>
        <v/>
      </c>
    </row>
    <row r="122" spans="1:11" ht="15" customHeight="1" x14ac:dyDescent="0.25">
      <c r="A122" s="25" t="str">
        <f t="shared" si="18"/>
        <v>#define NPROC "nproc"</v>
      </c>
      <c r="B122" s="25" t="str">
        <f t="shared" si="19"/>
        <v/>
      </c>
      <c r="C122" s="1" t="s">
        <v>137</v>
      </c>
      <c r="E122" t="s">
        <v>243</v>
      </c>
      <c r="I122" s="13" t="s">
        <v>315</v>
      </c>
      <c r="J122" s="1" t="str">
        <f t="shared" si="20"/>
        <v/>
      </c>
    </row>
    <row r="123" spans="1:11" s="53" customFormat="1" ht="15" customHeight="1" x14ac:dyDescent="0.25">
      <c r="A123" s="51"/>
      <c r="B123" s="51"/>
      <c r="C123" s="52"/>
      <c r="D123" s="52"/>
      <c r="E123" s="53" t="s">
        <v>303</v>
      </c>
      <c r="F123" s="54"/>
      <c r="G123" s="54"/>
      <c r="H123" s="54"/>
      <c r="I123" s="54"/>
      <c r="J123" s="52" t="str">
        <f t="shared" si="20"/>
        <v/>
      </c>
    </row>
    <row r="124" spans="1:11" ht="15" customHeight="1" x14ac:dyDescent="0.25">
      <c r="A124" s="25" t="str">
        <f>IF(C124="","",IF(C124="C",CHAR(10) &amp; "// " &amp; E124,IF(C124="I","#define " &amp; E124 &amp; " " &amp; I124,IF(C124="P","#define " &amp; E124 &amp; " """ &amp; F124 &amp; """" &amp; CHAR(10) &amp; "#define DEFAULT_" &amp; E124 &amp; " " &amp; I124,IF(C124="S","","ERROR")))))</f>
        <v>#define NPROC_SILENT "Nproc_Silent"</v>
      </c>
      <c r="B124" s="25" t="str">
        <f>IF(C124="","",IF(C124="C","  // "&amp;E124,IF(C124="P",IF(D124="E","  Environment.",IF(D124="S","  Simulation.","ERROR"))&amp;"SetSetting("&amp;E124&amp;", "&amp;G124&amp;", "&amp;H124&amp;");",IF(C124="S",
IF(L124=1,"  for (int i = 0; i &lt; "&amp;N124&amp;"; i++) {"&amp;CHAR(10)&amp;IF(D124="E","    Environment.",IF(D124="S","    Simulation.","ERROR"))&amp;"SetSetting("&amp;M124&amp;" + "&amp;O124&amp;", "&amp;G124&amp;", "&amp;H124&amp;");"&amp;CHAR(10)&amp;"  }",
IF(L124=2,"  for (int i = 0; i &lt; "&amp;N124&amp;"; i++) {"&amp;CHAR(10)&amp;"    for (int j = 0; j &lt; "&amp;Q124&amp;"; j++) {"&amp;CHAR(10)&amp;IF(D124="E","      Environment.",IF(D124="S","      Simulation.","ERROR"))&amp;"SetSetting("&amp;M124&amp;" + "&amp;O124&amp;" + "&amp;P124&amp;" + "&amp;R124&amp;", "&amp;G124&amp;", "&amp;H124&amp;");"&amp;CHAR(10)&amp;"    }"&amp;CHAR(10)&amp;"  }","ERROR")),""))))</f>
        <v/>
      </c>
      <c r="C124" s="1" t="s">
        <v>137</v>
      </c>
      <c r="E124" t="s">
        <v>244</v>
      </c>
      <c r="I124" s="13" t="s">
        <v>245</v>
      </c>
      <c r="J124" s="1" t="str">
        <f t="shared" si="20"/>
        <v/>
      </c>
    </row>
    <row r="125" spans="1:11" s="36" customFormat="1" ht="15" customHeight="1" x14ac:dyDescent="0.25">
      <c r="A125" s="33" t="str">
        <f>IF(C125="","",IF(C125="C",CHAR(10) &amp; "// " &amp; E125,IF(C125="I","#define " &amp; E125 &amp; " " &amp; I125,IF(C125="P","#define " &amp; E125 &amp; " """ &amp; F125 &amp; """" &amp; CHAR(10) &amp; "#define DEFAULT_" &amp; E125 &amp; " " &amp; I125,IF(C125="S","","ERROR")))))</f>
        <v>#define HASH_SIZE 2097152</v>
      </c>
      <c r="B125" s="33" t="str">
        <f>IF(C125="","",IF(C125="C","  // "&amp;E125,IF(C125="P",IF(D125="E","  Environment.",IF(D125="S","  Simulation.","ERROR"))&amp;"SetSetting("&amp;E125&amp;", "&amp;G125&amp;", "&amp;H125&amp;");",IF(C125="S",
IF(L125=1,"  for (int i = 0; i &lt; "&amp;N125&amp;"; i++) {"&amp;CHAR(10)&amp;IF(D125="E","    Environment.",IF(D125="S","    Simulation.","ERROR"))&amp;"SetSetting("&amp;M125&amp;" + "&amp;O125&amp;", "&amp;G125&amp;", "&amp;H125&amp;");"&amp;CHAR(10)&amp;"  }",
IF(L125=2,"  for (int i = 0; i &lt; "&amp;N125&amp;"; i++) {"&amp;CHAR(10)&amp;"    for (int j = 0; j &lt; "&amp;Q125&amp;"; j++) {"&amp;CHAR(10)&amp;IF(D125="E","      Environment.",IF(D125="S","      Simulation.","ERROR"))&amp;"SetSetting("&amp;M125&amp;" + "&amp;O125&amp;" + "&amp;P125&amp;" + "&amp;R125&amp;", "&amp;G125&amp;", "&amp;H125&amp;");"&amp;CHAR(10)&amp;"    }"&amp;CHAR(10)&amp;"  }","ERROR")),""))))</f>
        <v/>
      </c>
      <c r="C125" s="28" t="s">
        <v>137</v>
      </c>
      <c r="D125" s="28"/>
      <c r="E125" s="36" t="s">
        <v>153</v>
      </c>
      <c r="F125" s="35"/>
      <c r="G125" s="35"/>
      <c r="H125" s="35"/>
      <c r="I125" s="35">
        <v>2097152</v>
      </c>
      <c r="J125" s="28" t="str">
        <f t="shared" si="20"/>
        <v/>
      </c>
      <c r="K125" s="36" t="s">
        <v>279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 C.</cp:lastModifiedBy>
  <dcterms:created xsi:type="dcterms:W3CDTF">2015-02-14T01:58:55Z</dcterms:created>
  <dcterms:modified xsi:type="dcterms:W3CDTF">2015-04-02T01:10:34Z</dcterms:modified>
</cp:coreProperties>
</file>