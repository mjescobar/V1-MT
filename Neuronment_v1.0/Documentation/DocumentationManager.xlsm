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35" yWindow="3135" windowWidth="22995" windowHeight="9525" activeTab="2"/>
  </bookViews>
  <sheets>
    <sheet name="LogManager.Initialize" sheetId="1" r:id="rId1"/>
    <sheet name="InterpreterManager.Initialize" sheetId="2" r:id="rId2"/>
    <sheet name="define.Initialize" sheetId="3" r:id="rId3"/>
  </sheets>
  <functionGroups builtInGroupCount="17"/>
  <calcPr calcId="145621"/>
</workbook>
</file>

<file path=xl/calcChain.xml><?xml version="1.0" encoding="utf-8"?>
<calcChain xmlns="http://schemas.openxmlformats.org/spreadsheetml/2006/main">
  <c r="A10" i="1" l="1"/>
  <c r="B10" i="1"/>
  <c r="J25" i="3"/>
  <c r="A25" i="3"/>
  <c r="B25" i="3"/>
  <c r="I13" i="3"/>
  <c r="A36" i="1" l="1"/>
  <c r="B36" i="1"/>
  <c r="B104" i="3"/>
  <c r="A104" i="3"/>
  <c r="B103" i="3"/>
  <c r="A103" i="3"/>
  <c r="B4" i="3" l="1"/>
  <c r="B5" i="3"/>
  <c r="B6" i="3"/>
  <c r="B7" i="3"/>
  <c r="B8" i="3"/>
  <c r="B9" i="3"/>
  <c r="B10" i="3"/>
  <c r="B11" i="3"/>
  <c r="B12" i="3"/>
  <c r="B13" i="3"/>
  <c r="B14" i="3"/>
  <c r="B15" i="3"/>
  <c r="B16" i="3"/>
  <c r="B17" i="3"/>
  <c r="B18" i="3"/>
  <c r="B19" i="3"/>
  <c r="B20" i="3"/>
  <c r="B21" i="3"/>
  <c r="B22" i="3"/>
  <c r="B23" i="3"/>
  <c r="B24" i="3"/>
  <c r="B131"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2" i="3"/>
  <c r="B93" i="3"/>
  <c r="B94" i="3"/>
  <c r="B95" i="3"/>
  <c r="B96" i="3"/>
  <c r="B97" i="3"/>
  <c r="B98" i="3"/>
  <c r="B99" i="3"/>
  <c r="B100" i="3"/>
  <c r="B101" i="3"/>
  <c r="B102"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91" i="3"/>
  <c r="A108" i="3"/>
  <c r="A5" i="2"/>
  <c r="A21" i="2"/>
  <c r="A20" i="2"/>
  <c r="J107" i="3"/>
  <c r="A107" i="3"/>
  <c r="J106" i="3"/>
  <c r="A106" i="3"/>
  <c r="J105" i="3"/>
  <c r="A105" i="3"/>
  <c r="J128" i="3"/>
  <c r="A128" i="3"/>
  <c r="J127" i="3"/>
  <c r="A127" i="3"/>
  <c r="J48" i="3" l="1"/>
  <c r="A48" i="3"/>
  <c r="A8" i="3" l="1"/>
  <c r="J9" i="3"/>
  <c r="A9" i="3"/>
  <c r="I12" i="3"/>
  <c r="A12" i="3" s="1"/>
  <c r="I11" i="3"/>
  <c r="A11" i="3" s="1"/>
  <c r="I10" i="3"/>
  <c r="A10" i="3" s="1"/>
  <c r="J126" i="3"/>
  <c r="J125" i="3"/>
  <c r="J124" i="3"/>
  <c r="J123" i="3"/>
  <c r="J122" i="3"/>
  <c r="J121" i="3"/>
  <c r="J120" i="3"/>
  <c r="J119" i="3"/>
  <c r="J118" i="3"/>
  <c r="J117" i="3"/>
  <c r="J116" i="3"/>
  <c r="J130" i="3"/>
  <c r="J129" i="3"/>
  <c r="J115" i="3"/>
  <c r="J114" i="3"/>
  <c r="J113" i="3"/>
  <c r="J112" i="3"/>
  <c r="J111" i="3"/>
  <c r="J110" i="3"/>
  <c r="J109" i="3"/>
  <c r="J102" i="3"/>
  <c r="J101" i="3"/>
  <c r="J100" i="3"/>
  <c r="J99" i="3"/>
  <c r="J98" i="3"/>
  <c r="J97" i="3"/>
  <c r="J96" i="3"/>
  <c r="J95" i="3"/>
  <c r="J94" i="3"/>
  <c r="J93" i="3"/>
  <c r="J92" i="3"/>
  <c r="J91" i="3"/>
  <c r="J90" i="3"/>
  <c r="J89" i="3"/>
  <c r="J88" i="3"/>
  <c r="J87" i="3"/>
  <c r="J86" i="3"/>
  <c r="J85" i="3"/>
  <c r="J84" i="3"/>
  <c r="J83" i="3"/>
  <c r="J82" i="3"/>
  <c r="J81"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7" i="3"/>
  <c r="J46" i="3"/>
  <c r="J45" i="3"/>
  <c r="J44" i="3"/>
  <c r="J43" i="3"/>
  <c r="J42" i="3"/>
  <c r="J41" i="3"/>
  <c r="J40" i="3"/>
  <c r="J39" i="3"/>
  <c r="J38" i="3"/>
  <c r="J37" i="3"/>
  <c r="J36" i="3"/>
  <c r="J35" i="3"/>
  <c r="J34" i="3"/>
  <c r="J33" i="3"/>
  <c r="J32" i="3"/>
  <c r="J31" i="3"/>
  <c r="J30" i="3"/>
  <c r="J29" i="3"/>
  <c r="J28" i="3"/>
  <c r="J27" i="3"/>
  <c r="J26" i="3"/>
  <c r="J131" i="3"/>
  <c r="J24" i="3"/>
  <c r="J23" i="3"/>
  <c r="J22" i="3"/>
  <c r="J21" i="3"/>
  <c r="J20" i="3"/>
  <c r="J13" i="3"/>
  <c r="J12" i="3"/>
  <c r="J11" i="3"/>
  <c r="J7" i="3"/>
  <c r="J6" i="3"/>
  <c r="J5" i="3"/>
  <c r="J4" i="3"/>
  <c r="J3" i="3"/>
  <c r="J2" i="3"/>
  <c r="J80" i="3"/>
  <c r="A20" i="3"/>
  <c r="A126" i="3"/>
  <c r="I19" i="3"/>
  <c r="I18" i="3"/>
  <c r="I14" i="3"/>
  <c r="I15" i="3"/>
  <c r="I16" i="3"/>
  <c r="I17" i="3"/>
  <c r="A18" i="3" l="1"/>
  <c r="A19" i="3"/>
  <c r="A17" i="3"/>
  <c r="A16" i="3"/>
  <c r="A15" i="3"/>
  <c r="A14" i="3"/>
  <c r="A13" i="3"/>
  <c r="A40" i="3"/>
  <c r="A39" i="3"/>
  <c r="A38" i="3"/>
  <c r="A97" i="3" l="1"/>
  <c r="A96" i="3"/>
  <c r="A64" i="3"/>
  <c r="A31" i="3"/>
  <c r="A93" i="3"/>
  <c r="A77" i="3"/>
  <c r="A87" i="3"/>
  <c r="A85" i="3"/>
  <c r="A83" i="3"/>
  <c r="A78" i="3"/>
  <c r="A76" i="3"/>
  <c r="A75" i="3"/>
  <c r="A73" i="3"/>
  <c r="A74" i="3"/>
  <c r="A79" i="3"/>
  <c r="A80" i="3"/>
  <c r="A72" i="3"/>
  <c r="A71" i="3"/>
  <c r="A70" i="3"/>
  <c r="A41" i="3"/>
  <c r="A69" i="3"/>
  <c r="A59" i="3"/>
  <c r="A26" i="3"/>
  <c r="A50" i="3"/>
  <c r="A49" i="3"/>
  <c r="A43" i="3"/>
  <c r="A42" i="3"/>
  <c r="A37" i="3"/>
  <c r="A36" i="3"/>
  <c r="A35" i="3"/>
  <c r="A47" i="1" l="1"/>
  <c r="B47" i="1"/>
  <c r="A8" i="1" l="1"/>
  <c r="B8" i="1"/>
  <c r="A4" i="2" l="1"/>
  <c r="A6" i="2"/>
  <c r="A7" i="2"/>
  <c r="A8" i="2"/>
  <c r="A9" i="2"/>
  <c r="A10" i="2"/>
  <c r="A22" i="2"/>
  <c r="A23" i="2"/>
  <c r="A11" i="2"/>
  <c r="A12" i="2"/>
  <c r="A13" i="2"/>
  <c r="A14" i="2"/>
  <c r="A15" i="2"/>
  <c r="A16" i="2"/>
  <c r="A17" i="2"/>
  <c r="A19" i="2"/>
  <c r="A3" i="2"/>
  <c r="A24" i="3"/>
  <c r="A44" i="1"/>
  <c r="B44" i="1"/>
  <c r="B3" i="3" l="1"/>
  <c r="B2" i="3"/>
  <c r="A61" i="3"/>
  <c r="A28" i="3"/>
  <c r="A63" i="3"/>
  <c r="A30" i="3"/>
  <c r="A125" i="3"/>
  <c r="A123" i="3"/>
  <c r="A122" i="3"/>
  <c r="A121" i="3"/>
  <c r="A120" i="3"/>
  <c r="A119" i="3"/>
  <c r="A118" i="3"/>
  <c r="A117" i="3"/>
  <c r="A116" i="3"/>
  <c r="A130" i="3"/>
  <c r="A129" i="3"/>
  <c r="A115" i="3"/>
  <c r="A114" i="3"/>
  <c r="A113" i="3"/>
  <c r="A112" i="3"/>
  <c r="A111" i="3"/>
  <c r="A110" i="3"/>
  <c r="A109" i="3"/>
  <c r="A102" i="3"/>
  <c r="A101" i="3"/>
  <c r="A100" i="3"/>
  <c r="A99" i="3"/>
  <c r="A98" i="3"/>
  <c r="A95" i="3"/>
  <c r="A94" i="3"/>
  <c r="A92" i="3"/>
  <c r="A91" i="3"/>
  <c r="A90" i="3"/>
  <c r="A89" i="3"/>
  <c r="A86" i="3"/>
  <c r="A88" i="3"/>
  <c r="A84" i="3"/>
  <c r="A82" i="3"/>
  <c r="A81" i="3"/>
  <c r="A68" i="3"/>
  <c r="A67" i="3"/>
  <c r="A66" i="3"/>
  <c r="A65" i="3"/>
  <c r="A62" i="3"/>
  <c r="A60" i="3"/>
  <c r="A58" i="3"/>
  <c r="A57" i="3"/>
  <c r="A56" i="3"/>
  <c r="A55" i="3"/>
  <c r="A54" i="3"/>
  <c r="A53" i="3"/>
  <c r="A52" i="3"/>
  <c r="A51" i="3"/>
  <c r="A47" i="3"/>
  <c r="A46" i="3"/>
  <c r="A45" i="3"/>
  <c r="A44" i="3"/>
  <c r="A34" i="3"/>
  <c r="A33" i="3"/>
  <c r="A32" i="3"/>
  <c r="A131" i="3"/>
  <c r="A29" i="3"/>
  <c r="A27" i="3"/>
  <c r="A23" i="3"/>
  <c r="A22" i="3"/>
  <c r="A21" i="3"/>
  <c r="A7" i="3"/>
  <c r="A6" i="3"/>
  <c r="A5" i="3"/>
  <c r="A4" i="3"/>
  <c r="A3" i="3"/>
  <c r="A2" i="3"/>
  <c r="A2" i="1" l="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5" i="1"/>
  <c r="A84" i="1"/>
  <c r="A83" i="1"/>
  <c r="A82" i="1"/>
  <c r="A81" i="1"/>
  <c r="A80" i="1"/>
  <c r="A79" i="1"/>
  <c r="A78" i="1"/>
  <c r="A77" i="1"/>
  <c r="A76" i="1"/>
  <c r="A75" i="1"/>
  <c r="A74" i="1"/>
  <c r="A73" i="1"/>
  <c r="A72" i="1"/>
  <c r="A71" i="1"/>
  <c r="A70" i="1"/>
  <c r="A69" i="1"/>
  <c r="A68" i="1"/>
  <c r="A67" i="1"/>
  <c r="A66" i="1"/>
  <c r="A65" i="1"/>
  <c r="A64" i="1"/>
  <c r="A63" i="1"/>
  <c r="A62" i="1"/>
  <c r="A60" i="1"/>
  <c r="A59" i="1"/>
  <c r="A58" i="1"/>
  <c r="A57" i="1"/>
  <c r="A56" i="1"/>
  <c r="A55" i="1"/>
  <c r="A54" i="1"/>
  <c r="A53" i="1"/>
  <c r="A52" i="1"/>
  <c r="A51" i="1"/>
  <c r="A50" i="1"/>
  <c r="A49" i="1"/>
  <c r="A48" i="1"/>
  <c r="A46" i="1"/>
  <c r="A86" i="1"/>
  <c r="A45" i="1"/>
  <c r="A43" i="1"/>
  <c r="A42" i="1"/>
  <c r="A41" i="1"/>
  <c r="A40" i="1"/>
  <c r="A39" i="1"/>
  <c r="A38" i="1"/>
  <c r="A37" i="1"/>
  <c r="A35" i="1"/>
  <c r="A34" i="1"/>
  <c r="A33" i="1"/>
  <c r="A32" i="1"/>
  <c r="A31" i="1"/>
  <c r="A30" i="1"/>
  <c r="A29" i="1"/>
  <c r="A28" i="1"/>
  <c r="A27" i="1"/>
  <c r="A26" i="1"/>
  <c r="A25" i="1"/>
  <c r="A24" i="1"/>
  <c r="A23" i="1"/>
  <c r="A22" i="1"/>
  <c r="A21" i="1"/>
  <c r="A20" i="1"/>
  <c r="A19" i="1"/>
  <c r="A18" i="1"/>
  <c r="A17" i="1"/>
  <c r="A16" i="1"/>
  <c r="A15" i="1"/>
  <c r="A14" i="1"/>
  <c r="A13" i="1"/>
  <c r="A12" i="1"/>
  <c r="A11" i="1"/>
  <c r="A9" i="1"/>
  <c r="A7" i="1"/>
  <c r="A6" i="1"/>
  <c r="A87" i="1"/>
  <c r="A5" i="1"/>
  <c r="A4" i="1"/>
  <c r="A3"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5" i="1"/>
  <c r="B84" i="1"/>
  <c r="B83" i="1"/>
  <c r="B82" i="1"/>
  <c r="B81" i="1"/>
  <c r="B80" i="1"/>
  <c r="B79" i="1"/>
  <c r="B78" i="1"/>
  <c r="B77" i="1"/>
  <c r="B76" i="1"/>
  <c r="B75" i="1"/>
  <c r="B74" i="1"/>
  <c r="B73" i="1"/>
  <c r="B72" i="1"/>
  <c r="B71" i="1"/>
  <c r="B70" i="1"/>
  <c r="B69" i="1"/>
  <c r="B68" i="1"/>
  <c r="B67" i="1"/>
  <c r="B66" i="1"/>
  <c r="B65" i="1"/>
  <c r="B64" i="1"/>
  <c r="B63" i="1"/>
  <c r="B62" i="1"/>
  <c r="B60" i="1"/>
  <c r="B59" i="1"/>
  <c r="B58" i="1"/>
  <c r="B57" i="1"/>
  <c r="B56" i="1"/>
  <c r="B55" i="1"/>
  <c r="B54" i="1"/>
  <c r="B53" i="1"/>
  <c r="B52" i="1"/>
  <c r="B51" i="1"/>
  <c r="B50" i="1"/>
  <c r="B49" i="1"/>
  <c r="B48" i="1"/>
  <c r="B46" i="1"/>
  <c r="B86" i="1"/>
  <c r="B45" i="1"/>
  <c r="B43" i="1"/>
  <c r="B42" i="1"/>
  <c r="B41" i="1"/>
  <c r="B40" i="1"/>
  <c r="B39" i="1"/>
  <c r="B38" i="1"/>
  <c r="B37" i="1"/>
  <c r="B35" i="1"/>
  <c r="B34" i="1"/>
  <c r="B33" i="1"/>
  <c r="B32" i="1"/>
  <c r="B31" i="1"/>
  <c r="B30" i="1"/>
  <c r="B29" i="1"/>
  <c r="B28" i="1"/>
  <c r="B27" i="1"/>
  <c r="B26" i="1"/>
  <c r="B25" i="1"/>
  <c r="B24" i="1"/>
  <c r="B23" i="1"/>
  <c r="B22" i="1"/>
  <c r="B21" i="1"/>
  <c r="B20" i="1"/>
  <c r="B19" i="1"/>
  <c r="B18" i="1"/>
  <c r="B17" i="1"/>
  <c r="B16" i="1"/>
  <c r="B15" i="1"/>
  <c r="B14" i="1"/>
  <c r="B13" i="1"/>
  <c r="B12" i="1"/>
  <c r="B11" i="1"/>
  <c r="B9" i="1"/>
  <c r="B7" i="1"/>
  <c r="B6" i="1"/>
  <c r="B87" i="1"/>
  <c r="B5" i="1"/>
  <c r="B4" i="1"/>
  <c r="B3" i="1"/>
</calcChain>
</file>

<file path=xl/sharedStrings.xml><?xml version="1.0" encoding="utf-8"?>
<sst xmlns="http://schemas.openxmlformats.org/spreadsheetml/2006/main" count="943" uniqueCount="437">
  <si>
    <t>#</t>
  </si>
  <si>
    <t>IN-001</t>
  </si>
  <si>
    <t>T</t>
  </si>
  <si>
    <t>F</t>
  </si>
  <si>
    <t>NProc directive not recognized</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</si>
  <si>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</si>
  <si>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</si>
  <si>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</si>
  <si>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</si>
  <si>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</si>
  <si>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</si>
  <si>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</si>
  <si>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</si>
  <si>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</si>
  <si>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</si>
  <si>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</si>
  <si>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</si>
  <si>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</si>
  <si>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</si>
  <si>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</si>
  <si>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</si>
  <si>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</si>
  <si>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</si>
  <si>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</si>
  <si>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Empty NProc name</t>
  </si>
  <si>
    <t>File IO Issues</t>
  </si>
  <si>
    <t>ER-001</t>
  </si>
  <si>
    <t>ER-002</t>
  </si>
  <si>
    <t>ER-003</t>
  </si>
  <si>
    <t>File couldn't be opened</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</si>
  <si>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</si>
  <si>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</si>
  <si>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</si>
  <si>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</si>
  <si>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</si>
  <si>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</si>
  <si>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</si>
  <si>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</si>
  <si>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</si>
  <si>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</si>
  <si>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</si>
  <si>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</si>
  <si>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</si>
  <si>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</si>
  <si>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</si>
  <si>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</si>
  <si>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</si>
  <si>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</si>
  <si>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</si>
  <si>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</si>
  <si>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</si>
  <si>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</si>
  <si>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</si>
  <si>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</si>
  <si>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</si>
  <si>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</si>
  <si>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</si>
  <si>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</si>
  <si>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Setting declared but hasn't been initialized</t>
  </si>
  <si>
    <t>DV-017</t>
  </si>
  <si>
    <t>Discrepancy on neuron type on assignment</t>
  </si>
  <si>
    <t>DV-018</t>
  </si>
  <si>
    <t>Trying to quick retrieve un-existent value</t>
  </si>
  <si>
    <t>Reporting Issues</t>
  </si>
  <si>
    <t>RP-001</t>
  </si>
  <si>
    <t>Trying to open an already opened stream</t>
  </si>
  <si>
    <t>RP-002</t>
  </si>
  <si>
    <t>Trying to close a non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</si>
  <si>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</si>
  <si>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</si>
  <si>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</si>
  <si>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</si>
  <si>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</si>
  <si>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</si>
  <si>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</si>
  <si>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</si>
  <si>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</si>
  <si>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</si>
  <si>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</si>
  <si>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</si>
  <si>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</si>
  <si>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</si>
  <si>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</si>
  <si>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</si>
  <si>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</si>
  <si>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</si>
  <si>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</si>
  <si>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</si>
  <si>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</si>
  <si>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</si>
  <si>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</si>
  <si>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</si>
  <si>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</si>
  <si>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</si>
  <si>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</si>
  <si>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</si>
  <si>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</si>
  <si>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</si>
  <si>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</si>
  <si>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</si>
  <si>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</si>
  <si>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</si>
  <si>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</si>
  <si>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</si>
  <si>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</si>
  <si>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</si>
  <si>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</si>
  <si>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</si>
  <si>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</si>
  <si>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</si>
  <si>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</si>
  <si>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</si>
  <si>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</si>
  <si>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</si>
  <si>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</si>
  <si>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</si>
  <si>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</si>
  <si>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Trying to compare 2 identical MT cells</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</si>
  <si>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</si>
  <si>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</si>
  <si>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</si>
  <si>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</si>
  <si>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</si>
  <si>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</si>
  <si>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</si>
  <si>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</si>
  <si>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</si>
  <si>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</si>
  <si>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</si>
  <si>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</si>
  <si>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</si>
  <si>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</si>
  <si>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</si>
  <si>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</si>
  <si>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</si>
  <si>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</si>
  <si>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</si>
  <si>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</si>
  <si>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</si>
  <si>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</si>
  <si>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</si>
  <si>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</si>
  <si>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</si>
  <si>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</si>
  <si>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</si>
  <si>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</si>
  <si>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File couldn't be properly closed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</si>
  <si>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</si>
  <si>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</si>
  <si>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</si>
  <si>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</si>
  <si>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</si>
  <si>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</si>
  <si>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</si>
  <si>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</si>
  <si>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</si>
  <si>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</si>
  <si>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</si>
  <si>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</si>
  <si>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</si>
  <si>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</si>
  <si>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</si>
  <si>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</si>
  <si>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</si>
  <si>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</si>
  <si>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</si>
  <si>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</si>
  <si>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</si>
  <si>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</si>
  <si>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</si>
  <si>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</si>
  <si>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Data_string</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</si>
  <si>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</si>
  <si>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</si>
  <si>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</si>
  <si>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</si>
  <si>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</si>
  <si>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</si>
  <si>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</si>
  <si>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Data_double</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</si>
  <si>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</si>
  <si>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</si>
  <si>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</si>
  <si>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</si>
  <si>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</si>
  <si>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</si>
  <si>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</si>
  <si>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</si>
  <si>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</si>
  <si>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</si>
  <si>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</si>
  <si>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</si>
  <si>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</si>
  <si>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</si>
  <si>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</si>
  <si>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</si>
  <si>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</si>
  <si>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</si>
  <si>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</si>
  <si>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</si>
  <si>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</si>
  <si>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</si>
  <si>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</si>
  <si>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</si>
  <si>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</si>
  <si>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</si>
  <si>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</si>
  <si>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</si>
  <si>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</si>
  <si>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</si>
  <si>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</si>
  <si>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</si>
  <si>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</si>
  <si>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</si>
  <si>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</si>
  <si>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</si>
  <si>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</si>
  <si>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</si>
  <si>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</si>
  <si>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</si>
  <si>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</si>
  <si>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</si>
  <si>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</si>
  <si>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</si>
  <si>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</si>
  <si>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</si>
  <si>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</si>
  <si>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</si>
  <si>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</si>
  <si>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</si>
  <si>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</si>
  <si>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</si>
  <si>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</si>
  <si>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</si>
  <si>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</si>
  <si>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</si>
  <si>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</si>
  <si>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</si>
  <si>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</si>
  <si>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</si>
  <si>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</si>
  <si>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</si>
  <si>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</si>
  <si>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</si>
  <si>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</si>
  <si>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</si>
  <si>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</si>
  <si>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</si>
  <si>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</si>
  <si>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Click this Cell to Update define.h, SettingsManager.Initialize.cpp</t>
  </si>
  <si>
    <t>SD-032</t>
  </si>
  <si>
    <t>Empty pointer to function entry</t>
  </si>
  <si>
    <t>HIDE_END</t>
  </si>
  <si>
    <t>Hide DONE/FAIL interpreter result</t>
  </si>
  <si>
    <t>Main</t>
  </si>
  <si>
    <t>Secondary</t>
  </si>
  <si>
    <t>function</t>
  </si>
  <si>
    <t>SetenvCall</t>
  </si>
  <si>
    <t>SetsimCall</t>
  </si>
  <si>
    <t>RunsimCall</t>
  </si>
  <si>
    <t>ReportCall</t>
  </si>
  <si>
    <t>RescueCall</t>
  </si>
  <si>
    <t>Click this cell to update Interpretermanager.Initialize.cpp</t>
  </si>
  <si>
    <t>Run Commands</t>
  </si>
  <si>
    <t>Reporting Commands</t>
  </si>
  <si>
    <t>I/O Interaction Commands</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</si>
  <si>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</si>
  <si>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</si>
  <si>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</si>
  <si>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</si>
  <si>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</si>
  <si>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</si>
  <si>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</si>
  <si>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</si>
  <si>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</si>
  <si>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</si>
  <si>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</si>
  <si>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</si>
  <si>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</si>
  <si>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</si>
  <si>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RP-003</t>
  </si>
  <si>
    <t>Stream didn't oppened correctly</t>
  </si>
  <si>
    <t>RescueCall_NPROC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</si>
  <si>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</si>
  <si>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</si>
  <si>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</si>
  <si>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</si>
  <si>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</si>
  <si>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</si>
  <si>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</si>
  <si>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</si>
  <si>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</si>
  <si>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</si>
  <si>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</si>
  <si>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</si>
  <si>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</si>
  <si>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</si>
  <si>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</si>
  <si>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</si>
  <si>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</si>
  <si>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</si>
  <si>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</si>
  <si>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</si>
  <si>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</si>
  <si>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</si>
  <si>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</si>
  <si>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</si>
  <si>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</si>
  <si>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</si>
  <si>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</si>
  <si>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</si>
  <si>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</si>
  <si>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</si>
  <si>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</si>
  <si>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</si>
  <si>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</si>
  <si>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</si>
  <si>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</si>
  <si>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</si>
  <si>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</si>
  <si>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</si>
  <si>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</si>
  <si>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</si>
  <si>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</si>
  <si>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</si>
  <si>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</si>
  <si>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</si>
  <si>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</si>
  <si>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</si>
  <si>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</si>
  <si>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</si>
  <si>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</si>
  <si>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</si>
  <si>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</si>
  <si>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</si>
  <si>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</si>
  <si>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</si>
  <si>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</si>
  <si>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</si>
  <si>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</si>
  <si>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</si>
  <si>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Click this Cell to Update LogManager.Initialize.cpp &amp; Manual_23_Messages_A.tex</t>
  </si>
  <si>
    <t>The Simulator as well as the Simulation Environment has a list of predefined variables so store and retrieve information. The variable been addressed is not part of the list. The user is not allowed to create new variables.</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</si>
  <si>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</si>
  <si>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</si>
  <si>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A value has tried to be written on an un-identified or un-available configuration variable. This nproc line will be ommited</t>
  </si>
  <si>
    <t>Unidentified sub directive, ignoring line</t>
  </si>
  <si>
    <t>Unidentified setting, ignoring line</t>
  </si>
  <si>
    <t>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t>
  </si>
  <si>
    <t>A string been read as boolean doen't match any of the possible true values (true, True, T, t, 1) neither false (false, False, F, f, 0). It will be interpreted and stored as false.</t>
  </si>
  <si>
    <t>Incorrect amount of arguments for the command, ignoring line</t>
  </si>
  <si>
    <t>The number of arguments of the command doesn't match the minimum required. This line will be ignored.</t>
  </si>
  <si>
    <t>The Neuronment command-line call has a flag declared more than once or two flags that are different are trying to set a contradictory behaivior</t>
  </si>
  <si>
    <t>The Neuronment command-line call holds a value in a place where should be a flag (a tring starting with "-").</t>
  </si>
  <si>
    <t>The Neuronment command-line call has detected a flag that isn't on the list of possible flags. This flag will be ignored.</t>
  </si>
  <si>
    <t>The Neuronment command-line call has a flag that requires a value, but the value hasn't been found. If you are trying to use a negative number put it between quotes.</t>
  </si>
  <si>
    <t>The call to Neuronment requires a mandatory nproc file to be processed.</t>
  </si>
  <si>
    <t>Development Assetion</t>
  </si>
  <si>
    <t>The program arrived to an unexpected set of conditions.</t>
  </si>
  <si>
    <t>Runtime Assertion</t>
  </si>
  <si>
    <t>Something went wrong running the program. Terminating</t>
  </si>
  <si>
    <t>The nproc required for execution file couldn't be oppened</t>
  </si>
  <si>
    <t>The nproc file previously executed didn't returned a propper closed status from the OS.</t>
  </si>
  <si>
    <t>This happens when for some reason the interpreter is trying to get a new line from a file that hasn't been properly oppened</t>
  </si>
  <si>
    <t>This happens when for some reason the interpreter is trying to get a new line from a file already at the EOF</t>
  </si>
  <si>
    <t>Implementation Assertion</t>
  </si>
  <si>
    <t>There is a problem or an incompete implementation of a required feature</t>
  </si>
  <si>
    <t>The interpreter is trying to close a file that hasn't been oppened</t>
  </si>
  <si>
    <t>This happens when for some reason the file stream under interpretation isn't able to retreive a new line from the nproc file, even if it is not at the EOF.</t>
  </si>
  <si>
    <t>The interpreter requires a file for execution. In this case the file name is empty.</t>
  </si>
  <si>
    <t>LABEL_VARIABLE_MANAGEMENT</t>
  </si>
  <si>
    <t>Variable management calls</t>
  </si>
  <si>
    <t>VARMAN_SET</t>
  </si>
  <si>
    <t>"set"</t>
  </si>
  <si>
    <t>"varman"</t>
  </si>
  <si>
    <t>VarmanCall_SET</t>
  </si>
  <si>
    <t>RUNSIM_SS_INITIALIZE</t>
  </si>
  <si>
    <t>RUNSIM_SS_ADD_V1_DIFFUSION</t>
  </si>
  <si>
    <t>RUNSIM_SS_SIMULATE</t>
  </si>
  <si>
    <t>REPORT_PRINT_ENV</t>
  </si>
  <si>
    <t>REPORT_PRINT_SIM</t>
  </si>
  <si>
    <t>REPORT_SS_PRINT_V1_ACTIVATION</t>
  </si>
  <si>
    <t>REPORT_SS_PRINT_V1_ACTIVATION_HORIZONTAL</t>
  </si>
  <si>
    <t>REPORT_SS_PRINT_V1_EXTERNAL_EXCITATION</t>
  </si>
  <si>
    <t>REPORT_SS_PRINT_MT_ACTIVATION</t>
  </si>
  <si>
    <t>REPORT_SS_PRINT_MT_ACTIVATION_HORIZONTAL</t>
  </si>
  <si>
    <t>VARMAN_PRINT</t>
  </si>
  <si>
    <t>VarmanCall_PRINT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</si>
  <si>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</si>
  <si>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</si>
  <si>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</si>
  <si>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</si>
  <si>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</si>
  <si>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</si>
  <si>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</si>
  <si>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</si>
  <si>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</si>
  <si>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</si>
  <si>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</si>
  <si>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</si>
  <si>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</si>
  <si>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</si>
  <si>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</si>
  <si>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</si>
  <si>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</si>
  <si>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</si>
  <si>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</si>
  <si>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</si>
  <si>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</si>
  <si>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</si>
  <si>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</si>
  <si>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</si>
  <si>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</si>
  <si>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</si>
  <si>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</si>
  <si>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</si>
  <si>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</si>
  <si>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</si>
  <si>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</si>
  <si>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</si>
  <si>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</si>
  <si>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</si>
  <si>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</si>
  <si>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Variable Management</t>
  </si>
  <si>
    <t>LABEL_REDIRECTION_STRING</t>
  </si>
  <si>
    <t>LABEL_REDIRECTION_CHAR</t>
  </si>
  <si>
    <t>"&gt;"</t>
  </si>
  <si>
    <t>'&gt;'</t>
  </si>
  <si>
    <t>DV-008</t>
  </si>
  <si>
    <t>The Log manager is being copied and this should NEVER happen</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</si>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</sst>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8">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3" borderId="0" xfId="0" applyFill="1"/>
    <xf numFmtId="0" fontId="0" fillId="33" borderId="0" xfId="0" applyFill="1" applyAlignment="1">
      <alignment horizontal="center"/>
    </xf>
    <xf numFmtId="0" fontId="0" fillId="33" borderId="0" xfId="0" applyFill="1" applyAlignment="1">
      <alignment horizontal="left"/>
    </xf>
    <xf numFmtId="2" fontId="0" fillId="33" borderId="0" xfId="0" applyNumberFormat="1" applyFill="1" applyAlignment="1">
      <alignment horizontal="left"/>
    </xf>
    <xf numFmtId="2" fontId="0" fillId="33" borderId="0" xfId="0" applyNumberFormat="1" applyFill="1" applyAlignment="1">
      <alignment horizontal="center"/>
    </xf>
    <xf numFmtId="0" fontId="0" fillId="34" borderId="0" xfId="0" applyFill="1"/>
    <xf numFmtId="0" fontId="0" fillId="34" borderId="0" xfId="0" applyFill="1" applyAlignment="1">
      <alignment horizontal="center"/>
    </xf>
    <xf numFmtId="2" fontId="0" fillId="34" borderId="0" xfId="0" applyNumberFormat="1" applyFill="1" applyAlignment="1">
      <alignment horizontal="center"/>
    </xf>
    <xf numFmtId="0" fontId="0" fillId="34" borderId="0" xfId="0" applyFill="1" applyAlignment="1">
      <alignment horizontal="left"/>
    </xf>
    <xf numFmtId="0" fontId="0" fillId="0" borderId="0" xfId="0" applyAlignment="1">
      <alignment horizontal="left"/>
    </xf>
    <xf numFmtId="0" fontId="0" fillId="0" borderId="0" xfId="0" applyNumberFormat="1" applyAlignment="1">
      <alignment horizontal="left"/>
    </xf>
    <xf numFmtId="0" fontId="0" fillId="34" borderId="0" xfId="0" applyFill="1" applyAlignment="1">
      <alignment wrapText="1"/>
    </xf>
    <xf numFmtId="0" fontId="0" fillId="33" borderId="0" xfId="0" applyFill="1" applyAlignment="1">
      <alignment wrapText="1"/>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36" borderId="0" xfId="0" applyFill="1" applyAlignment="1">
      <alignment horizontal="center"/>
    </xf>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7" borderId="0" xfId="0" applyFill="1" applyAlignment="1">
      <alignment wrapText="1"/>
    </xf>
    <xf numFmtId="0" fontId="0" fillId="37" borderId="0" xfId="0" applyFill="1" applyAlignment="1">
      <alignment horizontal="center"/>
    </xf>
    <xf numFmtId="0" fontId="0" fillId="37" borderId="0" xfId="0" applyFill="1" applyAlignment="1">
      <alignment horizontal="left"/>
    </xf>
    <xf numFmtId="0" fontId="0" fillId="37" borderId="0" xfId="0" applyFill="1"/>
    <xf numFmtId="0" fontId="0" fillId="37" borderId="0" xfId="0" applyNumberFormat="1" applyFill="1" applyAlignment="1">
      <alignment horizontal="center"/>
    </xf>
    <xf numFmtId="0" fontId="0" fillId="37" borderId="0" xfId="0" applyNumberFormat="1" applyFill="1" applyAlignment="1">
      <alignment horizontal="left"/>
    </xf>
    <xf numFmtId="0" fontId="18" fillId="37" borderId="0" xfId="0" applyFont="1" applyFill="1" applyAlignment="1">
      <alignment wrapText="1"/>
    </xf>
    <xf numFmtId="0" fontId="18" fillId="37" borderId="0" xfId="0" applyFont="1" applyFill="1" applyAlignment="1">
      <alignment horizontal="center"/>
    </xf>
    <xf numFmtId="0" fontId="18" fillId="37" borderId="0" xfId="0" applyFont="1" applyFill="1"/>
    <xf numFmtId="0" fontId="18" fillId="37" borderId="0" xfId="0" applyFont="1"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0" fontId="0" fillId="39" borderId="0" xfId="0" applyFill="1" applyAlignment="1">
      <alignment wrapText="1"/>
    </xf>
    <xf numFmtId="0" fontId="0" fillId="39" borderId="0" xfId="0" applyFill="1" applyAlignment="1">
      <alignment horizontal="center"/>
    </xf>
    <xf numFmtId="0" fontId="0" fillId="39" borderId="0" xfId="0" applyFill="1"/>
    <xf numFmtId="0" fontId="0" fillId="39" borderId="0" xfId="0" applyFill="1" applyAlignment="1">
      <alignment horizontal="left"/>
    </xf>
    <xf numFmtId="49" fontId="0" fillId="39"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00"/>
  <sheetViews>
    <sheetView zoomScaleNormal="100" workbookViewId="0">
      <pane ySplit="1" topLeftCell="A2" activePane="bottomLeft" state="frozen"/>
      <selection pane="bottomLeft" activeCell="H1" sqref="H1"/>
    </sheetView>
  </sheetViews>
  <sheetFormatPr defaultRowHeight="15" customHeight="1" x14ac:dyDescent="0.25"/>
  <cols>
    <col min="1" max="2" width="2.85546875" style="17" customWidth="1"/>
    <col min="3" max="3" width="8.5703125" style="1" customWidth="1"/>
    <col min="4" max="6" width="2.85546875" style="1" customWidth="1"/>
    <col min="7" max="7" width="2.85546875" style="2" customWidth="1"/>
    <col min="8" max="8" width="78.5703125" style="13" customWidth="1"/>
    <col min="9" max="9" width="2.85546875" style="1" customWidth="1"/>
    <col min="10" max="10" width="9.140625" style="13"/>
  </cols>
  <sheetData>
    <row r="1" spans="1:10" ht="15" customHeight="1" x14ac:dyDescent="0.25">
      <c r="H1" s="27" t="s">
        <v>341</v>
      </c>
    </row>
    <row r="2" spans="1:10" s="9" customFormat="1" ht="15" customHeight="1" x14ac:dyDescent="0.25">
      <c r="A2" s="15" t="str">
        <f>IF(C2&lt;&gt;"",IF(C2="#","  // "&amp;H2,
"  MessagesDevelopmentAssert.QuickPutEntry_bool("""&amp;C2&amp;""", "&amp;IF(D2="F","false",IF(D2="T","true","ERROR"))&amp;");"&amp;CHAR(10)&amp;
"  MessagesImplementationAssert.QuickPutEntry_bool("""&amp;C2&amp;""", "&amp;IF(E2="F","false",IF(E2="T","true","ERROR"))&amp;");"&amp;CHAR(10)&amp;
"  MessagesRuntimeAssert.QuickPutEntry_bool("""&amp;C2&amp;""", "&amp;IF(F2="F","false",IF(F2="T","true","ERROR"))&amp;");"&amp;CHAR(10)&amp;
"  MessagesDisabling.QuickPutEntry_int("""&amp;C2&amp;""", "&amp;G2&amp;");"&amp; CHAR(10) &amp;
"  MessagesCount.QuickPutEntry_int("""&amp;C2&amp;""", 0);"&amp;CHAR(10)&amp;
"  MessagesLabel.QuickPutEntry_string("""&amp;C2&amp;""","""&amp;H2&amp;""");"&amp;
IF(J2&lt;&gt;"",CHAR(10) &amp; "  MessagesText.QuickPutEntry_string("""&amp;C2&amp;""", """&amp;SUBSTITUTE(J2,"""","\""")&amp;""");","")
),"")</f>
        <v xml:space="preserve">  // Description</v>
      </c>
      <c r="B2" s="15"/>
      <c r="C2" s="10" t="s">
        <v>0</v>
      </c>
      <c r="D2" s="10" t="s">
        <v>136</v>
      </c>
      <c r="E2" s="10" t="s">
        <v>137</v>
      </c>
      <c r="F2" s="10" t="s">
        <v>138</v>
      </c>
      <c r="G2" s="11" t="s">
        <v>139</v>
      </c>
      <c r="H2" s="12" t="s">
        <v>140</v>
      </c>
      <c r="I2" s="10"/>
      <c r="J2" s="12"/>
    </row>
    <row r="3" spans="1:10" s="4" customFormat="1" ht="15" customHeight="1" x14ac:dyDescent="0.25">
      <c r="A3" s="16" t="str">
        <f>IF(C3&lt;&gt;"",IF(C3="#","  // "&amp;H3,
"  MessagesDevelopmentAssert.QuickPutEntry_bool("""&amp;C3&amp;""", "&amp;IF(D3="F","false",IF(D3="T","true","ERROR"))&amp;");"&amp;CHAR(10)&amp;
"  MessagesImplementationAssert.QuickPutEntry_bool("""&amp;C3&amp;""", "&amp;IF(E3="F","false",IF(E3="T","true","ERROR"))&amp;");"&amp;CHAR(10)&amp;
"  MessagesRuntimeAssert.QuickPutEntry_bool("""&amp;C3&amp;""", "&amp;IF(F3="F","false",IF(F3="T","true","ERROR"))&amp;");"&amp;CHAR(10)&amp;
"  MessagesDisabling.QuickPutEntry_int("""&amp;C3&amp;""", "&amp;G3&amp;");"&amp; CHAR(10) &amp;
"  MessagesCount.QuickPutEntry_int("""&amp;C3&amp;""", 0);"&amp;CHAR(10)&amp;
"  MessagesLabel.QuickPutEntry_string("""&amp;C3&amp;""","""&amp;H3&amp;""");"&amp;
IF(J3&lt;&gt;"",CHAR(10) &amp; "  MessagesText.QuickPutEntry_string("""&amp;C3&amp;""", """&amp;SUBSTITUTE(J3,"""","\""")&amp;""");","")
),"")</f>
        <v xml:space="preserve">  // Reading Nproc File Issues</v>
      </c>
      <c r="B3" s="16" t="str">
        <f>IF(C3&lt;&gt;"",IF(C3="#","\section{"&amp;H3&amp;"}" &amp; CHAR(10),
"\subsection{" &amp; C3 &amp; "}" &amp; CHAR(10) &amp; "\begin{itemize}" &amp; CHAR(10) &amp;
"  \item Interface Message:\\[1em]\textbf{" &amp; SUBSTITUTE(H3,"_","\_") &amp; "}" &amp; CHAR(10) &amp;
"  \item Development Assertion: " &amp; IF(D3="F","NO",IF(D3="T","YES","ERROR")) &amp; CHAR(10) &amp;
"  \item Implementation Assertion: " &amp; IF(E3="F","NO",IF(E3="T","YES","ERROR")) &amp; CHAR(10) &amp;
"  \item Runtime Assertion: " &amp; IF(F3="F","NO",IF(F3="T","YES","ERROR")) &amp; CHAR(10) &amp;
IF(J3&lt;&gt;"","  \item Message Description:\\[1em]"&amp; SUBSTITUTE(J3,"_","\_")  &amp;CHAR(10),"") &amp;
"\end{itemize}"&amp;CHAR(10)),"")</f>
        <v xml:space="preserve">\section{Reading Nproc File Issues}
</v>
      </c>
      <c r="C3" s="5" t="s">
        <v>0</v>
      </c>
      <c r="E3" s="6"/>
      <c r="F3" s="6"/>
      <c r="G3" s="7"/>
      <c r="H3" s="6" t="s">
        <v>135</v>
      </c>
      <c r="I3" s="5"/>
      <c r="J3" s="6"/>
    </row>
    <row r="4" spans="1:10" s="26" customFormat="1" ht="15" customHeight="1" x14ac:dyDescent="0.25">
      <c r="A4" s="23" t="str">
        <f t="shared" ref="A4:A71" si="0">IF(C4&lt;&gt;"",IF(C4="#","  // "&amp;H4,
"  MessagesDevelopmentAssert.QuickPutEntry_bool("""&amp;C4&amp;""", "&amp;IF(D4="F","false",IF(D4="T","true","ERROR"))&amp;");"&amp;CHAR(10)&amp;
"  MessagesImplementationAssert.QuickPutEntry_bool("""&amp;C4&amp;""", "&amp;IF(E4="F","false",IF(E4="T","true","ERROR"))&amp;");"&amp;CHAR(10)&amp;
"  MessagesRuntimeAssert.QuickPutEntry_bool("""&amp;C4&amp;""", "&amp;IF(F4="F","false",IF(F4="T","true","ERROR"))&amp;");"&amp;CHAR(10)&amp;
"  MessagesDisabling.QuickPutEntry_int("""&amp;C4&amp;""", "&amp;G4&amp;");"&amp; CHAR(10) &amp;
"  MessagesCount.QuickPutEntry_int("""&amp;C4&amp;""", 0);"&amp;CHAR(10)&amp;
"  MessagesLabel.QuickPutEntry_string("""&amp;C4&amp;""","""&amp;H4&amp;""");"&amp;
IF(J4&lt;&gt;"",CHAR(10) &amp; "  MessagesText.QuickPutEntry_string("""&amp;C4&amp;""", """&amp;SUBSTITUTE(J4,"""","\""")&amp;""");","")
),"")</f>
        <v xml:space="preserve">  MessagesDevelopmentAssert.QuickPutEntry_bool("IN-001", true);
  MessagesImplementationAssert.QuickPutEntry_bool("IN-001", false);
  MessagesRuntimeAssert.QuickPutEntry_bool("IN-001", false);
  MessagesDisabling.QuickPutEntry_int("IN-001", 0);
  MessagesCount.QuickPutEntry_int("IN-001", 0);
  MessagesLabel.QuickPutEntry_string("IN-001","NProc directive not recognized");
  MessagesText.QuickPutEntry_string("IN-001", "The directive (first word on the nproc command) trying to get interpreted is not on the list of possible directives. Please go to the Reference Manual chapter \"Directives\" to get a full list of valid directives.");</v>
      </c>
      <c r="B4" s="23" t="str">
        <f t="shared" ref="B4:B71" si="1">IF(C4&lt;&gt;"",IF(C4="#","\section{"&amp;H4&amp;"}" &amp; CHAR(10),
"\subsection{" &amp; C4 &amp; "}" &amp; CHAR(10) &amp; "\begin{itemize}" &amp; CHAR(10) &amp;
"  \item Interface Message:\\[1em]\textbf{" &amp; SUBSTITUTE(H4,"_","\_") &amp; "}" &amp; CHAR(10) &amp;
"  \item Development Assertion: " &amp; IF(D4="F","NO",IF(D4="T","YES","ERROR")) &amp; CHAR(10) &amp;
"  \item Implementation Assertion: " &amp; IF(E4="F","NO",IF(E4="T","YES","ERROR")) &amp; CHAR(10) &amp;
"  \item Runtime Assertion: " &amp; IF(F4="F","NO",IF(F4="T","YES","ERROR")) &amp; CHAR(10) &amp;
IF(J4&lt;&gt;"","  \item Message Description:\\[1em]"&amp; SUBSTITUTE(J4,"_","\_")  &amp;CHAR(10),"") &amp;
"\end{itemize}"&amp;CHAR(10)),"")</f>
        <v xml:space="preserve">\subsection{IN-001}
\begin{itemize}
  \item Interface Message:\\[1em]\textbf{NProc directive not recognized}
  \item Development Assertion: YES
  \item Implementation Assertion: NO
  \item Runtime Assertion: NO
  \item Message Description:\\[1em]The directive (first word on the nproc command) trying to get interpreted is not on the list of possible directives. Please go to the Reference Manual chapter "Directives" to get a full list of valid directives.
\end{itemize}
</v>
      </c>
      <c r="C4" s="18" t="s">
        <v>1</v>
      </c>
      <c r="D4" s="18" t="s">
        <v>2</v>
      </c>
      <c r="E4" s="18" t="s">
        <v>3</v>
      </c>
      <c r="F4" s="18" t="s">
        <v>3</v>
      </c>
      <c r="G4" s="24">
        <v>0</v>
      </c>
      <c r="H4" s="25" t="s">
        <v>4</v>
      </c>
      <c r="I4" s="18"/>
      <c r="J4" s="25" t="s">
        <v>343</v>
      </c>
    </row>
    <row r="5" spans="1:10" s="26" customFormat="1" ht="15" customHeight="1" x14ac:dyDescent="0.25">
      <c r="A5" s="23" t="str">
        <f t="shared" si="0"/>
        <v xml:space="preserve">  MessagesDevelopmentAssert.QuickPutEntry_bool("IN-002", true);
  MessagesImplementationAssert.QuickPutEntry_bool("IN-002", false);
  MessagesRuntimeAssert.QuickPutEntry_bool("IN-002", false);
  MessagesDisabling.QuickPutEntry_int("IN-002", 0);
  MessagesCount.QuickPutEntry_int("IN-002", 0);
  MessagesLabel.QuickPutEntry_string("IN-002","Trying to report an undeclared variable");
  MessagesText.QuickPutEntry_string("IN-002", "The Simulator as well as the Simulation Environment has a list of predefined variables so store and retrieve information. The variable been addressed is not part of the list. The user is not allowed to create new variables.");</v>
      </c>
      <c r="B5" s="23" t="str">
        <f t="shared" si="1"/>
        <v xml:space="preserve">\subsection{IN-002}
\begin{itemize}
  \item Interface Message:\\[1em]\textbf{Trying to report an undeclared variable}
  \item Development Assertion: YES
  \item Implementation Assertion: NO
  \item Runtime Assertion: NO
  \item Message Description:\\[1em]The Simulator as well as the Simulation Environment has a list of predefined variables so store and retrieve information. The variable been addressed is not part of the list. The user is not allowed to create new variables.
\end{itemize}
</v>
      </c>
      <c r="C5" s="18" t="s">
        <v>5</v>
      </c>
      <c r="D5" s="18" t="s">
        <v>2</v>
      </c>
      <c r="E5" s="18" t="s">
        <v>3</v>
      </c>
      <c r="F5" s="18" t="s">
        <v>3</v>
      </c>
      <c r="G5" s="24">
        <v>0</v>
      </c>
      <c r="H5" s="25" t="s">
        <v>6</v>
      </c>
      <c r="I5" s="18"/>
      <c r="J5" s="25" t="s">
        <v>342</v>
      </c>
    </row>
    <row r="6" spans="1:10" s="26" customFormat="1" ht="15" customHeight="1" x14ac:dyDescent="0.25">
      <c r="A6" s="23" t="str">
        <f t="shared" si="0"/>
        <v xml:space="preserve">  MessagesDevelopmentAssert.QuickPutEntry_bool("IN-004", true);
  MessagesImplementationAssert.QuickPutEntry_bool("IN-004", false);
  MessagesRuntimeAssert.QuickPutEntry_bool("IN-004", false);
  MessagesDisabling.QuickPutEntry_int("IN-004", 0);
  MessagesCount.QuickPutEntry_int("IN-004", 0);
  MessagesLabel.QuickPutEntry_string("IN-004","Unidentified sub directive, ignoring line");
  MessagesText.QuickPutEntry_string("IN-004", "The sub-directive (second word on the nproc command)  trying to get interpreted is not on the list of possible directives. Please go to the Reference Manual chapter \"Directives\" to get a full list of valid directives.");</v>
      </c>
      <c r="B6" s="23" t="str">
        <f t="shared" si="1"/>
        <v xml:space="preserve">\subsection{IN-004}
\begin{itemize}
  \item Interface Message:\\[1em]\textbf{Unidentified sub directive, ignoring line}
  \item Development Assertion: YES
  \item Implementation Assertion: NO
  \item Runtime Assertion: NO
  \item Message Description:\\[1em]The sub-directive (second word on the nproc command)  trying to get interpreted is not on the list of possible directives. Please go to the Reference Manual chapter "Directives" to get a full list of valid directives.
\end{itemize}
</v>
      </c>
      <c r="C6" s="18" t="s">
        <v>9</v>
      </c>
      <c r="D6" s="18" t="s">
        <v>2</v>
      </c>
      <c r="E6" s="18" t="s">
        <v>3</v>
      </c>
      <c r="F6" s="18" t="s">
        <v>3</v>
      </c>
      <c r="G6" s="24">
        <v>0</v>
      </c>
      <c r="H6" s="25" t="s">
        <v>346</v>
      </c>
      <c r="I6" s="18"/>
      <c r="J6" s="25" t="s">
        <v>344</v>
      </c>
    </row>
    <row r="7" spans="1:10" s="26" customFormat="1" ht="15" customHeight="1" x14ac:dyDescent="0.25">
      <c r="A7" s="23" t="str">
        <f t="shared" si="0"/>
        <v xml:space="preserve">  MessagesDevelopmentAssert.QuickPutEntry_bool("IN-005", false);
  MessagesImplementationAssert.QuickPutEntry_bool("IN-005", false);
  MessagesRuntimeAssert.QuickPutEntry_bool("IN-005", false);
  MessagesDisabling.QuickPutEntry_int("IN-005", 0);
  MessagesCount.QuickPutEntry_int("IN-005", 0);
  MessagesLabel.QuickPutEntry_string("IN-005","Unidentified setting, ignoring line");
  MessagesText.QuickPutEntry_string("IN-005", "A value has tried to be written on an un-identified or un-available configuration variable. This nproc line will be ommited");</v>
      </c>
      <c r="B7" s="23" t="str">
        <f t="shared" si="1"/>
        <v xml:space="preserve">\subsection{IN-005}
\begin{itemize}
  \item Interface Message:\\[1em]\textbf{Unidentified setting, ignoring line}
  \item Development Assertion: NO
  \item Implementation Assertion: NO
  \item Runtime Assertion: NO
  \item Message Description:\\[1em]A value has tried to be written on an un-identified or un-available configuration variable. This nproc line will be ommited
\end{itemize}
</v>
      </c>
      <c r="C7" s="18" t="s">
        <v>10</v>
      </c>
      <c r="D7" s="18" t="s">
        <v>3</v>
      </c>
      <c r="E7" s="18" t="s">
        <v>3</v>
      </c>
      <c r="F7" s="18" t="s">
        <v>3</v>
      </c>
      <c r="G7" s="24">
        <v>0</v>
      </c>
      <c r="H7" s="25" t="s">
        <v>347</v>
      </c>
      <c r="I7" s="18"/>
      <c r="J7" s="25" t="s">
        <v>345</v>
      </c>
    </row>
    <row r="8" spans="1:10" s="26" customFormat="1" ht="15" customHeight="1" x14ac:dyDescent="0.25">
      <c r="A8" s="23" t="str">
        <f t="shared" ref="A8" si="2">IF(C8&lt;&gt;"",IF(C8="#","  // "&amp;H8,
"  MessagesDevelopmentAssert.QuickPutEntry_bool("""&amp;C8&amp;""", "&amp;IF(D8="F","false",IF(D8="T","true","ERROR"))&amp;");"&amp;CHAR(10)&amp;
"  MessagesImplementationAssert.QuickPutEntry_bool("""&amp;C8&amp;""", "&amp;IF(E8="F","false",IF(E8="T","true","ERROR"))&amp;");"&amp;CHAR(10)&amp;
"  MessagesRuntimeAssert.QuickPutEntry_bool("""&amp;C8&amp;""", "&amp;IF(F8="F","false",IF(F8="T","true","ERROR"))&amp;");"&amp;CHAR(10)&amp;
"  MessagesDisabling.QuickPutEntry_int("""&amp;C8&amp;""", "&amp;G8&amp;");"&amp; CHAR(10) &amp;
"  MessagesCount.QuickPutEntry_int("""&amp;C8&amp;""", 0);"&amp;CHAR(10)&amp;
"  MessagesLabel.QuickPutEntry_string("""&amp;C8&amp;""","""&amp;H8&amp;""");"&amp;
IF(J8&lt;&gt;"",CHAR(10) &amp; "  MessagesText.QuickPutEntry_string("""&amp;C8&amp;""", """&amp;SUBSTITUTE(J8,"""","\""")&amp;""");","")
),"")</f>
        <v xml:space="preserve">  MessagesDevelopmentAssert.QuickPutEntry_bool("IN-006", false);
  MessagesImplementationAssert.QuickPutEntry_bool("IN-006", false);
  MessagesRuntimeAssert.QuickPutEntry_bool("IN-006", false);
  MessagesDisabling.QuickPutEntry_int("IN-006", 0);
  MessagesCount.QuickPutEntry_int("IN-006", 0);
  MessagesLabel.QuickPutEntry_string("IN-006","Flag not found or without a value");
  MessagesText.QuickPutEntry_string("IN-006", "The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v>
      </c>
      <c r="B8" s="23" t="str">
        <f t="shared" ref="B8" si="3">IF(C8&lt;&gt;"",IF(C8="#","\section{"&amp;H8&amp;"}" &amp; CHAR(10),
"\subsection{" &amp; C8 &amp; "}" &amp; CHAR(10) &amp; "\begin{itemize}" &amp; CHAR(10) &amp;
"  \item Interface Message:\\[1em]\textbf{" &amp; SUBSTITUTE(H8,"_","\_") &amp; "}" &amp; CHAR(10) &amp;
"  \item Development Assertion: " &amp; IF(D8="F","NO",IF(D8="T","YES","ERROR")) &amp; CHAR(10) &amp;
"  \item Implementation Assertion: " &amp; IF(E8="F","NO",IF(E8="T","YES","ERROR")) &amp; CHAR(10) &amp;
"  \item Runtime Assertion: " &amp; IF(F8="F","NO",IF(F8="T","YES","ERROR")) &amp; CHAR(10) &amp;
IF(J8&lt;&gt;"","  \item Message Description:\\[1em]"&amp; SUBSTITUTE(J8,"_","\_")  &amp;CHAR(10),"") &amp;
"\end{itemize}"&amp;CHAR(10)),"")</f>
        <v xml:space="preserve">\subsection{IN-006}
\begin{itemize}
  \item Interface Message:\\[1em]\textbf{Flag not found or without a value}
  \item Development Assertion: NO
  \item Implementation Assertion: NO
  \item Runtime Assertion: NO
  \item Message Description:\\[1em]The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
\end{itemize}
</v>
      </c>
      <c r="C8" s="18" t="s">
        <v>266</v>
      </c>
      <c r="D8" s="18" t="s">
        <v>3</v>
      </c>
      <c r="E8" s="18" t="s">
        <v>3</v>
      </c>
      <c r="F8" s="18" t="s">
        <v>3</v>
      </c>
      <c r="G8" s="24">
        <v>0</v>
      </c>
      <c r="H8" s="25" t="s">
        <v>268</v>
      </c>
      <c r="I8" s="18"/>
      <c r="J8" s="25" t="s">
        <v>348</v>
      </c>
    </row>
    <row r="9" spans="1:10" s="26" customFormat="1" ht="15" customHeight="1" x14ac:dyDescent="0.25">
      <c r="A9" s="23" t="str">
        <f t="shared" si="0"/>
        <v xml:space="preserve">  MessagesDevelopmentAssert.QuickPutEntry_bool("IN-007", false);
  MessagesImplementationAssert.QuickPutEntry_bool("IN-007", false);
  MessagesRuntimeAssert.QuickPutEntry_bool("IN-007", false);
  MessagesDisabling.QuickPutEntry_int("IN-007", 0);
  MessagesCount.QuickPutEntry_int("IN-007", 0);
  MessagesLabel.QuickPutEntry_string("IN-007","A boolean argument has not been properly written. Will be interpreted as false");
  MessagesText.QuickPutEntry_string("IN-007", "A string been read as boolean doen't match any of the possible true values (true, True, T, t, 1) neither false (false, False, F, f, 0). It will be interpreted and stored as false.");</v>
      </c>
      <c r="B9" s="23" t="str">
        <f t="shared" si="1"/>
        <v xml:space="preserve">\subsection{IN-007}
\begin{itemize}
  \item Interface Message:\\[1em]\textbf{A boolean argument has not been properly written. Will be interpreted as false}
  \item Development Assertion: NO
  \item Implementation Assertion: NO
  \item Runtime Assertion: NO
  \item Message Description:\\[1em]A string been read as boolean doen't match any of the possible true values (true, True, T, t, 1) neither false (false, False, F, f, 0). It will be interpreted and stored as false.
\end{itemize}
</v>
      </c>
      <c r="C9" s="18" t="s">
        <v>11</v>
      </c>
      <c r="D9" s="18" t="s">
        <v>3</v>
      </c>
      <c r="E9" s="18" t="s">
        <v>3</v>
      </c>
      <c r="F9" s="18" t="s">
        <v>3</v>
      </c>
      <c r="G9" s="24">
        <v>0</v>
      </c>
      <c r="H9" s="25" t="s">
        <v>12</v>
      </c>
      <c r="I9" s="18"/>
      <c r="J9" s="25" t="s">
        <v>349</v>
      </c>
    </row>
    <row r="10" spans="1:10" s="26" customFormat="1" ht="15" customHeight="1" x14ac:dyDescent="0.25">
      <c r="A10" s="23" t="str">
        <f t="shared" ref="A10" si="4">IF(C10&lt;&gt;"",IF(C10="#","  // "&amp;H10,
"  MessagesDevelopmentAssert.QuickPutEntry_bool("""&amp;C10&amp;""", "&amp;IF(D10="F","false",IF(D10="T","true","ERROR"))&amp;");"&amp;CHAR(10)&amp;
"  MessagesImplementationAssert.QuickPutEntry_bool("""&amp;C10&amp;""", "&amp;IF(E10="F","false",IF(E10="T","true","ERROR"))&amp;");"&amp;CHAR(10)&amp;
"  MessagesRuntimeAssert.QuickPutEntry_bool("""&amp;C10&amp;""", "&amp;IF(F10="F","false",IF(F10="T","true","ERROR"))&amp;");"&amp;CHAR(10)&amp;
"  MessagesDisabling.QuickPutEntry_int("""&amp;C10&amp;""", "&amp;G10&amp;");"&amp; CHAR(10) &amp;
"  MessagesCount.QuickPutEntry_int("""&amp;C10&amp;""", 0);"&amp;CHAR(10)&amp;
"  MessagesLabel.QuickPutEntry_string("""&amp;C10&amp;""","""&amp;H10&amp;""");"&amp;
IF(J10&lt;&gt;"",CHAR(10) &amp; "  MessagesText.QuickPutEntry_string("""&amp;C10&amp;""", """&amp;SUBSTITUTE(J10,"""","\""")&amp;""");","")
),"")</f>
        <v xml:space="preserve">  MessagesDevelopmentAssert.QuickPutEntry_bool("IN-008", false);
  MessagesImplementationAssert.QuickPutEntry_bool("IN-008", false);
  MessagesRuntimeAssert.QuickPutEntry_bool("IN-008", true);
  MessagesDisabling.QuickPutEntry_int("IN-008", 0);
  MessagesCount.QuickPutEntry_int("IN-008", 0);
  MessagesLabel.QuickPutEntry_string("IN-008","The maximum amount of possible nested \"rescue nproc\" calls has been reached");</v>
      </c>
      <c r="B10" s="23" t="str">
        <f t="shared" ref="B10" si="5">IF(C10&lt;&gt;"",IF(C10="#","\section{"&amp;H10&amp;"}" &amp; CHAR(10),
"\subsection{" &amp; C10 &amp; "}" &amp; CHAR(10) &amp; "\begin{itemize}" &amp; CHAR(10) &amp;
"  \item Interface Message:\\[1em]\textbf{" &amp; SUBSTITUTE(H10,"_","\_") &amp; "}" &amp; CHAR(10) &amp;
"  \item Development Assertion: " &amp; IF(D10="F","NO",IF(D10="T","YES","ERROR")) &amp; CHAR(10) &amp;
"  \item Implementation Assertion: " &amp; IF(E10="F","NO",IF(E10="T","YES","ERROR")) &amp; CHAR(10) &amp;
"  \item Runtime Assertion: " &amp; IF(F10="F","NO",IF(F10="T","YES","ERROR")) &amp; CHAR(10) &amp;
IF(J10&lt;&gt;"","  \item Message Description:\\[1em]"&amp; SUBSTITUTE(J10,"_","\_")  &amp;CHAR(10),"") &amp;
"\end{itemize}"&amp;CHAR(10)),"")</f>
        <v xml:space="preserve">\subsection{IN-008}
\begin{itemize}
  \item Interface Message:\\[1em]\textbf{The maximum amount of possible nested \"rescue nproc\" calls has been reached}
  \item Development Assertion: NO
  \item Implementation Assertion: NO
  \item Runtime Assertion: YES
\end{itemize}
</v>
      </c>
      <c r="C10" s="18" t="s">
        <v>435</v>
      </c>
      <c r="D10" s="18" t="s">
        <v>3</v>
      </c>
      <c r="E10" s="18" t="s">
        <v>3</v>
      </c>
      <c r="F10" s="18" t="s">
        <v>2</v>
      </c>
      <c r="G10" s="24">
        <v>0</v>
      </c>
      <c r="H10" s="25" t="s">
        <v>436</v>
      </c>
      <c r="I10" s="18"/>
      <c r="J10" s="25"/>
    </row>
    <row r="11" spans="1:10" s="26" customFormat="1" ht="15" customHeight="1" x14ac:dyDescent="0.25">
      <c r="A11" s="23" t="str">
        <f t="shared" si="0"/>
        <v xml:space="preserve">  MessagesDevelopmentAssert.QuickPutEntry_bool("IN-010", false);
  MessagesImplementationAssert.QuickPutEntry_bool("IN-010", false);
  MessagesRuntimeAssert.QuickPutEntry_bool("IN-010", false);
  MessagesDisabling.QuickPutEntry_int("IN-010", 0);
  MessagesCount.QuickPutEntry_int("IN-010", 0);
  MessagesLabel.QuickPutEntry_string("IN-010","Incorrect amount of arguments for the command, ignoring line");
  MessagesText.QuickPutEntry_string("IN-010", "The number of arguments of the command doesn't match the minimum required. This line will be ignored.");</v>
      </c>
      <c r="B11" s="23" t="str">
        <f t="shared" si="1"/>
        <v xml:space="preserve">\subsection{IN-010}
\begin{itemize}
  \item Interface Message:\\[1em]\textbf{Incorrect amount of arguments for the command, ignoring line}
  \item Development Assertion: NO
  \item Implementation Assertion: NO
  \item Runtime Assertion: NO
  \item Message Description:\\[1em]The number of arguments of the command doesn't match the minimum required. This line will be ignored.
\end{itemize}
</v>
      </c>
      <c r="C11" s="18" t="s">
        <v>13</v>
      </c>
      <c r="D11" s="18" t="s">
        <v>3</v>
      </c>
      <c r="E11" s="18" t="s">
        <v>3</v>
      </c>
      <c r="F11" s="18" t="s">
        <v>3</v>
      </c>
      <c r="G11" s="24">
        <v>0</v>
      </c>
      <c r="H11" s="25" t="s">
        <v>350</v>
      </c>
      <c r="I11" s="18"/>
      <c r="J11" s="25" t="s">
        <v>351</v>
      </c>
    </row>
    <row r="12" spans="1:10" s="4" customFormat="1" ht="15" customHeight="1" x14ac:dyDescent="0.25">
      <c r="A12" s="16" t="str">
        <f t="shared" si="0"/>
        <v xml:space="preserve">  // Command Line Issues</v>
      </c>
      <c r="B12" s="16" t="str">
        <f t="shared" si="1"/>
        <v xml:space="preserve">\section{Command Line Issues}
</v>
      </c>
      <c r="C12" s="5" t="s">
        <v>0</v>
      </c>
      <c r="E12" s="5"/>
      <c r="F12" s="5"/>
      <c r="G12" s="8"/>
      <c r="H12" s="6" t="s">
        <v>14</v>
      </c>
      <c r="I12" s="5"/>
      <c r="J12" s="6"/>
    </row>
    <row r="13" spans="1:10" s="26" customFormat="1" ht="15" customHeight="1" x14ac:dyDescent="0.25">
      <c r="A13" s="23" t="str">
        <f t="shared" si="0"/>
        <v xml:space="preserve">  MessagesDevelopmentAssert.QuickPutEntry_bool("UI-001", false);
  MessagesImplementationAssert.QuickPutEntry_bool("UI-001", false);
  MessagesRuntimeAssert.QuickPutEntry_bool("UI-001", true);
  MessagesDisabling.QuickPutEntry_int("UI-001", 0);
  MessagesCount.QuickPutEntry_int("UI-001", 0);
  MessagesLabel.QuickPutEntry_string("UI-001","Duplicated or contradictory flags on command call");
  MessagesText.QuickPutEntry_string("UI-001", "The Neuronment command-line call has a flag declared more than once or two flags that are different are trying to set a contradictory behaivior");</v>
      </c>
      <c r="B13" s="23" t="str">
        <f t="shared" si="1"/>
        <v xml:space="preserve">\subsection{UI-001}
\begin{itemize}
  \item Interface Message:\\[1em]\textbf{Duplicated or contradictory flags on command call}
  \item Development Assertion: NO
  \item Implementation Assertion: NO
  \item Runtime Assertion: YES
  \item Message Description:\\[1em]The Neuronment command-line call has a flag declared more than once or two flags that are different are trying to set a contradictory behaivior
\end{itemize}
</v>
      </c>
      <c r="C13" s="18" t="s">
        <v>15</v>
      </c>
      <c r="D13" s="18" t="s">
        <v>3</v>
      </c>
      <c r="E13" s="18" t="s">
        <v>3</v>
      </c>
      <c r="F13" s="18" t="s">
        <v>2</v>
      </c>
      <c r="G13" s="24">
        <v>0</v>
      </c>
      <c r="H13" s="25" t="s">
        <v>16</v>
      </c>
      <c r="I13" s="18"/>
      <c r="J13" s="25" t="s">
        <v>352</v>
      </c>
    </row>
    <row r="14" spans="1:10" s="26" customFormat="1" ht="15" customHeight="1" x14ac:dyDescent="0.25">
      <c r="A14" s="23" t="str">
        <f t="shared" si="0"/>
        <v xml:space="preserve">  MessagesDevelopmentAssert.QuickPutEntry_bool("UI-002", false);
  MessagesImplementationAssert.QuickPutEntry_bool("UI-002", false);
  MessagesRuntimeAssert.QuickPutEntry_bool("UI-002", true);
  MessagesDisabling.QuickPutEntry_int("UI-002", 0);
  MessagesCount.QuickPutEntry_int("UI-002", 0);
  MessagesLabel.QuickPutEntry_string("UI-002","Flag expected");
  MessagesText.QuickPutEntry_string("UI-002", "The Neuronment command-line call holds a value in a place where should be a flag (a tring starting with \"-\").");</v>
      </c>
      <c r="B14" s="23" t="str">
        <f t="shared" si="1"/>
        <v xml:space="preserve">\subsection{UI-002}
\begin{itemize}
  \item Interface Message:\\[1em]\textbf{Flag expected}
  \item Development Assertion: NO
  \item Implementation Assertion: NO
  \item Runtime Assertion: YES
  \item Message Description:\\[1em]The Neuronment command-line call holds a value in a place where should be a flag (a tring starting with "-").
\end{itemize}
</v>
      </c>
      <c r="C14" s="18" t="s">
        <v>17</v>
      </c>
      <c r="D14" s="18" t="s">
        <v>3</v>
      </c>
      <c r="E14" s="18" t="s">
        <v>3</v>
      </c>
      <c r="F14" s="18" t="s">
        <v>2</v>
      </c>
      <c r="G14" s="24">
        <v>0</v>
      </c>
      <c r="H14" s="25" t="s">
        <v>18</v>
      </c>
      <c r="I14" s="18"/>
      <c r="J14" s="25" t="s">
        <v>353</v>
      </c>
    </row>
    <row r="15" spans="1:10" s="26" customFormat="1" ht="15" customHeight="1" x14ac:dyDescent="0.25">
      <c r="A15" s="23" t="str">
        <f t="shared" si="0"/>
        <v xml:space="preserve">  MessagesDevelopmentAssert.QuickPutEntry_bool("UI-003", false);
  MessagesImplementationAssert.QuickPutEntry_bool("UI-003", false);
  MessagesRuntimeAssert.QuickPutEntry_bool("UI-003", false);
  MessagesDisabling.QuickPutEntry_int("UI-003", 0);
  MessagesCount.QuickPutEntry_int("UI-003", 0);
  MessagesLabel.QuickPutEntry_string("UI-003","Flag not recognized, flag omitted");
  MessagesText.QuickPutEntry_string("UI-003", "The Neuronment command-line call has detected a flag that isn't on the list of possible flags. This flag will be ignored.");</v>
      </c>
      <c r="B15" s="23" t="str">
        <f t="shared" si="1"/>
        <v xml:space="preserve">\subsection{UI-003}
\begin{itemize}
  \item Interface Message:\\[1em]\textbf{Flag not recognized, flag omitted}
  \item Development Assertion: NO
  \item Implementation Assertion: NO
  \item Runtime Assertion: NO
  \item Message Description:\\[1em]The Neuronment command-line call has detected a flag that isn't on the list of possible flags. This flag will be ignored.
\end{itemize}
</v>
      </c>
      <c r="C15" s="18" t="s">
        <v>19</v>
      </c>
      <c r="D15" s="18" t="s">
        <v>3</v>
      </c>
      <c r="E15" s="18" t="s">
        <v>3</v>
      </c>
      <c r="F15" s="18" t="s">
        <v>3</v>
      </c>
      <c r="G15" s="24">
        <v>0</v>
      </c>
      <c r="H15" s="25" t="s">
        <v>20</v>
      </c>
      <c r="I15" s="18"/>
      <c r="J15" s="25" t="s">
        <v>354</v>
      </c>
    </row>
    <row r="16" spans="1:10" s="26" customFormat="1" ht="15" customHeight="1" x14ac:dyDescent="0.25">
      <c r="A16" s="23" t="str">
        <f t="shared" si="0"/>
        <v xml:space="preserve">  MessagesDevelopmentAssert.QuickPutEntry_bool("UI-004", false);
  MessagesImplementationAssert.QuickPutEntry_bool("UI-004", false);
  MessagesRuntimeAssert.QuickPutEntry_bool("UI-004", true);
  MessagesDisabling.QuickPutEntry_int("UI-004", 0);
  MessagesCount.QuickPutEntry_int("UI-004", 0);
  MessagesLabel.QuickPutEntry_string("UI-004","Label without content");
  MessagesText.QuickPutEntry_string("UI-004", "The Neuronment command-line call has a flag that requires a value, but the value hasn't been found. If you are trying to use a negative number put it between quotes.");</v>
      </c>
      <c r="B16" s="23" t="str">
        <f t="shared" si="1"/>
        <v xml:space="preserve">\subsection{UI-004}
\begin{itemize}
  \item Interface Message:\\[1em]\textbf{Label without content}
  \item Development Assertion: NO
  \item Implementation Assertion: NO
  \item Runtime Assertion: YES
  \item Message Description:\\[1em]The Neuronment command-line call has a flag that requires a value, but the value hasn't been found. If you are trying to use a negative number put it between quotes.
\end{itemize}
</v>
      </c>
      <c r="C16" s="18" t="s">
        <v>21</v>
      </c>
      <c r="D16" s="18" t="s">
        <v>3</v>
      </c>
      <c r="E16" s="18" t="s">
        <v>3</v>
      </c>
      <c r="F16" s="18" t="s">
        <v>2</v>
      </c>
      <c r="G16" s="24">
        <v>0</v>
      </c>
      <c r="H16" s="25" t="s">
        <v>22</v>
      </c>
      <c r="I16" s="18"/>
      <c r="J16" s="25" t="s">
        <v>355</v>
      </c>
    </row>
    <row r="17" spans="1:10" s="26" customFormat="1" ht="15" customHeight="1" x14ac:dyDescent="0.25">
      <c r="A17" s="23" t="str">
        <f t="shared" si="0"/>
        <v xml:space="preserve">  MessagesDevelopmentAssert.QuickPutEntry_bool("UI-006", false);
  MessagesImplementationAssert.QuickPutEntry_bool("UI-006", false);
  MessagesRuntimeAssert.QuickPutEntry_bool("UI-006", true);
  MessagesDisabling.QuickPutEntry_int("UI-006", 0);
  MessagesCount.QuickPutEntry_int("UI-006", 0);
  MessagesLabel.QuickPutEntry_string("UI-006","Empty NProc name");
  MessagesText.QuickPutEntry_string("UI-006", "The call to Neuronment requires a mandatory nproc file to be processed.");</v>
      </c>
      <c r="B17" s="23" t="str">
        <f t="shared" si="1"/>
        <v xml:space="preserve">\subsection{UI-006}
\begin{itemize}
  \item Interface Message:\\[1em]\textbf{Empty NProc name}
  \item Development Assertion: NO
  \item Implementation Assertion: NO
  \item Runtime Assertion: YES
  \item Message Description:\\[1em]The call to Neuronment requires a mandatory nproc file to be processed.
\end{itemize}
</v>
      </c>
      <c r="C17" s="18" t="s">
        <v>23</v>
      </c>
      <c r="D17" s="18" t="s">
        <v>3</v>
      </c>
      <c r="E17" s="18" t="s">
        <v>3</v>
      </c>
      <c r="F17" s="18" t="s">
        <v>2</v>
      </c>
      <c r="G17" s="24">
        <v>0</v>
      </c>
      <c r="H17" s="25" t="s">
        <v>24</v>
      </c>
      <c r="I17" s="18"/>
      <c r="J17" s="25" t="s">
        <v>356</v>
      </c>
    </row>
    <row r="18" spans="1:10" s="4" customFormat="1" ht="15" customHeight="1" x14ac:dyDescent="0.25">
      <c r="A18" s="16" t="str">
        <f t="shared" si="0"/>
        <v xml:space="preserve">  // File IO Issues</v>
      </c>
      <c r="B18" s="16" t="str">
        <f t="shared" si="1"/>
        <v xml:space="preserve">\section{File IO Issues}
</v>
      </c>
      <c r="C18" s="5" t="s">
        <v>0</v>
      </c>
      <c r="E18" s="5"/>
      <c r="F18" s="5"/>
      <c r="G18" s="8"/>
      <c r="H18" s="6" t="s">
        <v>25</v>
      </c>
      <c r="I18" s="5"/>
      <c r="J18" s="6"/>
    </row>
    <row r="19" spans="1:10" ht="15" customHeight="1" x14ac:dyDescent="0.25">
      <c r="A19" s="17" t="str">
        <f t="shared" si="0"/>
        <v xml:space="preserve">  MessagesDevelopmentAssert.QuickPutEntry_bool("ER-001", false);
  MessagesImplementationAssert.QuickPutEntry_bool("ER-001", false);
  MessagesRuntimeAssert.QuickPutEntry_bool("ER-001", false);
  MessagesDisabling.QuickPutEntry_int("ER-001", 0);
  MessagesCount.QuickPutEntry_int("ER-001", 0);
  MessagesLabel.QuickPutEntry_string("ER-001","Development Assetion");
  MessagesText.QuickPutEntry_string("ER-001", "The program arrived to an unexpected set of conditions.");</v>
      </c>
      <c r="B19" s="17" t="str">
        <f t="shared" si="1"/>
        <v xml:space="preserve">\subsection{ER-001}
\begin{itemize}
  \item Interface Message:\\[1em]\textbf{Development Assetion}
  \item Development Assertion: NO
  \item Implementation Assertion: NO
  \item Runtime Assertion: NO
  \item Message Description:\\[1em]The program arrived to an unexpected set of conditions.
\end{itemize}
</v>
      </c>
      <c r="C19" s="1" t="s">
        <v>26</v>
      </c>
      <c r="D19" s="1" t="s">
        <v>3</v>
      </c>
      <c r="E19" s="1" t="s">
        <v>3</v>
      </c>
      <c r="F19" s="1" t="s">
        <v>3</v>
      </c>
      <c r="G19" s="3">
        <v>0</v>
      </c>
      <c r="H19" s="13" t="s">
        <v>357</v>
      </c>
      <c r="J19" s="13" t="s">
        <v>358</v>
      </c>
    </row>
    <row r="20" spans="1:10" ht="15" customHeight="1" x14ac:dyDescent="0.25">
      <c r="A20" s="17" t="str">
        <f t="shared" si="0"/>
        <v xml:space="preserve">  MessagesDevelopmentAssert.QuickPutEntry_bool("ER-002", false);
  MessagesImplementationAssert.QuickPutEntry_bool("ER-002", false);
  MessagesRuntimeAssert.QuickPutEntry_bool("ER-002", false);
  MessagesDisabling.QuickPutEntry_int("ER-002", 0);
  MessagesCount.QuickPutEntry_int("ER-002", 0);
  MessagesLabel.QuickPutEntry_string("ER-002","Runtime Assertion");
  MessagesText.QuickPutEntry_string("ER-002", "Something went wrong running the program. Terminating");</v>
      </c>
      <c r="B20" s="17" t="str">
        <f t="shared" si="1"/>
        <v xml:space="preserve">\subsection{ER-002}
\begin{itemize}
  \item Interface Message:\\[1em]\textbf{Runtime Assertion}
  \item Development Assertion: NO
  \item Implementation Assertion: NO
  \item Runtime Assertion: NO
  \item Message Description:\\[1em]Something went wrong running the program. Terminating
\end{itemize}
</v>
      </c>
      <c r="C20" s="1" t="s">
        <v>27</v>
      </c>
      <c r="D20" s="1" t="s">
        <v>3</v>
      </c>
      <c r="E20" s="1" t="s">
        <v>3</v>
      </c>
      <c r="F20" s="1" t="s">
        <v>3</v>
      </c>
      <c r="G20" s="3">
        <v>0</v>
      </c>
      <c r="H20" s="13" t="s">
        <v>359</v>
      </c>
      <c r="J20" s="13" t="s">
        <v>360</v>
      </c>
    </row>
    <row r="21" spans="1:10" ht="15" customHeight="1" x14ac:dyDescent="0.25">
      <c r="A21" s="17" t="str">
        <f t="shared" si="0"/>
        <v xml:space="preserve">  MessagesDevelopmentAssert.QuickPutEntry_bool("ER-003", false);
  MessagesImplementationAssert.QuickPutEntry_bool("ER-003", false);
  MessagesRuntimeAssert.QuickPutEntry_bool("ER-003", true);
  MessagesDisabling.QuickPutEntry_int("ER-003", 0);
  MessagesCount.QuickPutEntry_int("ER-003", 0);
  MessagesLabel.QuickPutEntry_string("ER-003","File couldn't be opened");
  MessagesText.QuickPutEntry_string("ER-003", "The nproc required for execution file couldn't be oppened");</v>
      </c>
      <c r="B21" s="17" t="str">
        <f t="shared" si="1"/>
        <v xml:space="preserve">\subsection{ER-003}
\begin{itemize}
  \item Interface Message:\\[1em]\textbf{File couldn't be opened}
  \item Development Assertion: NO
  \item Implementation Assertion: NO
  \item Runtime Assertion: YES
  \item Message Description:\\[1em]The nproc required for execution file couldn't be oppened
\end{itemize}
</v>
      </c>
      <c r="C21" s="1" t="s">
        <v>28</v>
      </c>
      <c r="D21" s="1" t="s">
        <v>3</v>
      </c>
      <c r="E21" s="1" t="s">
        <v>3</v>
      </c>
      <c r="F21" s="1" t="s">
        <v>2</v>
      </c>
      <c r="G21" s="3">
        <v>0</v>
      </c>
      <c r="H21" s="13" t="s">
        <v>29</v>
      </c>
      <c r="J21" s="13" t="s">
        <v>361</v>
      </c>
    </row>
    <row r="22" spans="1:10" ht="15" customHeight="1" x14ac:dyDescent="0.25">
      <c r="A22" s="17" t="str">
        <f t="shared" si="0"/>
        <v xml:space="preserve">  MessagesDevelopmentAssert.QuickPutEntry_bool("ER-004", false);
  MessagesImplementationAssert.QuickPutEntry_bool("ER-004", false);
  MessagesRuntimeAssert.QuickPutEntry_bool("ER-004", false);
  MessagesDisabling.QuickPutEntry_int("ER-004", 0);
  MessagesCount.QuickPutEntry_int("ER-004", 0);
  MessagesLabel.QuickPutEntry_string("ER-004","File couldn't be properly closed");
  MessagesText.QuickPutEntry_string("ER-004", "The nproc file previously executed didn't returned a propper closed status from the OS.");</v>
      </c>
      <c r="B22" s="17" t="str">
        <f t="shared" si="1"/>
        <v xml:space="preserve">\subsection{ER-004}
\begin{itemize}
  \item Interface Message:\\[1em]\textbf{File couldn't be properly closed}
  \item Development Assertion: NO
  \item Implementation Assertion: NO
  \item Runtime Assertion: NO
  \item Message Description:\\[1em]The nproc file previously executed didn't returned a propper closed status from the OS.
\end{itemize}
</v>
      </c>
      <c r="C22" s="1" t="s">
        <v>30</v>
      </c>
      <c r="D22" s="1" t="s">
        <v>3</v>
      </c>
      <c r="E22" s="1" t="s">
        <v>3</v>
      </c>
      <c r="F22" s="1" t="s">
        <v>3</v>
      </c>
      <c r="G22" s="3">
        <v>0</v>
      </c>
      <c r="H22" s="13" t="s">
        <v>146</v>
      </c>
      <c r="J22" s="13" t="s">
        <v>362</v>
      </c>
    </row>
    <row r="23" spans="1:10" ht="15" customHeight="1" x14ac:dyDescent="0.25">
      <c r="A23" s="17" t="str">
        <f t="shared" si="0"/>
        <v xml:space="preserve">  MessagesDevelopmentAssert.QuickPutEntry_bool("ER-005", false);
  MessagesImplementationAssert.QuickPutEntry_bool("ER-005", false);
  MessagesRuntimeAssert.QuickPutEntry_bool("ER-005", true);
  MessagesDisabling.QuickPutEntry_int("ER-005", 0);
  MessagesCount.QuickPutEntry_int("ER-005", 0);
  MessagesLabel.QuickPutEntry_string("ER-005","Trying to get a new line from a non ready file");
  MessagesText.QuickPutEntry_string("ER-005", "This happens when for some reason the interpreter is trying to get a new line from a file that hasn't been properly oppened");</v>
      </c>
      <c r="B23" s="17" t="str">
        <f t="shared" si="1"/>
        <v xml:space="preserve">\subsection{ER-005}
\begin{itemize}
  \item Interface Message:\\[1em]\textbf{Trying to get a new line from a non ready file}
  \item Development Assertion: NO
  \item Implementation Assertion: NO
  \item Runtime Assertion: YES
  \item Message Description:\\[1em]This happens when for some reason the interpreter is trying to get a new line from a file that hasn't been properly oppened
\end{itemize}
</v>
      </c>
      <c r="C23" s="1" t="s">
        <v>31</v>
      </c>
      <c r="D23" s="1" t="s">
        <v>3</v>
      </c>
      <c r="E23" s="1" t="s">
        <v>3</v>
      </c>
      <c r="F23" s="1" t="s">
        <v>2</v>
      </c>
      <c r="G23" s="3">
        <v>0</v>
      </c>
      <c r="H23" s="13" t="s">
        <v>32</v>
      </c>
      <c r="J23" s="13" t="s">
        <v>363</v>
      </c>
    </row>
    <row r="24" spans="1:10" ht="15" customHeight="1" x14ac:dyDescent="0.25">
      <c r="A24" s="17" t="str">
        <f t="shared" si="0"/>
        <v xml:space="preserve">  MessagesDevelopmentAssert.QuickPutEntry_bool("ER-006", true);
  MessagesImplementationAssert.QuickPutEntry_bool("ER-006", false);
  MessagesRuntimeAssert.QuickPutEntry_bool("ER-006", false);
  MessagesDisabling.QuickPutEntry_int("ER-006", 0);
  MessagesCount.QuickPutEntry_int("ER-006", 0);
  MessagesLabel.QuickPutEntry_string("ER-006","Trying to get a new line from a file already at the end");
  MessagesText.QuickPutEntry_string("ER-006", "This happens when for some reason the interpreter is trying to get a new line from a file already at the EOF");</v>
      </c>
      <c r="B24" s="17" t="str">
        <f t="shared" si="1"/>
        <v xml:space="preserve">\subsection{ER-006}
\begin{itemize}
  \item Interface Message:\\[1em]\textbf{Trying to get a new line from a file already at the end}
  \item Development Assertion: YES
  \item Implementation Assertion: NO
  \item Runtime Assertion: NO
  \item Message Description:\\[1em]This happens when for some reason the interpreter is trying to get a new line from a file already at the EOF
\end{itemize}
</v>
      </c>
      <c r="C24" s="1" t="s">
        <v>33</v>
      </c>
      <c r="D24" s="1" t="s">
        <v>2</v>
      </c>
      <c r="E24" s="1" t="s">
        <v>3</v>
      </c>
      <c r="F24" s="1" t="s">
        <v>3</v>
      </c>
      <c r="G24" s="3">
        <v>0</v>
      </c>
      <c r="H24" s="13" t="s">
        <v>34</v>
      </c>
      <c r="J24" s="13" t="s">
        <v>364</v>
      </c>
    </row>
    <row r="25" spans="1:10" ht="15" customHeight="1" x14ac:dyDescent="0.25">
      <c r="A25" s="17" t="str">
        <f t="shared" si="0"/>
        <v xml:space="preserve">  MessagesDevelopmentAssert.QuickPutEntry_bool("ER-007", false);
  MessagesImplementationAssert.QuickPutEntry_bool("ER-007", false);
  MessagesRuntimeAssert.QuickPutEntry_bool("ER-007", true);
  MessagesDisabling.QuickPutEntry_int("ER-007", 0);
  MessagesCount.QuickPutEntry_int("ER-007", 0);
  MessagesLabel.QuickPutEntry_string("ER-007","Fail on getting a new line from nproc file");
  MessagesText.QuickPutEntry_string("ER-007", "This happens when for some reason the file stream under interpretation isn't able to retreive a new line from the nproc file, even if it is not at the EOF.");</v>
      </c>
      <c r="B25" s="17" t="str">
        <f t="shared" si="1"/>
        <v xml:space="preserve">\subsection{ER-007}
\begin{itemize}
  \item Interface Message:\\[1em]\textbf{Fail on getting a new line from nproc file}
  \item Development Assertion: NO
  \item Implementation Assertion: NO
  \item Runtime Assertion: YES
  \item Message Description:\\[1em]This happens when for some reason the file stream under interpretation isn't able to retreive a new line from the nproc file, even if it is not at the EOF.
\end{itemize}
</v>
      </c>
      <c r="C25" s="1" t="s">
        <v>35</v>
      </c>
      <c r="D25" s="1" t="s">
        <v>3</v>
      </c>
      <c r="E25" s="1" t="s">
        <v>3</v>
      </c>
      <c r="F25" s="1" t="s">
        <v>2</v>
      </c>
      <c r="G25" s="3">
        <v>0</v>
      </c>
      <c r="H25" s="13" t="s">
        <v>36</v>
      </c>
      <c r="J25" s="13" t="s">
        <v>368</v>
      </c>
    </row>
    <row r="26" spans="1:10" ht="15" customHeight="1" x14ac:dyDescent="0.25">
      <c r="A26" s="17" t="str">
        <f t="shared" si="0"/>
        <v xml:space="preserve">  MessagesDevelopmentAssert.QuickPutEntry_bool("ER-008", false);
  MessagesImplementationAssert.QuickPutEntry_bool("ER-008", false);
  MessagesRuntimeAssert.QuickPutEntry_bool("ER-008", true);
  MessagesDisabling.QuickPutEntry_int("ER-008", 0);
  MessagesCount.QuickPutEntry_int("ER-008", 0);
  MessagesLabel.QuickPutEntry_string("ER-008","Implementation Assertion");
  MessagesText.QuickPutEntry_string("ER-008", "There is a problem or an incompete implementation of a required feature");</v>
      </c>
      <c r="B26" s="17" t="str">
        <f t="shared" si="1"/>
        <v xml:space="preserve">\subsection{ER-008}
\begin{itemize}
  \item Interface Message:\\[1em]\textbf{Implementation Assertion}
  \item Development Assertion: NO
  \item Implementation Assertion: NO
  \item Runtime Assertion: YES
  \item Message Description:\\[1em]There is a problem or an incompete implementation of a required feature
\end{itemize}
</v>
      </c>
      <c r="C26" s="1" t="s">
        <v>37</v>
      </c>
      <c r="D26" s="1" t="s">
        <v>3</v>
      </c>
      <c r="E26" s="1" t="s">
        <v>3</v>
      </c>
      <c r="F26" s="1" t="s">
        <v>2</v>
      </c>
      <c r="G26" s="3">
        <v>0</v>
      </c>
      <c r="H26" s="13" t="s">
        <v>365</v>
      </c>
      <c r="J26" s="13" t="s">
        <v>366</v>
      </c>
    </row>
    <row r="27" spans="1:10" ht="15" customHeight="1" x14ac:dyDescent="0.25">
      <c r="A27" s="17" t="str">
        <f t="shared" si="0"/>
        <v xml:space="preserve">  MessagesDevelopmentAssert.QuickPutEntry_bool("ER-009", false);
  MessagesImplementationAssert.QuickPutEntry_bool("ER-009", false);
  MessagesRuntimeAssert.QuickPutEntry_bool("ER-009", false);
  MessagesDisabling.QuickPutEntry_int("ER-009", 0);
  MessagesCount.QuickPutEntry_int("ER-009", 0);
  MessagesLabel.QuickPutEntry_string("ER-009","Trying to close an unopened file");
  MessagesText.QuickPutEntry_string("ER-009", "The interpreter is trying to close a file that hasn't been oppened");</v>
      </c>
      <c r="B27" s="17" t="str">
        <f t="shared" si="1"/>
        <v xml:space="preserve">\subsection{ER-009}
\begin{itemize}
  \item Interface Message:\\[1em]\textbf{Trying to close an unopened file}
  \item Development Assertion: NO
  \item Implementation Assertion: NO
  \item Runtime Assertion: NO
  \item Message Description:\\[1em]The interpreter is trying to close a file that hasn't been oppened
\end{itemize}
</v>
      </c>
      <c r="C27" s="1" t="s">
        <v>38</v>
      </c>
      <c r="D27" s="1" t="s">
        <v>3</v>
      </c>
      <c r="E27" s="1" t="s">
        <v>3</v>
      </c>
      <c r="F27" s="1" t="s">
        <v>3</v>
      </c>
      <c r="G27" s="3">
        <v>0</v>
      </c>
      <c r="H27" s="13" t="s">
        <v>39</v>
      </c>
      <c r="J27" s="13" t="s">
        <v>367</v>
      </c>
    </row>
    <row r="28" spans="1:10" ht="15" customHeight="1" x14ac:dyDescent="0.25">
      <c r="A28" s="17" t="str">
        <f t="shared" si="0"/>
        <v xml:space="preserve">  MessagesDevelopmentAssert.QuickPutEntry_bool("ER-010", false);
  MessagesImplementationAssert.QuickPutEntry_bool("ER-010", false);
  MessagesRuntimeAssert.QuickPutEntry_bool("ER-010", true);
  MessagesDisabling.QuickPutEntry_int("ER-010", 0);
  MessagesCount.QuickPutEntry_int("ER-010", 0);
  MessagesLabel.QuickPutEntry_string("ER-010","Required file is empty");
  MessagesText.QuickPutEntry_string("ER-010", "The interpreter requires a file for execution. In this case the file name is empty.");</v>
      </c>
      <c r="B28" s="17" t="str">
        <f t="shared" si="1"/>
        <v xml:space="preserve">\subsection{ER-010}
\begin{itemize}
  \item Interface Message:\\[1em]\textbf{Required file is empty}
  \item Development Assertion: NO
  \item Implementation Assertion: NO
  \item Runtime Assertion: YES
  \item Message Description:\\[1em]The interpreter requires a file for execution. In this case the file name is empty.
\end{itemize}
</v>
      </c>
      <c r="C28" s="1" t="s">
        <v>40</v>
      </c>
      <c r="D28" s="1" t="s">
        <v>3</v>
      </c>
      <c r="E28" s="1" t="s">
        <v>3</v>
      </c>
      <c r="F28" s="1" t="s">
        <v>2</v>
      </c>
      <c r="G28" s="3">
        <v>0</v>
      </c>
      <c r="H28" s="13" t="s">
        <v>147</v>
      </c>
      <c r="J28" s="13" t="s">
        <v>369</v>
      </c>
    </row>
    <row r="29" spans="1:10" s="4" customFormat="1" ht="15" customHeight="1" x14ac:dyDescent="0.25">
      <c r="A29" s="16" t="str">
        <f t="shared" si="0"/>
        <v xml:space="preserve">  // Implementation Issues</v>
      </c>
      <c r="B29" s="16" t="str">
        <f t="shared" si="1"/>
        <v xml:space="preserve">\section{Implementation Issues}
</v>
      </c>
      <c r="C29" s="5" t="s">
        <v>0</v>
      </c>
      <c r="E29" s="5"/>
      <c r="F29" s="5"/>
      <c r="G29" s="8"/>
      <c r="H29" s="6" t="s">
        <v>41</v>
      </c>
      <c r="I29" s="5"/>
      <c r="J29" s="6"/>
    </row>
    <row r="30" spans="1:10" ht="15" customHeight="1" x14ac:dyDescent="0.25">
      <c r="A30" s="17" t="str">
        <f t="shared" si="0"/>
        <v xml:space="preserve">  MessagesDevelopmentAssert.QuickPutEntry_bool("DV-001", false);
  MessagesImplementationAssert.QuickPutEntry_bool("DV-001", true);
  MessagesRuntimeAssert.QuickPutEntry_bool("DV-001", false);
  MessagesDisabling.QuickPutEntry_int("DV-001", 0);
  MessagesCount.QuickPutEntry_int("DV-001", 0);
  MessagesLabel.QuickPutEntry_string("DV-001","Missing implementation");</v>
      </c>
      <c r="B30" s="17" t="str">
        <f t="shared" si="1"/>
        <v xml:space="preserve">\subsection{DV-001}
\begin{itemize}
  \item Interface Message:\\[1em]\textbf{Missing implementation}
  \item Development Assertion: NO
  \item Implementation Assertion: YES
  \item Runtime Assertion: NO
\end{itemize}
</v>
      </c>
      <c r="C30" s="1" t="s">
        <v>42</v>
      </c>
      <c r="D30" s="1" t="s">
        <v>3</v>
      </c>
      <c r="E30" s="1" t="s">
        <v>2</v>
      </c>
      <c r="F30" s="1" t="s">
        <v>3</v>
      </c>
      <c r="G30" s="3">
        <v>0</v>
      </c>
      <c r="H30" s="13" t="s">
        <v>43</v>
      </c>
    </row>
    <row r="31" spans="1:10" ht="15" customHeight="1" x14ac:dyDescent="0.25">
      <c r="A31" s="17" t="str">
        <f t="shared" si="0"/>
        <v xml:space="preserve">  MessagesDevelopmentAssert.QuickPutEntry_bool("DV-002", false);
  MessagesImplementationAssert.QuickPutEntry_bool("DV-002", true);
  MessagesRuntimeAssert.QuickPutEntry_bool("DV-002", false);
  MessagesDisabling.QuickPutEntry_int("DV-002", 0);
  MessagesCount.QuickPutEntry_int("DV-002", 0);
  MessagesLabel.QuickPutEntry_string("DV-002","Trying to declare a previously declared setting");</v>
      </c>
      <c r="B31" s="17" t="str">
        <f t="shared" si="1"/>
        <v xml:space="preserve">\subsection{DV-002}
\begin{itemize}
  \item Interface Message:\\[1em]\textbf{Trying to declare a previously declared setting}
  \item Development Assertion: NO
  \item Implementation Assertion: YES
  \item Runtime Assertion: NO
\end{itemize}
</v>
      </c>
      <c r="C31" s="1" t="s">
        <v>44</v>
      </c>
      <c r="D31" s="1" t="s">
        <v>3</v>
      </c>
      <c r="E31" s="1" t="s">
        <v>2</v>
      </c>
      <c r="F31" s="1" t="s">
        <v>3</v>
      </c>
      <c r="G31" s="3">
        <v>0</v>
      </c>
      <c r="H31" s="13" t="s">
        <v>45</v>
      </c>
    </row>
    <row r="32" spans="1:10" ht="15" customHeight="1" x14ac:dyDescent="0.25">
      <c r="A32" s="17" t="str">
        <f t="shared" si="0"/>
        <v xml:space="preserve">  MessagesDevelopmentAssert.QuickPutEntry_bool("DV-003", false);
  MessagesImplementationAssert.QuickPutEntry_bool("DV-003", true);
  MessagesRuntimeAssert.QuickPutEntry_bool("DV-003", false);
  MessagesDisabling.QuickPutEntry_int("DV-003", 0);
  MessagesCount.QuickPutEntry_int("DV-003", 0);
  MessagesLabel.QuickPutEntry_string("DV-003","Trying to load a setting of an unsupported type");</v>
      </c>
      <c r="B32" s="17" t="str">
        <f t="shared" si="1"/>
        <v xml:space="preserve">\subsection{DV-003}
\begin{itemize}
  \item Interface Message:\\[1em]\textbf{Trying to load a setting of an unsupported type}
  \item Development Assertion: NO
  \item Implementation Assertion: YES
  \item Runtime Assertion: NO
\end{itemize}
</v>
      </c>
      <c r="C32" s="1" t="s">
        <v>46</v>
      </c>
      <c r="D32" s="1" t="s">
        <v>3</v>
      </c>
      <c r="E32" s="1" t="s">
        <v>2</v>
      </c>
      <c r="F32" s="1" t="s">
        <v>3</v>
      </c>
      <c r="G32" s="3">
        <v>0</v>
      </c>
      <c r="H32" s="13" t="s">
        <v>47</v>
      </c>
    </row>
    <row r="33" spans="1:10" ht="15" customHeight="1" x14ac:dyDescent="0.25">
      <c r="A33" s="17" t="str">
        <f t="shared" si="0"/>
        <v xml:space="preserve">  MessagesDevelopmentAssert.QuickPutEntry_bool("DV-005", false);
  MessagesImplementationAssert.QuickPutEntry_bool("DV-005", true);
  MessagesRuntimeAssert.QuickPutEntry_bool("DV-005", false);
  MessagesDisabling.QuickPutEntry_int("DV-005", 0);
  MessagesCount.QuickPutEntry_int("DV-005", 0);
  MessagesLabel.QuickPutEntry_string("DV-005","Trying to use an unsupported setting");</v>
      </c>
      <c r="B33" s="17" t="str">
        <f t="shared" si="1"/>
        <v xml:space="preserve">\subsection{DV-005}
\begin{itemize}
  \item Interface Message:\\[1em]\textbf{Trying to use an unsupported setting}
  \item Development Assertion: NO
  \item Implementation Assertion: YES
  \item Runtime Assertion: NO
\end{itemize}
</v>
      </c>
      <c r="C33" s="1" t="s">
        <v>48</v>
      </c>
      <c r="D33" s="1" t="s">
        <v>3</v>
      </c>
      <c r="E33" s="1" t="s">
        <v>2</v>
      </c>
      <c r="F33" s="1" t="s">
        <v>3</v>
      </c>
      <c r="G33" s="3">
        <v>0</v>
      </c>
      <c r="H33" s="13" t="s">
        <v>241</v>
      </c>
    </row>
    <row r="34" spans="1:10" ht="15" customHeight="1" x14ac:dyDescent="0.25">
      <c r="A34" s="17" t="str">
        <f t="shared" si="0"/>
        <v xml:space="preserve">  MessagesDevelopmentAssert.QuickPutEntry_bool("DV-006", false);
  MessagesImplementationAssert.QuickPutEntry_bool("DV-006", true);
  MessagesRuntimeAssert.QuickPutEntry_bool("DV-006", false);
  MessagesDisabling.QuickPutEntry_int("DV-006", 0);
  MessagesCount.QuickPutEntry_int("DV-006", 0);
  MessagesLabel.QuickPutEntry_string("DV-006","Trying to read an incorrect data type for the setting");</v>
      </c>
      <c r="B34" s="17" t="str">
        <f t="shared" si="1"/>
        <v xml:space="preserve">\subsection{DV-006}
\begin{itemize}
  \item Interface Message:\\[1em]\textbf{Trying to read an incorrect data type for the setting}
  \item Development Assertion: NO
  \item Implementation Assertion: YES
  \item Runtime Assertion: NO
\end{itemize}
</v>
      </c>
      <c r="C34" s="1" t="s">
        <v>49</v>
      </c>
      <c r="D34" s="1" t="s">
        <v>3</v>
      </c>
      <c r="E34" s="1" t="s">
        <v>2</v>
      </c>
      <c r="F34" s="1" t="s">
        <v>3</v>
      </c>
      <c r="G34" s="3">
        <v>0</v>
      </c>
      <c r="H34" s="13" t="s">
        <v>50</v>
      </c>
    </row>
    <row r="35" spans="1:10" ht="15" customHeight="1" x14ac:dyDescent="0.25">
      <c r="A35" s="17" t="str">
        <f t="shared" si="0"/>
        <v xml:space="preserve">  MessagesDevelopmentAssert.QuickPutEntry_bool("DV-007", false);
  MessagesImplementationAssert.QuickPutEntry_bool("DV-007", true);
  MessagesRuntimeAssert.QuickPutEntry_bool("DV-007", false);
  MessagesDisabling.QuickPutEntry_int("DV-007", 0);
  MessagesCount.QuickPutEntry_int("DV-007", 0);
  MessagesLabel.QuickPutEntry_string("DV-007","The setting count is different than the declared setting count on the HashEntry");</v>
      </c>
      <c r="B35" s="17" t="str">
        <f t="shared" si="1"/>
        <v xml:space="preserve">\subsection{DV-007}
\begin{itemize}
  \item Interface Message:\\[1em]\textbf{The setting count is different than the declared setting count on the HashEntry}
  \item Development Assertion: NO
  \item Implementation Assertion: YES
  \item Runtime Assertion: NO
\end{itemize}
</v>
      </c>
      <c r="C35" s="1" t="s">
        <v>51</v>
      </c>
      <c r="D35" s="1" t="s">
        <v>3</v>
      </c>
      <c r="E35" s="1" t="s">
        <v>2</v>
      </c>
      <c r="F35" s="1" t="s">
        <v>3</v>
      </c>
      <c r="G35" s="3">
        <v>0</v>
      </c>
      <c r="H35" s="13" t="s">
        <v>52</v>
      </c>
    </row>
    <row r="36" spans="1:10" ht="15" customHeight="1" x14ac:dyDescent="0.25">
      <c r="A36" s="17" t="str">
        <f t="shared" ref="A36" si="6">IF(C36&lt;&gt;"",IF(C36="#","  // "&amp;H36,
"  MessagesDevelopmentAssert.QuickPutEntry_bool("""&amp;C36&amp;""", "&amp;IF(D36="F","false",IF(D36="T","true","ERROR"))&amp;");"&amp;CHAR(10)&amp;
"  MessagesImplementationAssert.QuickPutEntry_bool("""&amp;C36&amp;""", "&amp;IF(E36="F","false",IF(E36="T","true","ERROR"))&amp;");"&amp;CHAR(10)&amp;
"  MessagesRuntimeAssert.QuickPutEntry_bool("""&amp;C36&amp;""", "&amp;IF(F36="F","false",IF(F36="T","true","ERROR"))&amp;");"&amp;CHAR(10)&amp;
"  MessagesDisabling.QuickPutEntry_int("""&amp;C36&amp;""", "&amp;G36&amp;");"&amp; CHAR(10) &amp;
"  MessagesCount.QuickPutEntry_int("""&amp;C36&amp;""", 0);"&amp;CHAR(10)&amp;
"  MessagesLabel.QuickPutEntry_string("""&amp;C36&amp;""","""&amp;H36&amp;""");"&amp;
IF(J36&lt;&gt;"",CHAR(10) &amp; "  MessagesText.QuickPutEntry_string("""&amp;C36&amp;""", """&amp;SUBSTITUTE(J36,"""","\""")&amp;""");","")
),"")</f>
        <v xml:space="preserve">  MessagesDevelopmentAssert.QuickPutEntry_bool("DV-008", false);
  MessagesImplementationAssert.QuickPutEntry_bool("DV-008", true);
  MessagesRuntimeAssert.QuickPutEntry_bool("DV-008", false);
  MessagesDisabling.QuickPutEntry_int("DV-008", 0);
  MessagesCount.QuickPutEntry_int("DV-008", 0);
  MessagesLabel.QuickPutEntry_string("DV-008","The Log manager is being copied and this should NEVER happen");</v>
      </c>
      <c r="B36" s="17" t="str">
        <f t="shared" ref="B36" si="7">IF(C36&lt;&gt;"",IF(C36="#","\section{"&amp;H36&amp;"}" &amp; CHAR(10),
"\subsection{" &amp; C36 &amp; "}" &amp; CHAR(10) &amp; "\begin{itemize}" &amp; CHAR(10) &amp;
"  \item Interface Message:\\[1em]\textbf{" &amp; SUBSTITUTE(H36,"_","\_") &amp; "}" &amp; CHAR(10) &amp;
"  \item Development Assertion: " &amp; IF(D36="F","NO",IF(D36="T","YES","ERROR")) &amp; CHAR(10) &amp;
"  \item Implementation Assertion: " &amp; IF(E36="F","NO",IF(E36="T","YES","ERROR")) &amp; CHAR(10) &amp;
"  \item Runtime Assertion: " &amp; IF(F36="F","NO",IF(F36="T","YES","ERROR")) &amp; CHAR(10) &amp;
IF(J36&lt;&gt;"","  \item Message Description:\\[1em]"&amp; SUBSTITUTE(J36,"_","\_")  &amp;CHAR(10),"") &amp;
"\end{itemize}"&amp;CHAR(10)),"")</f>
        <v xml:space="preserve">\subsection{DV-008}
\begin{itemize}
  \item Interface Message:\\[1em]\textbf{The Log manager is being copied and this should NEVER happen}
  \item Development Assertion: NO
  \item Implementation Assertion: YES
  \item Runtime Assertion: NO
\end{itemize}
</v>
      </c>
      <c r="C36" s="1" t="s">
        <v>428</v>
      </c>
      <c r="D36" s="1" t="s">
        <v>3</v>
      </c>
      <c r="E36" s="1" t="s">
        <v>2</v>
      </c>
      <c r="F36" s="1" t="s">
        <v>3</v>
      </c>
      <c r="G36" s="3">
        <v>0</v>
      </c>
      <c r="H36" s="13" t="s">
        <v>429</v>
      </c>
    </row>
    <row r="37" spans="1:10" ht="15" customHeight="1" x14ac:dyDescent="0.25">
      <c r="A37" s="17" t="str">
        <f t="shared" si="0"/>
        <v xml:space="preserve">  MessagesDevelopmentAssert.QuickPutEntry_bool("DV-012", false);
  MessagesImplementationAssert.QuickPutEntry_bool("DV-012", true);
  MessagesRuntimeAssert.QuickPutEntry_bool("DV-012", false);
  MessagesDisabling.QuickPutEntry_int("DV-012", 0);
  MessagesCount.QuickPutEntry_int("DV-012", 0);
  MessagesLabel.QuickPutEntry_string("DV-012","Trying a quick access of incorrect type");</v>
      </c>
      <c r="B37" s="17" t="str">
        <f t="shared" si="1"/>
        <v xml:space="preserve">\subsection{DV-012}
\begin{itemize}
  \item Interface Message:\\[1em]\textbf{Trying a quick access of incorrect type}
  \item Development Assertion: NO
  \item Implementation Assertion: YES
  \item Runtime Assertion: NO
\end{itemize}
</v>
      </c>
      <c r="C37" s="1" t="s">
        <v>53</v>
      </c>
      <c r="D37" s="1" t="s">
        <v>3</v>
      </c>
      <c r="E37" s="1" t="s">
        <v>2</v>
      </c>
      <c r="F37" s="1" t="s">
        <v>3</v>
      </c>
      <c r="G37" s="3">
        <v>0</v>
      </c>
      <c r="H37" s="13" t="s">
        <v>54</v>
      </c>
    </row>
    <row r="38" spans="1:10" ht="15" customHeight="1" x14ac:dyDescent="0.25">
      <c r="A38" s="17" t="str">
        <f t="shared" si="0"/>
        <v xml:space="preserve">  MessagesDevelopmentAssert.QuickPutEntry_bool("DV-013", false);
  MessagesImplementationAssert.QuickPutEntry_bool("DV-013", true);
  MessagesRuntimeAssert.QuickPutEntry_bool("DV-013", false);
  MessagesDisabling.QuickPutEntry_int("DV-013", 0);
  MessagesCount.QuickPutEntry_int("DV-013", 0);
  MessagesLabel.QuickPutEntry_string("DV-013","Hash Table Full");</v>
      </c>
      <c r="B38" s="17" t="str">
        <f t="shared" si="1"/>
        <v xml:space="preserve">\subsection{DV-013}
\begin{itemize}
  \item Interface Message:\\[1em]\textbf{Hash Table Full}
  \item Development Assertion: NO
  \item Implementation Assertion: YES
  \item Runtime Assertion: NO
\end{itemize}
</v>
      </c>
      <c r="C38" s="1" t="s">
        <v>55</v>
      </c>
      <c r="D38" s="1" t="s">
        <v>3</v>
      </c>
      <c r="E38" s="1" t="s">
        <v>2</v>
      </c>
      <c r="F38" s="1" t="s">
        <v>3</v>
      </c>
      <c r="G38" s="3">
        <v>0</v>
      </c>
      <c r="H38" s="13" t="s">
        <v>56</v>
      </c>
    </row>
    <row r="39" spans="1:10" ht="15" customHeight="1" x14ac:dyDescent="0.25">
      <c r="A39" s="17" t="str">
        <f t="shared" si="0"/>
        <v xml:space="preserve">  MessagesDevelopmentAssert.QuickPutEntry_bool("DV-015", false);
  MessagesImplementationAssert.QuickPutEntry_bool("DV-015", true);
  MessagesRuntimeAssert.QuickPutEntry_bool("DV-015", false);
  MessagesDisabling.QuickPutEntry_int("DV-015", 0);
  MessagesCount.QuickPutEntry_int("DV-015", 0);
  MessagesLabel.QuickPutEntry_string("DV-015","Setting declared but hasn't been initialized");</v>
      </c>
      <c r="B39" s="17" t="str">
        <f t="shared" si="1"/>
        <v xml:space="preserve">\subsection{DV-015}
\begin{itemize}
  \item Interface Message:\\[1em]\textbf{Setting declared but hasn't been initialized}
  \item Development Assertion: NO
  \item Implementation Assertion: YES
  \item Runtime Assertion: NO
\end{itemize}
</v>
      </c>
      <c r="C39" s="1" t="s">
        <v>57</v>
      </c>
      <c r="D39" s="1" t="s">
        <v>3</v>
      </c>
      <c r="E39" s="1" t="s">
        <v>2</v>
      </c>
      <c r="F39" s="1" t="s">
        <v>3</v>
      </c>
      <c r="G39" s="3">
        <v>0</v>
      </c>
      <c r="H39" s="13" t="s">
        <v>58</v>
      </c>
    </row>
    <row r="40" spans="1:10" ht="15" customHeight="1" x14ac:dyDescent="0.25">
      <c r="A40" s="17" t="str">
        <f t="shared" si="0"/>
        <v xml:space="preserve">  MessagesDevelopmentAssert.QuickPutEntry_bool("DV-017", false);
  MessagesImplementationAssert.QuickPutEntry_bool("DV-017", true);
  MessagesRuntimeAssert.QuickPutEntry_bool("DV-017", false);
  MessagesDisabling.QuickPutEntry_int("DV-017", 0);
  MessagesCount.QuickPutEntry_int("DV-017", 0);
  MessagesLabel.QuickPutEntry_string("DV-017","Discrepancy on neuron type on assignment");</v>
      </c>
      <c r="B40" s="17" t="str">
        <f t="shared" si="1"/>
        <v xml:space="preserve">\subsection{DV-017}
\begin{itemize}
  \item Interface Message:\\[1em]\textbf{Discrepancy on neuron type on assignment}
  \item Development Assertion: NO
  \item Implementation Assertion: YES
  \item Runtime Assertion: NO
\end{itemize}
</v>
      </c>
      <c r="C40" s="1" t="s">
        <v>59</v>
      </c>
      <c r="D40" s="1" t="s">
        <v>3</v>
      </c>
      <c r="E40" s="1" t="s">
        <v>2</v>
      </c>
      <c r="F40" s="1" t="s">
        <v>3</v>
      </c>
      <c r="G40" s="3">
        <v>0</v>
      </c>
      <c r="H40" s="13" t="s">
        <v>60</v>
      </c>
    </row>
    <row r="41" spans="1:10" ht="15" customHeight="1" x14ac:dyDescent="0.25">
      <c r="A41" s="17" t="str">
        <f t="shared" si="0"/>
        <v xml:space="preserve">  MessagesDevelopmentAssert.QuickPutEntry_bool("DV-018", false);
  MessagesImplementationAssert.QuickPutEntry_bool("DV-018", true);
  MessagesRuntimeAssert.QuickPutEntry_bool("DV-018", false);
  MessagesDisabling.QuickPutEntry_int("DV-018", 0);
  MessagesCount.QuickPutEntry_int("DV-018", 0);
  MessagesLabel.QuickPutEntry_string("DV-018","Trying to quick retrieve un-existent value");</v>
      </c>
      <c r="B41" s="17" t="str">
        <f t="shared" si="1"/>
        <v xml:space="preserve">\subsection{DV-018}
\begin{itemize}
  \item Interface Message:\\[1em]\textbf{Trying to quick retrieve un-existent value}
  \item Development Assertion: NO
  \item Implementation Assertion: YES
  \item Runtime Assertion: NO
\end{itemize}
</v>
      </c>
      <c r="C41" s="1" t="s">
        <v>61</v>
      </c>
      <c r="D41" s="1" t="s">
        <v>3</v>
      </c>
      <c r="E41" s="1" t="s">
        <v>2</v>
      </c>
      <c r="F41" s="1" t="s">
        <v>3</v>
      </c>
      <c r="G41" s="3">
        <v>0</v>
      </c>
      <c r="H41" s="13" t="s">
        <v>62</v>
      </c>
    </row>
    <row r="42" spans="1:10" ht="15" customHeight="1" x14ac:dyDescent="0.25">
      <c r="A42" s="17" t="str">
        <f t="shared" si="0"/>
        <v xml:space="preserve">  MessagesDevelopmentAssert.QuickPutEntry_bool("SD-030", false);
  MessagesImplementationAssert.QuickPutEntry_bool("SD-030", true);
  MessagesRuntimeAssert.QuickPutEntry_bool("SD-030", false);
  MessagesDisabling.QuickPutEntry_int("SD-030", 0);
  MessagesCount.QuickPutEntry_int("SD-030", 0);
  MessagesLabel.QuickPutEntry_string("SD-030","Internal simulation pointer corruption");</v>
      </c>
      <c r="B42" s="17" t="str">
        <f t="shared" si="1"/>
        <v xml:space="preserve">\subsection{SD-030}
\begin{itemize}
  \item Interface Message:\\[1em]\textbf{Internal simulation pointer corruption}
  \item Development Assertion: NO
  \item Implementation Assertion: YES
  \item Runtime Assertion: NO
\end{itemize}
</v>
      </c>
      <c r="C42" s="1" t="s">
        <v>114</v>
      </c>
      <c r="D42" s="1" t="s">
        <v>3</v>
      </c>
      <c r="E42" s="1" t="s">
        <v>2</v>
      </c>
      <c r="F42" s="1" t="s">
        <v>3</v>
      </c>
      <c r="G42" s="3">
        <v>0</v>
      </c>
      <c r="H42" s="13" t="s">
        <v>115</v>
      </c>
    </row>
    <row r="43" spans="1:10" ht="15" customHeight="1" x14ac:dyDescent="0.25">
      <c r="A43" s="17" t="str">
        <f t="shared" si="0"/>
        <v xml:space="preserve">  MessagesDevelopmentAssert.QuickPutEntry_bool("SD-031", false);
  MessagesImplementationAssert.QuickPutEntry_bool("SD-031", true);
  MessagesRuntimeAssert.QuickPutEntry_bool("SD-031", false);
  MessagesDisabling.QuickPutEntry_int("SD-031", 0);
  MessagesCount.QuickPutEntry_int("SD-031", 0);
  MessagesLabel.QuickPutEntry_string("SD-031","Trying to compare 2 identical MT cells");</v>
      </c>
      <c r="B43" s="17" t="str">
        <f t="shared" si="1"/>
        <v xml:space="preserve">\subsection{SD-031}
\begin{itemize}
  \item Interface Message:\\[1em]\textbf{Trying to compare 2 identical MT cells}
  \item Development Assertion: NO
  \item Implementation Assertion: YES
  \item Runtime Assertion: NO
\end{itemize}
</v>
      </c>
      <c r="C43" s="1" t="s">
        <v>116</v>
      </c>
      <c r="D43" s="1" t="s">
        <v>3</v>
      </c>
      <c r="E43" s="1" t="s">
        <v>2</v>
      </c>
      <c r="F43" s="1" t="s">
        <v>3</v>
      </c>
      <c r="G43" s="3">
        <v>0</v>
      </c>
      <c r="H43" s="13" t="s">
        <v>117</v>
      </c>
    </row>
    <row r="44" spans="1:10" ht="15" customHeight="1" x14ac:dyDescent="0.25">
      <c r="A44" s="17" t="str">
        <f t="shared" ref="A44" si="8">IF(C44&lt;&gt;"",IF(C44="#","  // "&amp;H44,
"  MessagesDevelopmentAssert.QuickPutEntry_bool("""&amp;C44&amp;""", "&amp;IF(D44="F","false",IF(D44="T","true","ERROR"))&amp;");"&amp;CHAR(10)&amp;
"  MessagesImplementationAssert.QuickPutEntry_bool("""&amp;C44&amp;""", "&amp;IF(E44="F","false",IF(E44="T","true","ERROR"))&amp;");"&amp;CHAR(10)&amp;
"  MessagesRuntimeAssert.QuickPutEntry_bool("""&amp;C44&amp;""", "&amp;IF(F44="F","false",IF(F44="T","true","ERROR"))&amp;");"&amp;CHAR(10)&amp;
"  MessagesDisabling.QuickPutEntry_int("""&amp;C44&amp;""", "&amp;G44&amp;");"&amp; CHAR(10) &amp;
"  MessagesCount.QuickPutEntry_int("""&amp;C44&amp;""", 0);"&amp;CHAR(10)&amp;
"  MessagesLabel.QuickPutEntry_string("""&amp;C44&amp;""","""&amp;H44&amp;""");"&amp;
IF(J44&lt;&gt;"",CHAR(10) &amp; "  MessagesText.QuickPutEntry_string("""&amp;C44&amp;""", """&amp;SUBSTITUTE(J44,"""","\""")&amp;""");","")
),"")</f>
        <v xml:space="preserve">  MessagesDevelopmentAssert.QuickPutEntry_bool("SD-032", false);
  MessagesImplementationAssert.QuickPutEntry_bool("SD-032", true);
  MessagesRuntimeAssert.QuickPutEntry_bool("SD-032", false);
  MessagesDisabling.QuickPutEntry_int("SD-032", 0);
  MessagesCount.QuickPutEntry_int("SD-032", 0);
  MessagesLabel.QuickPutEntry_string("SD-032","Empty pointer to function entry");</v>
      </c>
      <c r="B44" s="17" t="str">
        <f t="shared" ref="B44" si="9">IF(C44&lt;&gt;"",IF(C44="#","\section{"&amp;H44&amp;"}" &amp; CHAR(10),
"\subsection{" &amp; C44 &amp; "}" &amp; CHAR(10) &amp; "\begin{itemize}" &amp; CHAR(10) &amp;
"  \item Interface Message:\\[1em]\textbf{" &amp; SUBSTITUTE(H44,"_","\_") &amp; "}" &amp; CHAR(10) &amp;
"  \item Development Assertion: " &amp; IF(D44="F","NO",IF(D44="T","YES","ERROR")) &amp; CHAR(10) &amp;
"  \item Implementation Assertion: " &amp; IF(E44="F","NO",IF(E44="T","YES","ERROR")) &amp; CHAR(10) &amp;
"  \item Runtime Assertion: " &amp; IF(F44="F","NO",IF(F44="T","YES","ERROR")) &amp; CHAR(10) &amp;
IF(J44&lt;&gt;"","  \item Message Description:\\[1em]"&amp; SUBSTITUTE(J44,"_","\_")  &amp;CHAR(10),"") &amp;
"\end{itemize}"&amp;CHAR(10)),"")</f>
        <v xml:space="preserve">\subsection{SD-032}
\begin{itemize}
  \item Interface Message:\\[1em]\textbf{Empty pointer to function entry}
  \item Development Assertion: NO
  \item Implementation Assertion: YES
  \item Runtime Assertion: NO
\end{itemize}
</v>
      </c>
      <c r="C44" s="1" t="s">
        <v>250</v>
      </c>
      <c r="D44" s="1" t="s">
        <v>3</v>
      </c>
      <c r="E44" s="1" t="s">
        <v>2</v>
      </c>
      <c r="F44" s="1" t="s">
        <v>3</v>
      </c>
      <c r="G44" s="3">
        <v>0</v>
      </c>
      <c r="H44" s="13" t="s">
        <v>251</v>
      </c>
    </row>
    <row r="45" spans="1:10" s="4" customFormat="1" ht="15" customHeight="1" x14ac:dyDescent="0.25">
      <c r="A45" s="16" t="str">
        <f t="shared" si="0"/>
        <v xml:space="preserve">  // Reporting Issues</v>
      </c>
      <c r="B45" s="16" t="str">
        <f t="shared" si="1"/>
        <v xml:space="preserve">\section{Reporting Issues}
</v>
      </c>
      <c r="C45" s="5" t="s">
        <v>0</v>
      </c>
      <c r="E45" s="5"/>
      <c r="F45" s="5"/>
      <c r="G45" s="8"/>
      <c r="H45" s="6" t="s">
        <v>63</v>
      </c>
      <c r="I45" s="5"/>
      <c r="J45" s="6"/>
    </row>
    <row r="46" spans="1:10" ht="15" customHeight="1" x14ac:dyDescent="0.25">
      <c r="A46" s="17" t="str">
        <f t="shared" si="0"/>
        <v xml:space="preserve">  MessagesDevelopmentAssert.QuickPutEntry_bool("RP-002", false);
  MessagesImplementationAssert.QuickPutEntry_bool("RP-002", false);
  MessagesRuntimeAssert.QuickPutEntry_bool("RP-002", true);
  MessagesDisabling.QuickPutEntry_int("RP-002", 0);
  MessagesCount.QuickPutEntry_int("RP-002", 0);
  MessagesLabel.QuickPutEntry_string("RP-002","Trying to close a non opened stream");</v>
      </c>
      <c r="B46" s="17" t="str">
        <f t="shared" si="1"/>
        <v xml:space="preserve">\subsection{RP-002}
\begin{itemize}
  \item Interface Message:\\[1em]\textbf{Trying to close a non opened stream}
  \item Development Assertion: NO
  \item Implementation Assertion: NO
  \item Runtime Assertion: YES
\end{itemize}
</v>
      </c>
      <c r="C46" s="1" t="s">
        <v>66</v>
      </c>
      <c r="D46" s="1" t="s">
        <v>3</v>
      </c>
      <c r="E46" s="1" t="s">
        <v>3</v>
      </c>
      <c r="F46" s="1" t="s">
        <v>2</v>
      </c>
      <c r="G46" s="3">
        <v>0</v>
      </c>
      <c r="H46" s="13" t="s">
        <v>67</v>
      </c>
      <c r="I46" s="3"/>
    </row>
    <row r="47" spans="1:10" ht="15" customHeight="1" x14ac:dyDescent="0.25">
      <c r="A47" s="17" t="str">
        <f t="shared" ref="A47" si="10">IF(C47&lt;&gt;"",IF(C47="#","  // "&amp;H47,
"  MessagesDevelopmentAssert.QuickPutEntry_bool("""&amp;C47&amp;""", "&amp;IF(D47="F","false",IF(D47="T","true","ERROR"))&amp;");"&amp;CHAR(10)&amp;
"  MessagesImplementationAssert.QuickPutEntry_bool("""&amp;C47&amp;""", "&amp;IF(E47="F","false",IF(E47="T","true","ERROR"))&amp;");"&amp;CHAR(10)&amp;
"  MessagesRuntimeAssert.QuickPutEntry_bool("""&amp;C47&amp;""", "&amp;IF(F47="F","false",IF(F47="T","true","ERROR"))&amp;");"&amp;CHAR(10)&amp;
"  MessagesDisabling.QuickPutEntry_int("""&amp;C47&amp;""", "&amp;G47&amp;");"&amp; CHAR(10) &amp;
"  MessagesCount.QuickPutEntry_int("""&amp;C47&amp;""", 0);"&amp;CHAR(10)&amp;
"  MessagesLabel.QuickPutEntry_string("""&amp;C47&amp;""","""&amp;H47&amp;""");"&amp;
IF(J47&lt;&gt;"",CHAR(10) &amp; "  MessagesText.QuickPutEntry_string("""&amp;C47&amp;""", """&amp;SUBSTITUTE(J47,"""","\""")&amp;""");","")
),"")</f>
        <v xml:space="preserve">  MessagesDevelopmentAssert.QuickPutEntry_bool("RP-003", false);
  MessagesImplementationAssert.QuickPutEntry_bool("RP-003", false);
  MessagesRuntimeAssert.QuickPutEntry_bool("RP-003", true);
  MessagesDisabling.QuickPutEntry_int("RP-003", 0);
  MessagesCount.QuickPutEntry_int("RP-003", 0);
  MessagesLabel.QuickPutEntry_string("RP-003","Stream didn't oppened correctly");</v>
      </c>
      <c r="B47" s="17" t="str">
        <f t="shared" ref="B47" si="11">IF(C47&lt;&gt;"",IF(C47="#","\section{"&amp;H47&amp;"}" &amp; CHAR(10),
"\subsection{" &amp; C47 &amp; "}" &amp; CHAR(10) &amp; "\begin{itemize}" &amp; CHAR(10) &amp;
"  \item Interface Message:\\[1em]\textbf{" &amp; SUBSTITUTE(H47,"_","\_") &amp; "}" &amp; CHAR(10) &amp;
"  \item Development Assertion: " &amp; IF(D47="F","NO",IF(D47="T","YES","ERROR")) &amp; CHAR(10) &amp;
"  \item Implementation Assertion: " &amp; IF(E47="F","NO",IF(E47="T","YES","ERROR")) &amp; CHAR(10) &amp;
"  \item Runtime Assertion: " &amp; IF(F47="F","NO",IF(F47="T","YES","ERROR")) &amp; CHAR(10) &amp;
IF(J47&lt;&gt;"","  \item Message Description:\\[1em]"&amp; SUBSTITUTE(J47,"_","\_")  &amp;CHAR(10),"") &amp;
"\end{itemize}"&amp;CHAR(10)),"")</f>
        <v xml:space="preserve">\subsection{RP-003}
\begin{itemize}
  \item Interface Message:\\[1em]\textbf{Stream didn't oppened correctly}
  \item Development Assertion: NO
  \item Implementation Assertion: NO
  \item Runtime Assertion: YES
\end{itemize}
</v>
      </c>
      <c r="C47" s="1" t="s">
        <v>280</v>
      </c>
      <c r="D47" s="1" t="s">
        <v>3</v>
      </c>
      <c r="E47" s="1" t="s">
        <v>3</v>
      </c>
      <c r="F47" s="1" t="s">
        <v>2</v>
      </c>
      <c r="G47" s="3">
        <v>0</v>
      </c>
      <c r="H47" s="13" t="s">
        <v>281</v>
      </c>
      <c r="I47" s="3"/>
    </row>
    <row r="48" spans="1:10" s="4" customFormat="1" ht="15" customHeight="1" x14ac:dyDescent="0.25">
      <c r="A48" s="16" t="str">
        <f t="shared" si="0"/>
        <v xml:space="preserve">  // Simulator Interface Issues</v>
      </c>
      <c r="B48" s="16" t="str">
        <f t="shared" si="1"/>
        <v xml:space="preserve">\section{Simulator Interface Issues}
</v>
      </c>
      <c r="C48" s="5" t="s">
        <v>0</v>
      </c>
      <c r="E48" s="5"/>
      <c r="F48" s="5"/>
      <c r="G48" s="8"/>
      <c r="H48" s="6" t="s">
        <v>68</v>
      </c>
      <c r="I48" s="5"/>
      <c r="J48" s="6"/>
    </row>
    <row r="49" spans="1:10" ht="15" customHeight="1" x14ac:dyDescent="0.25">
      <c r="A49" s="17" t="str">
        <f t="shared" si="0"/>
        <v xml:space="preserve">  MessagesDevelopmentAssert.QuickPutEntry_bool("SD-001", false);
  MessagesImplementationAssert.QuickPutEntry_bool("SD-001", false);
  MessagesRuntimeAssert.QuickPutEntry_bool("SD-001", true);
  MessagesDisabling.QuickPutEntry_int("SD-001", 0);
  MessagesCount.QuickPutEntry_int("SD-001", 0);
  MessagesLabel.QuickPutEntry_string("SD-001","Simple Simulator Not Initialized");</v>
      </c>
      <c r="B49" s="17" t="str">
        <f t="shared" si="1"/>
        <v xml:space="preserve">\subsection{SD-001}
\begin{itemize}
  \item Interface Message:\\[1em]\textbf{Simple Simulator Not Initialized}
  \item Development Assertion: NO
  \item Implementation Assertion: NO
  \item Runtime Assertion: YES
\end{itemize}
</v>
      </c>
      <c r="C49" s="1" t="s">
        <v>69</v>
      </c>
      <c r="D49" s="1" t="s">
        <v>3</v>
      </c>
      <c r="E49" s="1" t="s">
        <v>3</v>
      </c>
      <c r="F49" s="1" t="s">
        <v>2</v>
      </c>
      <c r="G49" s="3">
        <v>0</v>
      </c>
      <c r="H49" s="13" t="s">
        <v>70</v>
      </c>
    </row>
    <row r="50" spans="1:10" ht="15" customHeight="1" x14ac:dyDescent="0.25">
      <c r="A50" s="17" t="str">
        <f t="shared" si="0"/>
        <v xml:space="preserve">  MessagesDevelopmentAssert.QuickPutEntry_bool("SD-015", false);
  MessagesImplementationAssert.QuickPutEntry_bool("SD-015", false);
  MessagesRuntimeAssert.QuickPutEntry_bool("SD-015", true);
  MessagesDisabling.QuickPutEntry_int("SD-015", 0);
  MessagesCount.QuickPutEntry_int("SD-015", 0);
  MessagesLabel.QuickPutEntry_string("SD-015","No V1_Neuron created");</v>
      </c>
      <c r="B50" s="17" t="str">
        <f t="shared" si="1"/>
        <v xml:space="preserve">\subsection{SD-015}
\begin{itemize}
  \item Interface Message:\\[1em]\textbf{No V1\_Neuron created}
  \item Development Assertion: NO
  \item Implementation Assertion: NO
  \item Runtime Assertion: YES
\end{itemize}
</v>
      </c>
      <c r="C50" s="1" t="s">
        <v>93</v>
      </c>
      <c r="D50" s="1" t="s">
        <v>3</v>
      </c>
      <c r="E50" s="1" t="s">
        <v>3</v>
      </c>
      <c r="F50" s="1" t="s">
        <v>2</v>
      </c>
      <c r="G50" s="3">
        <v>0</v>
      </c>
      <c r="H50" s="13" t="s">
        <v>94</v>
      </c>
    </row>
    <row r="51" spans="1:10" ht="15" customHeight="1" x14ac:dyDescent="0.25">
      <c r="A51" s="17" t="str">
        <f t="shared" si="0"/>
        <v xml:space="preserve">  MessagesDevelopmentAssert.QuickPutEntry_bool("SD-016", false);
  MessagesImplementationAssert.QuickPutEntry_bool("SD-016", false);
  MessagesRuntimeAssert.QuickPutEntry_bool("SD-016", true);
  MessagesDisabling.QuickPutEntry_int("SD-016", 0);
  MessagesCount.QuickPutEntry_int("SD-016", 0);
  MessagesLabel.QuickPutEntry_string("SD-016","No MT_Neuron created");</v>
      </c>
      <c r="B51" s="17" t="str">
        <f t="shared" si="1"/>
        <v xml:space="preserve">\subsection{SD-016}
\begin{itemize}
  \item Interface Message:\\[1em]\textbf{No MT\_Neuron created}
  \item Development Assertion: NO
  \item Implementation Assertion: NO
  \item Runtime Assertion: YES
\end{itemize}
</v>
      </c>
      <c r="C51" s="1" t="s">
        <v>95</v>
      </c>
      <c r="D51" s="1" t="s">
        <v>3</v>
      </c>
      <c r="E51" s="1" t="s">
        <v>3</v>
      </c>
      <c r="F51" s="1" t="s">
        <v>2</v>
      </c>
      <c r="G51" s="3">
        <v>0</v>
      </c>
      <c r="H51" s="13" t="s">
        <v>96</v>
      </c>
    </row>
    <row r="52" spans="1:10" ht="15" customHeight="1" x14ac:dyDescent="0.25">
      <c r="A52" s="17" t="str">
        <f t="shared" si="0"/>
        <v xml:space="preserve">  MessagesDevelopmentAssert.QuickPutEntry_bool("SD-021", false);
  MessagesImplementationAssert.QuickPutEntry_bool("SD-021", false);
  MessagesRuntimeAssert.QuickPutEntry_bool("SD-021", true);
  MessagesDisabling.QuickPutEntry_int("SD-021", 0);
  MessagesCount.QuickPutEntry_int("SD-021", 0);
  MessagesLabel.QuickPutEntry_string("SD-021","Invalid timing for eternal excitation");</v>
      </c>
      <c r="B52" s="17" t="str">
        <f t="shared" si="1"/>
        <v xml:space="preserve">\subsection{SD-021}
\begin{itemize}
  \item Interface Message:\\[1em]\textbf{Invalid timing for eternal excitation}
  \item Development Assertion: NO
  \item Implementation Assertion: NO
  \item Runtime Assertion: YES
\end{itemize}
</v>
      </c>
      <c r="C52" s="1" t="s">
        <v>104</v>
      </c>
      <c r="D52" s="1" t="s">
        <v>3</v>
      </c>
      <c r="E52" s="1" t="s">
        <v>3</v>
      </c>
      <c r="F52" s="1" t="s">
        <v>2</v>
      </c>
      <c r="G52" s="3">
        <v>0</v>
      </c>
      <c r="H52" s="13" t="s">
        <v>105</v>
      </c>
    </row>
    <row r="53" spans="1:10" ht="15" customHeight="1" x14ac:dyDescent="0.25">
      <c r="A53" s="17" t="str">
        <f t="shared" si="0"/>
        <v xml:space="preserve">  MessagesDevelopmentAssert.QuickPutEntry_bool("SD-025", false);
  MessagesImplementationAssert.QuickPutEntry_bool("SD-025", false);
  MessagesRuntimeAssert.QuickPutEntry_bool("SD-025", true);
  MessagesDisabling.QuickPutEntry_int("SD-025", 0);
  MessagesCount.QuickPutEntry_int("SD-025", 0);
  MessagesLabel.QuickPutEntry_string("SD-025","Unordered external excitation phase insertion attempt");</v>
      </c>
      <c r="B53" s="17" t="str">
        <f t="shared" si="1"/>
        <v xml:space="preserve">\subsection{SD-025}
\begin{itemize}
  \item Interface Message:\\[1em]\textbf{Unordered external excitation phase insertion attempt}
  \item Development Assertion: NO
  \item Implementation Assertion: NO
  \item Runtime Assertion: YES
\end{itemize}
</v>
      </c>
      <c r="C53" s="1" t="s">
        <v>108</v>
      </c>
      <c r="D53" s="1" t="s">
        <v>3</v>
      </c>
      <c r="E53" s="1" t="s">
        <v>3</v>
      </c>
      <c r="F53" s="1" t="s">
        <v>2</v>
      </c>
      <c r="G53" s="3">
        <v>0</v>
      </c>
      <c r="H53" s="13" t="s">
        <v>109</v>
      </c>
    </row>
    <row r="54" spans="1:10" ht="15" customHeight="1" x14ac:dyDescent="0.25">
      <c r="A54" s="17" t="str">
        <f t="shared" si="0"/>
        <v xml:space="preserve">  MessagesDevelopmentAssert.QuickPutEntry_bool("SD-027", false);
  MessagesImplementationAssert.QuickPutEntry_bool("SD-027", false);
  MessagesRuntimeAssert.QuickPutEntry_bool("SD-027", true);
  MessagesDisabling.QuickPutEntry_int("SD-027", 0);
  MessagesCount.QuickPutEntry_int("SD-027", 0);
  MessagesLabel.QuickPutEntry_string("SD-027","First diffusion phase should be always zero");</v>
      </c>
      <c r="B54" s="17" t="str">
        <f t="shared" si="1"/>
        <v xml:space="preserve">\subsection{SD-027}
\begin{itemize}
  \item Interface Message:\\[1em]\textbf{First diffusion phase should be always zero}
  \item Development Assertion: NO
  \item Implementation Assertion: NO
  \item Runtime Assertion: YES
\end{itemize}
</v>
      </c>
      <c r="C54" s="1" t="s">
        <v>110</v>
      </c>
      <c r="D54" s="1" t="s">
        <v>3</v>
      </c>
      <c r="E54" s="1" t="s">
        <v>3</v>
      </c>
      <c r="F54" s="1" t="s">
        <v>2</v>
      </c>
      <c r="G54" s="3">
        <v>0</v>
      </c>
      <c r="H54" s="13" t="s">
        <v>111</v>
      </c>
    </row>
    <row r="55" spans="1:10" ht="15" customHeight="1" x14ac:dyDescent="0.25">
      <c r="A55" s="17" t="str">
        <f t="shared" si="0"/>
        <v xml:space="preserve">  MessagesDevelopmentAssert.QuickPutEntry_bool("SD-028", false);
  MessagesImplementationAssert.QuickPutEntry_bool("SD-028", false);
  MessagesRuntimeAssert.QuickPutEntry_bool("SD-028", true);
  MessagesDisabling.QuickPutEntry_int("SD-028", 0);
  MessagesCount.QuickPutEntry_int("SD-028", 0);
  MessagesLabel.QuickPutEntry_string("SD-028","The number of steps for simulate needs to be at least 1");</v>
      </c>
      <c r="B55" s="17" t="str">
        <f t="shared" si="1"/>
        <v xml:space="preserve">\subsection{SD-028}
\begin{itemize}
  \item Interface Message:\\[1em]\textbf{The number of steps for simulate needs to be at least 1}
  \item Development Assertion: NO
  \item Implementation Assertion: NO
  \item Runtime Assertion: YES
\end{itemize}
</v>
      </c>
      <c r="C55" s="1" t="s">
        <v>112</v>
      </c>
      <c r="D55" s="1" t="s">
        <v>3</v>
      </c>
      <c r="E55" s="1" t="s">
        <v>3</v>
      </c>
      <c r="F55" s="1" t="s">
        <v>2</v>
      </c>
      <c r="G55" s="3">
        <v>0</v>
      </c>
      <c r="H55" s="13" t="s">
        <v>113</v>
      </c>
    </row>
    <row r="56" spans="1:10" ht="15" customHeight="1" x14ac:dyDescent="0.25">
      <c r="A56" s="17" t="str">
        <f t="shared" si="0"/>
        <v xml:space="preserve">  MessagesDevelopmentAssert.QuickPutEntry_bool("SD-033", false);
  MessagesImplementationAssert.QuickPutEntry_bool("SD-033", false);
  MessagesRuntimeAssert.QuickPutEntry_bool("SD-033", true);
  MessagesDisabling.QuickPutEntry_int("SD-033", 0);
  MessagesCount.QuickPutEntry_int("SD-033", 0);
  MessagesLabel.QuickPutEntry_string("SD-033","Trying to access an invalid activation TimeStep");</v>
      </c>
      <c r="B56" s="17" t="str">
        <f t="shared" si="1"/>
        <v xml:space="preserve">\subsection{SD-033}
\begin{itemize}
  \item Interface Message:\\[1em]\textbf{Trying to access an invalid activation TimeStep}
  \item Development Assertion: NO
  \item Implementation Assertion: NO
  \item Runtime Assertion: YES
\end{itemize}
</v>
      </c>
      <c r="C56" s="1" t="s">
        <v>118</v>
      </c>
      <c r="D56" s="1" t="s">
        <v>3</v>
      </c>
      <c r="E56" s="1" t="s">
        <v>3</v>
      </c>
      <c r="F56" s="1" t="s">
        <v>2</v>
      </c>
      <c r="G56" s="3">
        <v>0</v>
      </c>
      <c r="H56" s="13" t="s">
        <v>119</v>
      </c>
    </row>
    <row r="57" spans="1:10" ht="15" customHeight="1" x14ac:dyDescent="0.25">
      <c r="A57" s="17" t="str">
        <f t="shared" si="0"/>
        <v xml:space="preserve">  MessagesDevelopmentAssert.QuickPutEntry_bool("SD-036", false);
  MessagesImplementationAssert.QuickPutEntry_bool("SD-036", false);
  MessagesRuntimeAssert.QuickPutEntry_bool("SD-036", true);
  MessagesDisabling.QuickPutEntry_int("SD-036", 0);
  MessagesCount.QuickPutEntry_int("SD-036", 0);
  MessagesLabel.QuickPutEntry_string("SD-036","Setting not recognized");</v>
      </c>
      <c r="B57" s="17" t="str">
        <f t="shared" si="1"/>
        <v xml:space="preserve">\subsection{SD-036}
\begin{itemize}
  \item Interface Message:\\[1em]\textbf{Setting not recognized}
  \item Development Assertion: NO
  \item Implementation Assertion: NO
  \item Runtime Assertion: YES
\end{itemize}
</v>
      </c>
      <c r="C57" s="1" t="s">
        <v>142</v>
      </c>
      <c r="D57" s="1" t="s">
        <v>3</v>
      </c>
      <c r="E57" s="1" t="s">
        <v>3</v>
      </c>
      <c r="F57" s="1" t="s">
        <v>2</v>
      </c>
      <c r="G57" s="3">
        <v>0</v>
      </c>
      <c r="H57" s="13" t="s">
        <v>143</v>
      </c>
    </row>
    <row r="58" spans="1:10" ht="15" customHeight="1" x14ac:dyDescent="0.25">
      <c r="A58" s="17" t="str">
        <f t="shared" si="0"/>
        <v xml:space="preserve">  MessagesDevelopmentAssert.QuickPutEntry_bool("SD-037", false);
  MessagesImplementationAssert.QuickPutEntry_bool("SD-037", false);
  MessagesRuntimeAssert.QuickPutEntry_bool("SD-037", true);
  MessagesDisabling.QuickPutEntry_int("SD-037", 0);
  MessagesCount.QuickPutEntry_int("SD-037", 0);
  MessagesLabel.QuickPutEntry_string("SD-037","Setting required");</v>
      </c>
      <c r="B58" s="17" t="str">
        <f t="shared" si="1"/>
        <v xml:space="preserve">\subsection{SD-037}
\begin{itemize}
  \item Interface Message:\\[1em]\textbf{Setting required}
  \item Development Assertion: NO
  \item Implementation Assertion: NO
  \item Runtime Assertion: YES
\end{itemize}
</v>
      </c>
      <c r="C58" s="1" t="s">
        <v>144</v>
      </c>
      <c r="D58" s="1" t="s">
        <v>3</v>
      </c>
      <c r="E58" s="1" t="s">
        <v>3</v>
      </c>
      <c r="F58" s="1" t="s">
        <v>2</v>
      </c>
      <c r="G58" s="3">
        <v>0</v>
      </c>
      <c r="H58" s="13" t="s">
        <v>145</v>
      </c>
    </row>
    <row r="59" spans="1:10" s="4" customFormat="1" ht="15" customHeight="1" x14ac:dyDescent="0.25">
      <c r="A59" s="16" t="str">
        <f t="shared" si="0"/>
        <v xml:space="preserve">  // Warnings</v>
      </c>
      <c r="B59" s="16" t="str">
        <f t="shared" si="1"/>
        <v xml:space="preserve">\section{Warnings}
</v>
      </c>
      <c r="C59" s="5" t="s">
        <v>0</v>
      </c>
      <c r="E59" s="5"/>
      <c r="F59" s="5"/>
      <c r="G59" s="8"/>
      <c r="H59" s="6" t="s">
        <v>124</v>
      </c>
      <c r="I59" s="5"/>
      <c r="J59" s="6"/>
    </row>
    <row r="60" spans="1:10" ht="15" customHeight="1" x14ac:dyDescent="0.25">
      <c r="A60" s="17" t="str">
        <f t="shared" si="0"/>
        <v xml:space="preserve">  MessagesDevelopmentAssert.QuickPutEntry_bool("WN-006", false);
  MessagesImplementationAssert.QuickPutEntry_bool("WN-006", false);
  MessagesRuntimeAssert.QuickPutEntry_bool("WN-006", false);
  MessagesDisabling.QuickPutEntry_int("WN-006", 1);
  MessagesCount.QuickPutEntry_int("WN-006", 0);
  MessagesLabel.QuickPutEntry_string("WN-006","There are undocumented calculations in use");</v>
      </c>
      <c r="B60" s="17" t="str">
        <f t="shared" si="1"/>
        <v xml:space="preserve">\subsection{WN-006}
\begin{itemize}
  \item Interface Message:\\[1em]\textbf{There are undocumented calculations in use}
  \item Development Assertion: NO
  \item Implementation Assertion: NO
  \item Runtime Assertion: NO
\end{itemize}
</v>
      </c>
      <c r="C60" s="1" t="s">
        <v>141</v>
      </c>
      <c r="D60" s="1" t="s">
        <v>3</v>
      </c>
      <c r="E60" s="1" t="s">
        <v>3</v>
      </c>
      <c r="F60" s="1" t="s">
        <v>3</v>
      </c>
      <c r="G60" s="3">
        <v>1</v>
      </c>
      <c r="H60" s="14" t="s">
        <v>243</v>
      </c>
    </row>
    <row r="61" spans="1:10" s="36" customFormat="1" ht="15" customHeight="1" x14ac:dyDescent="0.25">
      <c r="A61" s="33"/>
      <c r="B61" s="33"/>
      <c r="C61" s="34"/>
      <c r="D61" s="34"/>
      <c r="E61" s="34"/>
      <c r="F61" s="34"/>
      <c r="G61" s="37"/>
      <c r="H61" s="38"/>
      <c r="I61" s="34"/>
      <c r="J61" s="35"/>
    </row>
    <row r="62" spans="1:10" s="4" customFormat="1" ht="15" customHeight="1" x14ac:dyDescent="0.25">
      <c r="A62" s="16" t="str">
        <f t="shared" si="0"/>
        <v xml:space="preserve">  // Deprecated Messages</v>
      </c>
      <c r="B62" s="16" t="str">
        <f t="shared" si="1"/>
        <v xml:space="preserve">\section{Deprecated Messages}
</v>
      </c>
      <c r="C62" s="5" t="s">
        <v>0</v>
      </c>
      <c r="E62" s="5"/>
      <c r="F62" s="5"/>
      <c r="G62" s="8"/>
      <c r="H62" s="6" t="s">
        <v>248</v>
      </c>
      <c r="I62" s="5"/>
      <c r="J62" s="6"/>
    </row>
    <row r="63" spans="1:10" ht="15" customHeight="1" x14ac:dyDescent="0.25">
      <c r="A63" s="17" t="str">
        <f t="shared" si="0"/>
        <v xml:space="preserve">  MessagesDevelopmentAssert.QuickPutEntry_bool("WN-001", false);
  MessagesImplementationAssert.QuickPutEntry_bool("WN-001", false);
  MessagesRuntimeAssert.QuickPutEntry_bool("WN-001", false);
  MessagesDisabling.QuickPutEntry_int("WN-001", 1);
  MessagesCount.QuickPutEntry_int("WN-001", 0);
  MessagesLabel.QuickPutEntry_string("WN-001","Undocumented RFSize Calculation");</v>
      </c>
      <c r="B63" s="17" t="str">
        <f t="shared" si="1"/>
        <v xml:space="preserve">\subsection{WN-001}
\begin{itemize}
  \item Interface Message:\\[1em]\textbf{Undocumented RFSize Calculation}
  \item Development Assertion: NO
  \item Implementation Assertion: NO
  \item Runtime Assertion: NO
\end{itemize}
</v>
      </c>
      <c r="C63" s="1" t="s">
        <v>125</v>
      </c>
      <c r="D63" s="1" t="s">
        <v>3</v>
      </c>
      <c r="E63" s="1" t="s">
        <v>3</v>
      </c>
      <c r="F63" s="1" t="s">
        <v>3</v>
      </c>
      <c r="G63" s="3">
        <v>1</v>
      </c>
      <c r="H63" s="13" t="s">
        <v>126</v>
      </c>
    </row>
    <row r="64" spans="1:10" ht="15" customHeight="1" x14ac:dyDescent="0.25">
      <c r="A64" s="17" t="str">
        <f t="shared" si="0"/>
        <v xml:space="preserve">  MessagesDevelopmentAssert.QuickPutEntry_bool("WN-002", false);
  MessagesImplementationAssert.QuickPutEntry_bool("WN-002", false);
  MessagesRuntimeAssert.QuickPutEntry_bool("WN-002", false);
  MessagesDisabling.QuickPutEntry_int("WN-002", 1);
  MessagesCount.QuickPutEntry_int("WN-002", 0);
  MessagesLabel.QuickPutEntry_string("WN-002","Undocumented Sigma Calculation");</v>
      </c>
      <c r="B64" s="17" t="str">
        <f t="shared" si="1"/>
        <v xml:space="preserve">\subsection{WN-002}
\begin{itemize}
  \item Interface Message:\\[1em]\textbf{Undocumented Sigma Calculation}
  \item Development Assertion: NO
  \item Implementation Assertion: NO
  \item Runtime Assertion: NO
\end{itemize}
</v>
      </c>
      <c r="C64" s="1" t="s">
        <v>127</v>
      </c>
      <c r="D64" s="1" t="s">
        <v>3</v>
      </c>
      <c r="E64" s="1" t="s">
        <v>3</v>
      </c>
      <c r="F64" s="1" t="s">
        <v>3</v>
      </c>
      <c r="G64" s="3">
        <v>1</v>
      </c>
      <c r="H64" s="13" t="s">
        <v>128</v>
      </c>
    </row>
    <row r="65" spans="1:10" ht="15" customHeight="1" x14ac:dyDescent="0.25">
      <c r="A65" s="17" t="str">
        <f t="shared" si="0"/>
        <v xml:space="preserve">  MessagesDevelopmentAssert.QuickPutEntry_bool("WN-003", false);
  MessagesImplementationAssert.QuickPutEntry_bool("WN-003", false);
  MessagesRuntimeAssert.QuickPutEntry_bool("WN-003", false);
  MessagesDisabling.QuickPutEntry_int("WN-003", 1);
  MessagesCount.QuickPutEntry_int("WN-003", 0);
  MessagesLabel.QuickPutEntry_string("WN-003","Undocumented AdaptedWeithg Calculation");</v>
      </c>
      <c r="B65" s="17" t="str">
        <f t="shared" si="1"/>
        <v xml:space="preserve">\subsection{WN-003}
\begin{itemize}
  \item Interface Message:\\[1em]\textbf{Undocumented AdaptedWeithg Calculation}
  \item Development Assertion: NO
  \item Implementation Assertion: NO
  \item Runtime Assertion: NO
\end{itemize}
</v>
      </c>
      <c r="C65" s="1" t="s">
        <v>129</v>
      </c>
      <c r="D65" s="1" t="s">
        <v>3</v>
      </c>
      <c r="E65" s="1" t="s">
        <v>3</v>
      </c>
      <c r="F65" s="1" t="s">
        <v>3</v>
      </c>
      <c r="G65" s="3">
        <v>1</v>
      </c>
      <c r="H65" s="13" t="s">
        <v>130</v>
      </c>
    </row>
    <row r="66" spans="1:10" ht="15" customHeight="1" x14ac:dyDescent="0.25">
      <c r="A66" s="17" t="str">
        <f t="shared" si="0"/>
        <v xml:space="preserve">  MessagesDevelopmentAssert.QuickPutEntry_bool("WN-004", false);
  MessagesImplementationAssert.QuickPutEntry_bool("WN-004", false);
  MessagesRuntimeAssert.QuickPutEntry_bool("WN-004", false);
  MessagesDisabling.QuickPutEntry_int("WN-004", 1);
  MessagesCount.QuickPutEntry_int("WN-004", 0);
  MessagesLabel.QuickPutEntry_string("WN-004","Undocumented AdaptedWeight correction");</v>
      </c>
      <c r="B66" s="17" t="str">
        <f t="shared" si="1"/>
        <v xml:space="preserve">\subsection{WN-004}
\begin{itemize}
  \item Interface Message:\\[1em]\textbf{Undocumented AdaptedWeight correction}
  \item Development Assertion: NO
  \item Implementation Assertion: NO
  \item Runtime Assertion: NO
\end{itemize}
</v>
      </c>
      <c r="C66" s="1" t="s">
        <v>131</v>
      </c>
      <c r="D66" s="1" t="s">
        <v>3</v>
      </c>
      <c r="E66" s="1" t="s">
        <v>3</v>
      </c>
      <c r="F66" s="1" t="s">
        <v>3</v>
      </c>
      <c r="G66" s="3">
        <v>1</v>
      </c>
      <c r="H66" s="13" t="s">
        <v>132</v>
      </c>
    </row>
    <row r="67" spans="1:10" ht="15" customHeight="1" x14ac:dyDescent="0.25">
      <c r="A67" s="17" t="str">
        <f t="shared" si="0"/>
        <v xml:space="preserve">  MessagesDevelopmentAssert.QuickPutEntry_bool("WN-005", false);
  MessagesImplementationAssert.QuickPutEntry_bool("WN-005", false);
  MessagesRuntimeAssert.QuickPutEntry_bool("WN-005", false);
  MessagesDisabling.QuickPutEntry_int("WN-005", 1);
  MessagesCount.QuickPutEntry_int("WN-005", 0);
  MessagesLabel.QuickPutEntry_string("WN-005","Undocumented BaseWeight correction");</v>
      </c>
      <c r="B67" s="17" t="str">
        <f t="shared" si="1"/>
        <v xml:space="preserve">\subsection{WN-005}
\begin{itemize}
  \item Interface Message:\\[1em]\textbf{Undocumented BaseWeight correction}
  \item Development Assertion: NO
  \item Implementation Assertion: NO
  \item Runtime Assertion: NO
\end{itemize}
</v>
      </c>
      <c r="C67" s="1" t="s">
        <v>133</v>
      </c>
      <c r="D67" s="1" t="s">
        <v>3</v>
      </c>
      <c r="E67" s="1" t="s">
        <v>3</v>
      </c>
      <c r="F67" s="1" t="s">
        <v>3</v>
      </c>
      <c r="G67" s="3">
        <v>1</v>
      </c>
      <c r="H67" s="13" t="s">
        <v>134</v>
      </c>
    </row>
    <row r="68" spans="1:10" ht="15" customHeight="1" x14ac:dyDescent="0.25">
      <c r="A68" s="17" t="str">
        <f t="shared" si="0"/>
        <v xml:space="preserve">  MessagesDevelopmentAssert.QuickPutEntry_bool("SD-023", false);
  MessagesImplementationAssert.QuickPutEntry_bool("SD-023", false);
  MessagesRuntimeAssert.QuickPutEntry_bool("SD-023", true);
  MessagesDisabling.QuickPutEntry_int("SD-023", 0);
  MessagesCount.QuickPutEntry_int("SD-023", 0);
  MessagesLabel.QuickPutEntry_string("SD-023","Invalid Parameter");</v>
      </c>
      <c r="B68" s="17" t="str">
        <f t="shared" si="1"/>
        <v xml:space="preserve">\subsection{SD-023}
\begin{itemize}
  \item Interface Message:\\[1em]\textbf{Invalid Parameter}
  \item Development Assertion: NO
  \item Implementation Assertion: NO
  \item Runtime Assertion: YES
\end{itemize}
</v>
      </c>
      <c r="C68" s="1" t="s">
        <v>106</v>
      </c>
      <c r="D68" s="1" t="s">
        <v>3</v>
      </c>
      <c r="E68" s="1" t="s">
        <v>3</v>
      </c>
      <c r="F68" s="1" t="s">
        <v>2</v>
      </c>
      <c r="G68" s="3">
        <v>0</v>
      </c>
      <c r="H68" s="13" t="s">
        <v>107</v>
      </c>
    </row>
    <row r="69" spans="1:10" s="26" customFormat="1" ht="15" customHeight="1" x14ac:dyDescent="0.25">
      <c r="A69" s="23" t="str">
        <f t="shared" si="0"/>
        <v xml:space="preserve">  MessagesDevelopmentAssert.QuickPutEntry_bool("SD-020", false);
  MessagesImplementationAssert.QuickPutEntry_bool("SD-020", false);
  MessagesRuntimeAssert.QuickPutEntry_bool("SD-020", true);
  MessagesDisabling.QuickPutEntry_int("SD-020", 0);
  MessagesCount.QuickPutEntry_int("SD-020", 0);
  MessagesLabel.QuickPutEntry_string("SD-020","V1V1_default_weight is required for calculation");</v>
      </c>
      <c r="B69" s="23" t="str">
        <f t="shared" si="1"/>
        <v xml:space="preserve">\subsection{SD-020}
\begin{itemize}
  \item Interface Message:\\[1em]\textbf{V1V1\_default\_weight is required for calculation}
  \item Development Assertion: NO
  \item Implementation Assertion: NO
  \item Runtime Assertion: YES
\end{itemize}
</v>
      </c>
      <c r="C69" s="18" t="s">
        <v>102</v>
      </c>
      <c r="D69" s="18" t="s">
        <v>3</v>
      </c>
      <c r="E69" s="18" t="s">
        <v>3</v>
      </c>
      <c r="F69" s="18" t="s">
        <v>2</v>
      </c>
      <c r="G69" s="24">
        <v>0</v>
      </c>
      <c r="H69" s="25" t="s">
        <v>103</v>
      </c>
      <c r="I69" s="18"/>
      <c r="J69" s="25"/>
    </row>
    <row r="70" spans="1:10" s="26" customFormat="1" ht="15" customHeight="1" x14ac:dyDescent="0.25">
      <c r="A70" s="23" t="str">
        <f t="shared" si="0"/>
        <v xml:space="preserve">  MessagesDevelopmentAssert.QuickPutEntry_bool("SD-010", false);
  MessagesImplementationAssert.QuickPutEntry_bool("SD-010", false);
  MessagesRuntimeAssert.QuickPutEntry_bool("SD-010", true);
  MessagesDisabling.QuickPutEntry_int("SD-010", 0);
  MessagesCount.QuickPutEntry_int("SD-010", 0);
  MessagesLabel.QuickPutEntry_string("SD-010","V1MT_sigma is required for calculation");</v>
      </c>
      <c r="B70" s="23" t="str">
        <f t="shared" si="1"/>
        <v xml:space="preserve">\subsection{SD-010}
\begin{itemize}
  \item Interface Message:\\[1em]\textbf{V1MT\_sigma is required for calculation}
  \item Development Assertion: NO
  \item Implementation Assertion: NO
  \item Runtime Assertion: YES
\end{itemize}
</v>
      </c>
      <c r="C70" s="18" t="s">
        <v>85</v>
      </c>
      <c r="D70" s="18" t="s">
        <v>3</v>
      </c>
      <c r="E70" s="18" t="s">
        <v>3</v>
      </c>
      <c r="F70" s="18" t="s">
        <v>2</v>
      </c>
      <c r="G70" s="24">
        <v>0</v>
      </c>
      <c r="H70" s="25" t="s">
        <v>86</v>
      </c>
      <c r="I70" s="18"/>
      <c r="J70" s="25"/>
    </row>
    <row r="71" spans="1:10" s="26" customFormat="1" ht="15" customHeight="1" x14ac:dyDescent="0.25">
      <c r="A71" s="23" t="str">
        <f t="shared" si="0"/>
        <v xml:space="preserve">  MessagesDevelopmentAssert.QuickPutEntry_bool("SD-011", false);
  MessagesImplementationAssert.QuickPutEntry_bool("SD-011", false);
  MessagesRuntimeAssert.QuickPutEntry_bool("SD-011", true);
  MessagesDisabling.QuickPutEntry_int("SD-011", 0);
  MessagesCount.QuickPutEntry_int("SD-011", 0);
  MessagesLabel.QuickPutEntry_string("SD-011","V1MT_amplification is required for calculation");</v>
      </c>
      <c r="B71" s="23" t="str">
        <f t="shared" si="1"/>
        <v xml:space="preserve">\subsection{SD-011}
\begin{itemize}
  \item Interface Message:\\[1em]\textbf{V1MT\_amplification is required for calculation}
  \item Development Assertion: NO
  \item Implementation Assertion: NO
  \item Runtime Assertion: YES
\end{itemize}
</v>
      </c>
      <c r="C71" s="18" t="s">
        <v>87</v>
      </c>
      <c r="D71" s="18" t="s">
        <v>3</v>
      </c>
      <c r="E71" s="18" t="s">
        <v>3</v>
      </c>
      <c r="F71" s="18" t="s">
        <v>2</v>
      </c>
      <c r="G71" s="24">
        <v>0</v>
      </c>
      <c r="H71" s="25" t="s">
        <v>88</v>
      </c>
      <c r="I71" s="18"/>
      <c r="J71" s="25"/>
    </row>
    <row r="72" spans="1:10" s="26" customFormat="1" ht="15" customHeight="1" x14ac:dyDescent="0.25">
      <c r="A72" s="23" t="str">
        <f t="shared" ref="A72:A136" si="12">IF(C72&lt;&gt;"",IF(C72="#","  // "&amp;H72,
"  MessagesDevelopmentAssert.QuickPutEntry_bool("""&amp;C72&amp;""", "&amp;IF(D72="F","false",IF(D72="T","true","ERROR"))&amp;");"&amp;CHAR(10)&amp;
"  MessagesImplementationAssert.QuickPutEntry_bool("""&amp;C72&amp;""", "&amp;IF(E72="F","false",IF(E72="T","true","ERROR"))&amp;");"&amp;CHAR(10)&amp;
"  MessagesRuntimeAssert.QuickPutEntry_bool("""&amp;C72&amp;""", "&amp;IF(F72="F","false",IF(F72="T","true","ERROR"))&amp;");"&amp;CHAR(10)&amp;
"  MessagesDisabling.QuickPutEntry_int("""&amp;C72&amp;""", "&amp;G72&amp;");"&amp; CHAR(10) &amp;
"  MessagesCount.QuickPutEntry_int("""&amp;C72&amp;""", 0);"&amp;CHAR(10)&amp;
"  MessagesLabel.QuickPutEntry_string("""&amp;C72&amp;""","""&amp;H72&amp;""");"&amp;
IF(J72&lt;&gt;"",CHAR(10) &amp; "  MessagesText.QuickPutEntry_string("""&amp;C72&amp;""", """&amp;SUBSTITUTE(J72,"""","\""")&amp;""");","")
),"")</f>
        <v xml:space="preserve">  MessagesDevelopmentAssert.QuickPutEntry_bool("SD-012", false);
  MessagesImplementationAssert.QuickPutEntry_bool("SD-012", false);
  MessagesRuntimeAssert.QuickPutEntry_bool("SD-012", true);
  MessagesDisabling.QuickPutEntry_int("SD-012", 0);
  MessagesCount.QuickPutEntry_int("SD-012", 0);
  MessagesLabel.QuickPutEntry_string("SD-012","V1MT_modulation is required for calculation");</v>
      </c>
      <c r="B72" s="23" t="str">
        <f t="shared" ref="B72:B136" si="13">IF(C72&lt;&gt;"",IF(C72="#","\section{"&amp;H72&amp;"}" &amp; CHAR(10),
"\subsection{" &amp; C72 &amp; "}" &amp; CHAR(10) &amp; "\begin{itemize}" &amp; CHAR(10) &amp;
"  \item Interface Message:\\[1em]\textbf{" &amp; SUBSTITUTE(H72,"_","\_") &amp; "}" &amp; CHAR(10) &amp;
"  \item Development Assertion: " &amp; IF(D72="F","NO",IF(D72="T","YES","ERROR")) &amp; CHAR(10) &amp;
"  \item Implementation Assertion: " &amp; IF(E72="F","NO",IF(E72="T","YES","ERROR")) &amp; CHAR(10) &amp;
"  \item Runtime Assertion: " &amp; IF(F72="F","NO",IF(F72="T","YES","ERROR")) &amp; CHAR(10) &amp;
IF(J72&lt;&gt;"","  \item Message Description:\\[1em]"&amp; SUBSTITUTE(J72,"_","\_")  &amp;CHAR(10),"") &amp;
"\end{itemize}"&amp;CHAR(10)),"")</f>
        <v xml:space="preserve">\subsection{SD-012}
\begin{itemize}
  \item Interface Message:\\[1em]\textbf{V1MT\_modulation is required for calculation}
  \item Development Assertion: NO
  \item Implementation Assertion: NO
  \item Runtime Assertion: YES
\end{itemize}
</v>
      </c>
      <c r="C72" s="18" t="s">
        <v>89</v>
      </c>
      <c r="D72" s="18" t="s">
        <v>3</v>
      </c>
      <c r="E72" s="18" t="s">
        <v>3</v>
      </c>
      <c r="F72" s="18" t="s">
        <v>2</v>
      </c>
      <c r="G72" s="24">
        <v>0</v>
      </c>
      <c r="H72" s="25" t="s">
        <v>90</v>
      </c>
      <c r="I72" s="18"/>
      <c r="J72" s="25"/>
    </row>
    <row r="73" spans="1:10" s="26" customFormat="1" ht="15" customHeight="1" x14ac:dyDescent="0.25">
      <c r="A73" s="23" t="str">
        <f t="shared" si="12"/>
        <v xml:space="preserve">  MessagesDevelopmentAssert.QuickPutEntry_bool("SD-013", false);
  MessagesImplementationAssert.QuickPutEntry_bool("SD-013", false);
  MessagesRuntimeAssert.QuickPutEntry_bool("SD-013", true);
  MessagesDisabling.QuickPutEntry_int("SD-013", 0);
  MessagesCount.QuickPutEntry_int("SD-013", 0);
  MessagesLabel.QuickPutEntry_string("SD-013","V1MT_aperture is required for calculation");</v>
      </c>
      <c r="B73" s="23" t="str">
        <f t="shared" si="13"/>
        <v xml:space="preserve">\subsection{SD-013}
\begin{itemize}
  \item Interface Message:\\[1em]\textbf{V1MT\_aperture is required for calculation}
  \item Development Assertion: NO
  \item Implementation Assertion: NO
  \item Runtime Assertion: YES
\end{itemize}
</v>
      </c>
      <c r="C73" s="18" t="s">
        <v>91</v>
      </c>
      <c r="D73" s="18" t="s">
        <v>3</v>
      </c>
      <c r="E73" s="18" t="s">
        <v>3</v>
      </c>
      <c r="F73" s="18" t="s">
        <v>2</v>
      </c>
      <c r="G73" s="24">
        <v>0</v>
      </c>
      <c r="H73" s="25" t="s">
        <v>92</v>
      </c>
      <c r="I73" s="18"/>
      <c r="J73" s="25"/>
    </row>
    <row r="74" spans="1:10" s="26" customFormat="1" ht="15" customHeight="1" x14ac:dyDescent="0.25">
      <c r="A74" s="23" t="str">
        <f t="shared" si="12"/>
        <v xml:space="preserve">  MessagesDevelopmentAssert.QuickPutEntry_bool("SD-004", false);
  MessagesImplementationAssert.QuickPutEntry_bool("SD-004", false);
  MessagesRuntimeAssert.QuickPutEntry_bool("SD-004", true);
  MessagesDisabling.QuickPutEntry_int("SD-004", 0);
  MessagesCount.QuickPutEntry_int("SD-004", 0);
  MessagesLabel.QuickPutEntry_string("SD-004","V1_D001_excitatory_factor is required for calculation");</v>
      </c>
      <c r="B74" s="23" t="str">
        <f t="shared" si="13"/>
        <v xml:space="preserve">\subsection{SD-004}
\begin{itemize}
  \item Interface Message:\\[1em]\textbf{V1\_D001\_excitatory\_factor is required for calculation}
  \item Development Assertion: NO
  \item Implementation Assertion: NO
  \item Runtime Assertion: YES
\end{itemize}
</v>
      </c>
      <c r="C74" s="18" t="s">
        <v>75</v>
      </c>
      <c r="D74" s="18" t="s">
        <v>3</v>
      </c>
      <c r="E74" s="18" t="s">
        <v>3</v>
      </c>
      <c r="F74" s="18" t="s">
        <v>2</v>
      </c>
      <c r="G74" s="24">
        <v>0</v>
      </c>
      <c r="H74" s="25" t="s">
        <v>76</v>
      </c>
      <c r="I74" s="18"/>
      <c r="J74" s="25"/>
    </row>
    <row r="75" spans="1:10" s="26" customFormat="1" ht="15" customHeight="1" x14ac:dyDescent="0.25">
      <c r="A75" s="23" t="str">
        <f t="shared" si="12"/>
        <v xml:space="preserve">  MessagesDevelopmentAssert.QuickPutEntry_bool("SD-005", false);
  MessagesImplementationAssert.QuickPutEntry_bool("SD-005", false);
  MessagesRuntimeAssert.QuickPutEntry_bool("SD-005", true);
  MessagesDisabling.QuickPutEntry_int("SD-005", 0);
  MessagesCount.QuickPutEntry_int("SD-005", 0);
  MessagesLabel.QuickPutEntry_string("SD-005","V1_D001_conductance_leak is required for calculation");</v>
      </c>
      <c r="B75" s="23" t="str">
        <f t="shared" si="13"/>
        <v xml:space="preserve">\subsection{SD-005}
\begin{itemize}
  \item Interface Message:\\[1em]\textbf{V1\_D001\_conductance\_leak is required for calculation}
  \item Development Assertion: NO
  \item Implementation Assertion: NO
  \item Runtime Assertion: YES
\end{itemize}
</v>
      </c>
      <c r="C75" s="18" t="s">
        <v>77</v>
      </c>
      <c r="D75" s="18" t="s">
        <v>3</v>
      </c>
      <c r="E75" s="18" t="s">
        <v>3</v>
      </c>
      <c r="F75" s="18" t="s">
        <v>2</v>
      </c>
      <c r="G75" s="24">
        <v>0</v>
      </c>
      <c r="H75" s="25" t="s">
        <v>78</v>
      </c>
      <c r="I75" s="18"/>
      <c r="J75" s="25"/>
    </row>
    <row r="76" spans="1:10" s="26" customFormat="1" ht="15" customHeight="1" x14ac:dyDescent="0.25">
      <c r="A76" s="23" t="str">
        <f t="shared" si="12"/>
        <v xml:space="preserve">  MessagesDevelopmentAssert.QuickPutEntry_bool("SD-006", false);
  MessagesImplementationAssert.QuickPutEntry_bool("SD-006", false);
  MessagesRuntimeAssert.QuickPutEntry_bool("SD-006", true);
  MessagesDisabling.QuickPutEntry_int("SD-006", 0);
  MessagesCount.QuickPutEntry_int("SD-006", 0);
  MessagesLabel.QuickPutEntry_string("SD-006","V1_D001_inhibition_factor is required for calculation");</v>
      </c>
      <c r="B76" s="23" t="str">
        <f t="shared" si="13"/>
        <v xml:space="preserve">\subsection{SD-006}
\begin{itemize}
  \item Interface Message:\\[1em]\textbf{V1\_D001\_inhibition\_factor is required for calculation}
  \item Development Assertion: NO
  \item Implementation Assertion: NO
  \item Runtime Assertion: YES
\end{itemize}
</v>
      </c>
      <c r="C76" s="18" t="s">
        <v>79</v>
      </c>
      <c r="D76" s="18" t="s">
        <v>3</v>
      </c>
      <c r="E76" s="18" t="s">
        <v>3</v>
      </c>
      <c r="F76" s="18" t="s">
        <v>2</v>
      </c>
      <c r="G76" s="24">
        <v>0</v>
      </c>
      <c r="H76" s="25" t="s">
        <v>80</v>
      </c>
      <c r="I76" s="18"/>
      <c r="J76" s="25"/>
    </row>
    <row r="77" spans="1:10" s="26" customFormat="1" ht="15" customHeight="1" x14ac:dyDescent="0.25">
      <c r="A77" s="23" t="str">
        <f t="shared" si="12"/>
        <v xml:space="preserve">  MessagesDevelopmentAssert.QuickPutEntry_bool("SD-019", false);
  MessagesImplementationAssert.QuickPutEntry_bool("SD-019", false);
  MessagesRuntimeAssert.QuickPutEntry_bool("SD-019", true);
  MessagesDisabling.QuickPutEntry_int("SD-019", 0);
  MessagesCount.QuickPutEntry_int("SD-019", 0);
  MessagesLabel.QuickPutEntry_string("SD-019","V1V1_base_weight_source not recognized");</v>
      </c>
      <c r="B77" s="23" t="str">
        <f t="shared" si="13"/>
        <v xml:space="preserve">\subsection{SD-019}
\begin{itemize}
  \item Interface Message:\\[1em]\textbf{V1V1\_base\_weight\_source not recognized}
  \item Development Assertion: NO
  \item Implementation Assertion: NO
  \item Runtime Assertion: YES
\end{itemize}
</v>
      </c>
      <c r="C77" s="18" t="s">
        <v>100</v>
      </c>
      <c r="D77" s="18" t="s">
        <v>3</v>
      </c>
      <c r="E77" s="18" t="s">
        <v>3</v>
      </c>
      <c r="F77" s="18" t="s">
        <v>2</v>
      </c>
      <c r="G77" s="24">
        <v>0</v>
      </c>
      <c r="H77" s="25" t="s">
        <v>101</v>
      </c>
      <c r="I77" s="18"/>
      <c r="J77" s="25"/>
    </row>
    <row r="78" spans="1:10" s="26" customFormat="1" ht="15" customHeight="1" x14ac:dyDescent="0.25">
      <c r="A78" s="23" t="str">
        <f t="shared" si="12"/>
        <v xml:space="preserve">  MessagesDevelopmentAssert.QuickPutEntry_bool("SD-002", false);
  MessagesImplementationAssert.QuickPutEntry_bool("SD-002", false);
  MessagesRuntimeAssert.QuickPutEntry_bool("SD-002", true);
  MessagesDisabling.QuickPutEntry_int("SD-002", 0);
  MessagesCount.QuickPutEntry_int("SD-002", 0);
  MessagesLabel.QuickPutEntry_string("SD-002","V1V1_weight_adaptation not recognized");</v>
      </c>
      <c r="B78" s="23" t="str">
        <f t="shared" si="13"/>
        <v xml:space="preserve">\subsection{SD-002}
\begin{itemize}
  \item Interface Message:\\[1em]\textbf{V1V1\_weight\_adaptation not recognized}
  \item Development Assertion: NO
  \item Implementation Assertion: NO
  \item Runtime Assertion: YES
\end{itemize}
</v>
      </c>
      <c r="C78" s="18" t="s">
        <v>71</v>
      </c>
      <c r="D78" s="18" t="s">
        <v>3</v>
      </c>
      <c r="E78" s="18" t="s">
        <v>3</v>
      </c>
      <c r="F78" s="18" t="s">
        <v>2</v>
      </c>
      <c r="G78" s="24">
        <v>0</v>
      </c>
      <c r="H78" s="25" t="s">
        <v>72</v>
      </c>
      <c r="I78" s="18"/>
      <c r="J78" s="25"/>
    </row>
    <row r="79" spans="1:10" s="26" customFormat="1" ht="15" customHeight="1" x14ac:dyDescent="0.25">
      <c r="A79" s="23" t="str">
        <f t="shared" si="12"/>
        <v xml:space="preserve">  MessagesDevelopmentAssert.QuickPutEntry_bool("SD-009", false);
  MessagesImplementationAssert.QuickPutEntry_bool("SD-009", false);
  MessagesRuntimeAssert.QuickPutEntry_bool("SD-009", true);
  MessagesDisabling.QuickPutEntry_int("SD-009", 0);
  MessagesCount.QuickPutEntry_int("SD-009", 0);
  MessagesLabel.QuickPutEntry_string("SD-009","V1_dac_method not recognized");</v>
      </c>
      <c r="B79" s="23" t="str">
        <f t="shared" si="13"/>
        <v xml:space="preserve">\subsection{SD-009}
\begin{itemize}
  \item Interface Message:\\[1em]\textbf{V1\_dac\_method not recognized}
  \item Development Assertion: NO
  \item Implementation Assertion: NO
  \item Runtime Assertion: YES
\end{itemize}
</v>
      </c>
      <c r="C79" s="18" t="s">
        <v>83</v>
      </c>
      <c r="D79" s="18" t="s">
        <v>3</v>
      </c>
      <c r="E79" s="18" t="s">
        <v>3</v>
      </c>
      <c r="F79" s="18" t="s">
        <v>2</v>
      </c>
      <c r="G79" s="24">
        <v>0</v>
      </c>
      <c r="H79" s="25" t="s">
        <v>84</v>
      </c>
      <c r="I79" s="18"/>
      <c r="J79" s="25"/>
    </row>
    <row r="80" spans="1:10" s="26" customFormat="1" ht="15" customHeight="1" x14ac:dyDescent="0.25">
      <c r="A80" s="23" t="str">
        <f t="shared" si="12"/>
        <v xml:space="preserve">  MessagesDevelopmentAssert.QuickPutEntry_bool("SD-034", false);
  MessagesImplementationAssert.QuickPutEntry_bool("SD-034", false);
  MessagesRuntimeAssert.QuickPutEntry_bool("SD-034", true);
  MessagesDisabling.QuickPutEntry_int("SD-034", 0);
  MessagesCount.QuickPutEntry_int("SD-034", 0);
  MessagesLabel.QuickPutEntry_string("SD-034","V1_act_method not recognized");</v>
      </c>
      <c r="B80" s="23" t="str">
        <f t="shared" si="13"/>
        <v xml:space="preserve">\subsection{SD-034}
\begin{itemize}
  \item Interface Message:\\[1em]\textbf{V1\_act\_method not recognized}
  \item Development Assertion: NO
  \item Implementation Assertion: NO
  \item Runtime Assertion: YES
\end{itemize}
</v>
      </c>
      <c r="C80" s="18" t="s">
        <v>120</v>
      </c>
      <c r="D80" s="18" t="s">
        <v>3</v>
      </c>
      <c r="E80" s="18" t="s">
        <v>3</v>
      </c>
      <c r="F80" s="18" t="s">
        <v>2</v>
      </c>
      <c r="G80" s="24">
        <v>0</v>
      </c>
      <c r="H80" s="25" t="s">
        <v>121</v>
      </c>
      <c r="I80" s="18"/>
      <c r="J80" s="25"/>
    </row>
    <row r="81" spans="1:10" s="26" customFormat="1" ht="15" customHeight="1" x14ac:dyDescent="0.25">
      <c r="A81" s="23" t="str">
        <f t="shared" si="12"/>
        <v xml:space="preserve">  MessagesDevelopmentAssert.QuickPutEntry_bool("SD-035", false);
  MessagesImplementationAssert.QuickPutEntry_bool("SD-035", false);
  MessagesRuntimeAssert.QuickPutEntry_bool("SD-035", true);
  MessagesDisabling.QuickPutEntry_int("SD-035", 0);
  MessagesCount.QuickPutEntry_int("SD-035", 0);
  MessagesLabel.QuickPutEntry_string("SD-035","V1_external_excitation_method not recognized");</v>
      </c>
      <c r="B81" s="23" t="str">
        <f t="shared" si="13"/>
        <v xml:space="preserve">\subsection{SD-035}
\begin{itemize}
  \item Interface Message:\\[1em]\textbf{V1\_external\_excitation\_method not recognized}
  \item Development Assertion: NO
  \item Implementation Assertion: NO
  \item Runtime Assertion: YES
\end{itemize}
</v>
      </c>
      <c r="C81" s="18" t="s">
        <v>122</v>
      </c>
      <c r="D81" s="18" t="s">
        <v>3</v>
      </c>
      <c r="E81" s="18" t="s">
        <v>3</v>
      </c>
      <c r="F81" s="18" t="s">
        <v>2</v>
      </c>
      <c r="G81" s="24">
        <v>0</v>
      </c>
      <c r="H81" s="25" t="s">
        <v>123</v>
      </c>
      <c r="I81" s="18"/>
      <c r="J81" s="25"/>
    </row>
    <row r="82" spans="1:10" s="26" customFormat="1" ht="15" customHeight="1" x14ac:dyDescent="0.25">
      <c r="A82" s="23" t="str">
        <f t="shared" si="12"/>
        <v xml:space="preserve">  MessagesDevelopmentAssert.QuickPutEntry_bool("SD-003", false);
  MessagesImplementationAssert.QuickPutEntry_bool("SD-003", false);
  MessagesRuntimeAssert.QuickPutEntry_bool("SD-003", true);
  MessagesDisabling.QuickPutEntry_int("SD-003", 0);
  MessagesCount.QuickPutEntry_int("SD-003", 0);
  MessagesLabel.QuickPutEntry_string("SD-003","MT_act_method not recognized");</v>
      </c>
      <c r="B82" s="23" t="str">
        <f t="shared" si="13"/>
        <v xml:space="preserve">\subsection{SD-003}
\begin{itemize}
  \item Interface Message:\\[1em]\textbf{MT\_act\_method not recognized}
  \item Development Assertion: NO
  \item Implementation Assertion: NO
  \item Runtime Assertion: YES
\end{itemize}
</v>
      </c>
      <c r="C82" s="18" t="s">
        <v>73</v>
      </c>
      <c r="D82" s="18" t="s">
        <v>3</v>
      </c>
      <c r="E82" s="18" t="s">
        <v>3</v>
      </c>
      <c r="F82" s="18" t="s">
        <v>2</v>
      </c>
      <c r="G82" s="24">
        <v>0</v>
      </c>
      <c r="H82" s="25" t="s">
        <v>74</v>
      </c>
      <c r="I82" s="18"/>
      <c r="J82" s="25"/>
    </row>
    <row r="83" spans="1:10" s="26" customFormat="1" ht="15" customHeight="1" x14ac:dyDescent="0.25">
      <c r="A83" s="23" t="str">
        <f t="shared" si="12"/>
        <v xml:space="preserve">  MessagesDevelopmentAssert.QuickPutEntry_bool("SD-007", false);
  MessagesImplementationAssert.QuickPutEntry_bool("SD-007", false);
  MessagesRuntimeAssert.QuickPutEntry_bool("SD-007", true);
  MessagesDisabling.QuickPutEntry_int("SD-007", 0);
  MessagesCount.QuickPutEntry_int("SD-007", 0);
  MessagesLabel.QuickPutEntry_string("SD-007","V1MT_connection_method not recognized");</v>
      </c>
      <c r="B83" s="23" t="str">
        <f t="shared" si="13"/>
        <v xml:space="preserve">\subsection{SD-007}
\begin{itemize}
  \item Interface Message:\\[1em]\textbf{V1MT\_connection\_method not recognized}
  \item Development Assertion: NO
  \item Implementation Assertion: NO
  \item Runtime Assertion: YES
\end{itemize}
</v>
      </c>
      <c r="C83" s="18" t="s">
        <v>81</v>
      </c>
      <c r="D83" s="18" t="s">
        <v>3</v>
      </c>
      <c r="E83" s="18" t="s">
        <v>3</v>
      </c>
      <c r="F83" s="18" t="s">
        <v>2</v>
      </c>
      <c r="G83" s="24">
        <v>0</v>
      </c>
      <c r="H83" s="25" t="s">
        <v>82</v>
      </c>
      <c r="I83" s="18"/>
      <c r="J83" s="25"/>
    </row>
    <row r="84" spans="1:10" s="26" customFormat="1" ht="15" customHeight="1" x14ac:dyDescent="0.25">
      <c r="A84" s="23" t="str">
        <f t="shared" si="12"/>
        <v xml:space="preserve">  MessagesDevelopmentAssert.QuickPutEntry_bool("SD-017", false);
  MessagesImplementationAssert.QuickPutEntry_bool("SD-017", false);
  MessagesRuntimeAssert.QuickPutEntry_bool("SD-017", true);
  MessagesDisabling.QuickPutEntry_int("SD-017", 0);
  MessagesCount.QuickPutEntry_int("SD-017", 0);
  MessagesLabel.QuickPutEntry_string("SD-017","MT_act_method not recognized");</v>
      </c>
      <c r="B84" s="23" t="str">
        <f t="shared" si="13"/>
        <v xml:space="preserve">\subsection{SD-017}
\begin{itemize}
  \item Interface Message:\\[1em]\textbf{MT\_act\_method not recognized}
  \item Development Assertion: NO
  \item Implementation Assertion: NO
  \item Runtime Assertion: YES
\end{itemize}
</v>
      </c>
      <c r="C84" s="18" t="s">
        <v>97</v>
      </c>
      <c r="D84" s="18" t="s">
        <v>3</v>
      </c>
      <c r="E84" s="18" t="s">
        <v>3</v>
      </c>
      <c r="F84" s="18" t="s">
        <v>2</v>
      </c>
      <c r="G84" s="24">
        <v>0</v>
      </c>
      <c r="H84" s="25" t="s">
        <v>74</v>
      </c>
      <c r="I84" s="18"/>
      <c r="J84" s="25"/>
    </row>
    <row r="85" spans="1:10" s="26" customFormat="1" ht="15" customHeight="1" x14ac:dyDescent="0.25">
      <c r="A85" s="23" t="str">
        <f t="shared" si="12"/>
        <v xml:space="preserve">  MessagesDevelopmentAssert.QuickPutEntry_bool("SD-018", false);
  MessagesImplementationAssert.QuickPutEntry_bool("SD-018", false);
  MessagesRuntimeAssert.QuickPutEntry_bool("SD-018", true);
  MessagesDisabling.QuickPutEntry_int("SD-018", 0);
  MessagesCount.QuickPutEntry_int("SD-018", 0);
  MessagesLabel.QuickPutEntry_string("SD-018","MT_dac_method not recognized");</v>
      </c>
      <c r="B85" s="23" t="str">
        <f t="shared" si="13"/>
        <v xml:space="preserve">\subsection{SD-018}
\begin{itemize}
  \item Interface Message:\\[1em]\textbf{MT\_dac\_method not recognized}
  \item Development Assertion: NO
  \item Implementation Assertion: NO
  \item Runtime Assertion: YES
\end{itemize}
</v>
      </c>
      <c r="C85" s="18" t="s">
        <v>98</v>
      </c>
      <c r="D85" s="18" t="s">
        <v>3</v>
      </c>
      <c r="E85" s="18" t="s">
        <v>3</v>
      </c>
      <c r="F85" s="18" t="s">
        <v>2</v>
      </c>
      <c r="G85" s="24">
        <v>0</v>
      </c>
      <c r="H85" s="25" t="s">
        <v>99</v>
      </c>
      <c r="I85" s="18"/>
      <c r="J85" s="25"/>
    </row>
    <row r="86" spans="1:10" s="26" customFormat="1" ht="15" customHeight="1" x14ac:dyDescent="0.25">
      <c r="A86" s="23" t="str">
        <f>IF(C86&lt;&gt;"",IF(C86="#","  // "&amp;H86,
"  MessagesDevelopmentAssert.QuickPutEntry_bool("""&amp;C86&amp;""", "&amp;IF(D86="F","false",IF(D86="T","true","ERROR"))&amp;");"&amp;CHAR(10)&amp;
"  MessagesImplementationAssert.QuickPutEntry_bool("""&amp;C86&amp;""", "&amp;IF(E86="F","false",IF(E86="T","true","ERROR"))&amp;");"&amp;CHAR(10)&amp;
"  MessagesRuntimeAssert.QuickPutEntry_bool("""&amp;C86&amp;""", "&amp;IF(F86="F","false",IF(F86="T","true","ERROR"))&amp;");"&amp;CHAR(10)&amp;
"  MessagesDisabling.QuickPutEntry_int("""&amp;C86&amp;""", "&amp;G86&amp;");"&amp; CHAR(10) &amp;
"  MessagesCount.QuickPutEntry_int("""&amp;C86&amp;""", 0);"&amp;CHAR(10)&amp;
"  MessagesLabel.QuickPutEntry_string("""&amp;C86&amp;""","""&amp;H86&amp;""");"&amp;
IF(J86&lt;&gt;"",CHAR(10) &amp; "  MessagesText.QuickPutEntry_string("""&amp;C86&amp;""", """&amp;SUBSTITUTE(J86,"""","\""")&amp;""");","")
),"")</f>
        <v xml:space="preserve">  MessagesDevelopmentAssert.QuickPutEntry_bool("RP-001", false);
  MessagesImplementationAssert.QuickPutEntry_bool("RP-001", false);
  MessagesRuntimeAssert.QuickPutEntry_bool("RP-001", true);
  MessagesDisabling.QuickPutEntry_int("RP-001", 0);
  MessagesCount.QuickPutEntry_int("RP-001", 0);
  MessagesLabel.QuickPutEntry_string("RP-001","Trying to open an already opened stream");</v>
      </c>
      <c r="B86" s="23" t="str">
        <f>IF(C86&lt;&gt;"",IF(C86="#","\section{"&amp;H86&amp;"}" &amp; CHAR(10),
"\subsection{" &amp; C86 &amp; "}" &amp; CHAR(10) &amp; "\begin{itemize}" &amp; CHAR(10) &amp;
"  \item Interface Message:\\[1em]\textbf{" &amp; SUBSTITUTE(H86,"_","\_") &amp; "}" &amp; CHAR(10) &amp;
"  \item Development Assertion: " &amp; IF(D86="F","NO",IF(D86="T","YES","ERROR")) &amp; CHAR(10) &amp;
"  \item Implementation Assertion: " &amp; IF(E86="F","NO",IF(E86="T","YES","ERROR")) &amp; CHAR(10) &amp;
"  \item Runtime Assertion: " &amp; IF(F86="F","NO",IF(F86="T","YES","ERROR")) &amp; CHAR(10) &amp;
IF(J86&lt;&gt;"","  \item Message Description:\\[1em]"&amp; SUBSTITUTE(J86,"_","\_")  &amp;CHAR(10),"") &amp;
"\end{itemize}"&amp;CHAR(10)),"")</f>
        <v xml:space="preserve">\subsection{RP-001}
\begin{itemize}
  \item Interface Message:\\[1em]\textbf{Trying to open an already opened stream}
  \item Development Assertion: NO
  \item Implementation Assertion: NO
  \item Runtime Assertion: YES
\end{itemize}
</v>
      </c>
      <c r="C86" s="18" t="s">
        <v>64</v>
      </c>
      <c r="D86" s="18" t="s">
        <v>3</v>
      </c>
      <c r="E86" s="18" t="s">
        <v>3</v>
      </c>
      <c r="F86" s="18" t="s">
        <v>2</v>
      </c>
      <c r="G86" s="24">
        <v>0</v>
      </c>
      <c r="H86" s="25" t="s">
        <v>65</v>
      </c>
      <c r="I86" s="24"/>
      <c r="J86" s="25"/>
    </row>
    <row r="87" spans="1:10" s="26" customFormat="1" ht="15" customHeight="1" x14ac:dyDescent="0.25">
      <c r="A87" s="23" t="str">
        <f>IF(C87&lt;&gt;"",IF(C87="#","  // "&amp;H87,
"  MessagesDevelopmentAssert.QuickPutEntry_bool("""&amp;C87&amp;""", "&amp;IF(D87="F","false",IF(D87="T","true","ERROR"))&amp;");"&amp;CHAR(10)&amp;
"  MessagesImplementationAssert.QuickPutEntry_bool("""&amp;C87&amp;""", "&amp;IF(E87="F","false",IF(E87="T","true","ERROR"))&amp;");"&amp;CHAR(10)&amp;
"  MessagesRuntimeAssert.QuickPutEntry_bool("""&amp;C87&amp;""", "&amp;IF(F87="F","false",IF(F87="T","true","ERROR"))&amp;");"&amp;CHAR(10)&amp;
"  MessagesDisabling.QuickPutEntry_int("""&amp;C87&amp;""", "&amp;G87&amp;");"&amp; CHAR(10) &amp;
"  MessagesCount.QuickPutEntry_int("""&amp;C87&amp;""", 0);"&amp;CHAR(10)&amp;
"  MessagesLabel.QuickPutEntry_string("""&amp;C87&amp;""","""&amp;H87&amp;""");"&amp;
IF(J87&lt;&gt;"",CHAR(10) &amp; "  MessagesText.QuickPutEntry_string("""&amp;C87&amp;""", """&amp;SUBSTITUTE(J87,"""","\""")&amp;""");","")
),"")</f>
        <v xml:space="preserve">  MessagesDevelopmentAssert.QuickPutEntry_bool("IN-003", false);
  MessagesImplementationAssert.QuickPutEntry_bool("IN-003", false);
  MessagesRuntimeAssert.QuickPutEntry_bool("IN-003", false);
  MessagesDisabling.QuickPutEntry_int("IN-003", 0);
  MessagesCount.QuickPutEntry_int("IN-003", 0);
  MessagesLabel.QuickPutEntry_string("IN-003","Redefining a previously stored setting");</v>
      </c>
      <c r="B87" s="23" t="str">
        <f>IF(C87&lt;&gt;"",IF(C87="#","\section{"&amp;H87&amp;"}" &amp; CHAR(10),
"\subsection{" &amp; C87 &amp; "}" &amp; CHAR(10) &amp; "\begin{itemize}" &amp; CHAR(10) &amp;
"  \item Interface Message:\\[1em]\textbf{" &amp; SUBSTITUTE(H87,"_","\_") &amp; "}" &amp; CHAR(10) &amp;
"  \item Development Assertion: " &amp; IF(D87="F","NO",IF(D87="T","YES","ERROR")) &amp; CHAR(10) &amp;
"  \item Implementation Assertion: " &amp; IF(E87="F","NO",IF(E87="T","YES","ERROR")) &amp; CHAR(10) &amp;
"  \item Runtime Assertion: " &amp; IF(F87="F","NO",IF(F87="T","YES","ERROR")) &amp; CHAR(10) &amp;
IF(J87&lt;&gt;"","  \item Message Description:\\[1em]"&amp; SUBSTITUTE(J87,"_","\_")  &amp;CHAR(10),"") &amp;
"\end{itemize}"&amp;CHAR(10)),"")</f>
        <v xml:space="preserve">\subsection{IN-003}
\begin{itemize}
  \item Interface Message:\\[1em]\textbf{Redefining a previously stored setting}
  \item Development Assertion: NO
  \item Implementation Assertion: NO
  \item Runtime Assertion: NO
\end{itemize}
</v>
      </c>
      <c r="C87" s="18" t="s">
        <v>7</v>
      </c>
      <c r="D87" s="18" t="s">
        <v>3</v>
      </c>
      <c r="E87" s="18" t="s">
        <v>3</v>
      </c>
      <c r="F87" s="18" t="s">
        <v>3</v>
      </c>
      <c r="G87" s="24">
        <v>0</v>
      </c>
      <c r="H87" s="25" t="s">
        <v>8</v>
      </c>
      <c r="I87" s="18"/>
      <c r="J87" s="25"/>
    </row>
    <row r="88" spans="1:10" ht="15" customHeight="1" x14ac:dyDescent="0.25">
      <c r="A88" s="17" t="str">
        <f t="shared" si="12"/>
        <v/>
      </c>
      <c r="B88" s="17" t="str">
        <f t="shared" si="13"/>
        <v/>
      </c>
    </row>
    <row r="89" spans="1:10" ht="15" customHeight="1" x14ac:dyDescent="0.25">
      <c r="A89" s="17" t="str">
        <f t="shared" si="12"/>
        <v/>
      </c>
      <c r="B89" s="17" t="str">
        <f t="shared" si="13"/>
        <v/>
      </c>
    </row>
    <row r="90" spans="1:10" ht="15" customHeight="1" x14ac:dyDescent="0.25">
      <c r="A90" s="17" t="str">
        <f t="shared" si="12"/>
        <v/>
      </c>
      <c r="B90" s="17" t="str">
        <f t="shared" si="13"/>
        <v/>
      </c>
    </row>
    <row r="91" spans="1:10" ht="15" customHeight="1" x14ac:dyDescent="0.25">
      <c r="A91" s="17" t="str">
        <f t="shared" si="12"/>
        <v/>
      </c>
      <c r="B91" s="17" t="str">
        <f t="shared" si="13"/>
        <v/>
      </c>
    </row>
    <row r="92" spans="1:10" ht="15" customHeight="1" x14ac:dyDescent="0.25">
      <c r="A92" s="17" t="str">
        <f t="shared" si="12"/>
        <v/>
      </c>
      <c r="B92" s="17" t="str">
        <f t="shared" si="13"/>
        <v/>
      </c>
    </row>
    <row r="93" spans="1:10" ht="15" customHeight="1" x14ac:dyDescent="0.25">
      <c r="A93" s="17" t="str">
        <f t="shared" si="12"/>
        <v/>
      </c>
      <c r="B93" s="17" t="str">
        <f t="shared" si="13"/>
        <v/>
      </c>
    </row>
    <row r="94" spans="1:10" ht="15" customHeight="1" x14ac:dyDescent="0.25">
      <c r="A94" s="17" t="str">
        <f t="shared" si="12"/>
        <v/>
      </c>
      <c r="B94" s="17" t="str">
        <f t="shared" si="13"/>
        <v/>
      </c>
    </row>
    <row r="95" spans="1:10" ht="15" customHeight="1" x14ac:dyDescent="0.25">
      <c r="A95" s="17" t="str">
        <f t="shared" si="12"/>
        <v/>
      </c>
      <c r="B95" s="17" t="str">
        <f t="shared" si="13"/>
        <v/>
      </c>
    </row>
    <row r="96" spans="1:10" ht="15" customHeight="1" x14ac:dyDescent="0.25">
      <c r="A96" s="17" t="str">
        <f t="shared" si="12"/>
        <v/>
      </c>
      <c r="B96" s="17" t="str">
        <f t="shared" si="13"/>
        <v/>
      </c>
    </row>
    <row r="97" spans="1:2" ht="15" customHeight="1" x14ac:dyDescent="0.25">
      <c r="A97" s="17" t="str">
        <f t="shared" si="12"/>
        <v/>
      </c>
      <c r="B97" s="17" t="str">
        <f t="shared" si="13"/>
        <v/>
      </c>
    </row>
    <row r="98" spans="1:2" ht="15" customHeight="1" x14ac:dyDescent="0.25">
      <c r="A98" s="17" t="str">
        <f t="shared" si="12"/>
        <v/>
      </c>
      <c r="B98" s="17" t="str">
        <f t="shared" si="13"/>
        <v/>
      </c>
    </row>
    <row r="99" spans="1:2" ht="15" customHeight="1" x14ac:dyDescent="0.25">
      <c r="A99" s="17" t="str">
        <f t="shared" si="12"/>
        <v/>
      </c>
      <c r="B99" s="17" t="str">
        <f t="shared" si="13"/>
        <v/>
      </c>
    </row>
    <row r="100" spans="1:2" ht="15" customHeight="1" x14ac:dyDescent="0.25">
      <c r="A100" s="17" t="str">
        <f t="shared" si="12"/>
        <v/>
      </c>
      <c r="B100" s="17" t="str">
        <f t="shared" si="13"/>
        <v/>
      </c>
    </row>
    <row r="101" spans="1:2" ht="15" customHeight="1" x14ac:dyDescent="0.25">
      <c r="A101" s="17" t="str">
        <f t="shared" si="12"/>
        <v/>
      </c>
      <c r="B101" s="17" t="str">
        <f t="shared" si="13"/>
        <v/>
      </c>
    </row>
    <row r="102" spans="1:2" ht="15" customHeight="1" x14ac:dyDescent="0.25">
      <c r="A102" s="17" t="str">
        <f t="shared" si="12"/>
        <v/>
      </c>
      <c r="B102" s="17" t="str">
        <f t="shared" si="13"/>
        <v/>
      </c>
    </row>
    <row r="103" spans="1:2" ht="15" customHeight="1" x14ac:dyDescent="0.25">
      <c r="A103" s="17" t="str">
        <f t="shared" si="12"/>
        <v/>
      </c>
      <c r="B103" s="17" t="str">
        <f t="shared" si="13"/>
        <v/>
      </c>
    </row>
    <row r="104" spans="1:2" ht="15" customHeight="1" x14ac:dyDescent="0.25">
      <c r="A104" s="17" t="str">
        <f t="shared" si="12"/>
        <v/>
      </c>
      <c r="B104" s="17" t="str">
        <f t="shared" si="13"/>
        <v/>
      </c>
    </row>
    <row r="105" spans="1:2" ht="15" customHeight="1" x14ac:dyDescent="0.25">
      <c r="A105" s="17" t="str">
        <f t="shared" si="12"/>
        <v/>
      </c>
      <c r="B105" s="17" t="str">
        <f t="shared" si="13"/>
        <v/>
      </c>
    </row>
    <row r="106" spans="1:2" ht="15" customHeight="1" x14ac:dyDescent="0.25">
      <c r="A106" s="17" t="str">
        <f t="shared" si="12"/>
        <v/>
      </c>
      <c r="B106" s="17" t="str">
        <f t="shared" si="13"/>
        <v/>
      </c>
    </row>
    <row r="107" spans="1:2" ht="15" customHeight="1" x14ac:dyDescent="0.25">
      <c r="A107" s="17" t="str">
        <f t="shared" si="12"/>
        <v/>
      </c>
      <c r="B107" s="17" t="str">
        <f t="shared" si="13"/>
        <v/>
      </c>
    </row>
    <row r="108" spans="1:2" ht="15" customHeight="1" x14ac:dyDescent="0.25">
      <c r="A108" s="17" t="str">
        <f t="shared" si="12"/>
        <v/>
      </c>
      <c r="B108" s="17" t="str">
        <f t="shared" si="13"/>
        <v/>
      </c>
    </row>
    <row r="109" spans="1:2" ht="15" customHeight="1" x14ac:dyDescent="0.25">
      <c r="A109" s="17" t="str">
        <f t="shared" si="12"/>
        <v/>
      </c>
      <c r="B109" s="17" t="str">
        <f t="shared" si="13"/>
        <v/>
      </c>
    </row>
    <row r="110" spans="1:2" ht="15" customHeight="1" x14ac:dyDescent="0.25">
      <c r="A110" s="17" t="str">
        <f t="shared" si="12"/>
        <v/>
      </c>
      <c r="B110" s="17" t="str">
        <f t="shared" si="13"/>
        <v/>
      </c>
    </row>
    <row r="111" spans="1:2" ht="15" customHeight="1" x14ac:dyDescent="0.25">
      <c r="A111" s="17" t="str">
        <f t="shared" si="12"/>
        <v/>
      </c>
      <c r="B111" s="17" t="str">
        <f t="shared" si="13"/>
        <v/>
      </c>
    </row>
    <row r="112" spans="1:2" ht="15" customHeight="1" x14ac:dyDescent="0.25">
      <c r="A112" s="17" t="str">
        <f t="shared" si="12"/>
        <v/>
      </c>
      <c r="B112" s="17" t="str">
        <f t="shared" si="13"/>
        <v/>
      </c>
    </row>
    <row r="113" spans="1:2" ht="15" customHeight="1" x14ac:dyDescent="0.25">
      <c r="A113" s="17" t="str">
        <f t="shared" si="12"/>
        <v/>
      </c>
      <c r="B113" s="17" t="str">
        <f t="shared" si="13"/>
        <v/>
      </c>
    </row>
    <row r="114" spans="1:2" ht="15" customHeight="1" x14ac:dyDescent="0.25">
      <c r="A114" s="17" t="str">
        <f t="shared" si="12"/>
        <v/>
      </c>
      <c r="B114" s="17" t="str">
        <f t="shared" si="13"/>
        <v/>
      </c>
    </row>
    <row r="115" spans="1:2" ht="15" customHeight="1" x14ac:dyDescent="0.25">
      <c r="A115" s="17" t="str">
        <f t="shared" si="12"/>
        <v/>
      </c>
      <c r="B115" s="17" t="str">
        <f t="shared" si="13"/>
        <v/>
      </c>
    </row>
    <row r="116" spans="1:2" ht="15" customHeight="1" x14ac:dyDescent="0.25">
      <c r="A116" s="17" t="str">
        <f t="shared" si="12"/>
        <v/>
      </c>
      <c r="B116" s="17" t="str">
        <f t="shared" si="13"/>
        <v/>
      </c>
    </row>
    <row r="117" spans="1:2" ht="15" customHeight="1" x14ac:dyDescent="0.25">
      <c r="A117" s="17" t="str">
        <f t="shared" si="12"/>
        <v/>
      </c>
      <c r="B117" s="17" t="str">
        <f t="shared" si="13"/>
        <v/>
      </c>
    </row>
    <row r="118" spans="1:2" ht="15" customHeight="1" x14ac:dyDescent="0.25">
      <c r="A118" s="17" t="str">
        <f t="shared" si="12"/>
        <v/>
      </c>
      <c r="B118" s="17" t="str">
        <f t="shared" si="13"/>
        <v/>
      </c>
    </row>
    <row r="119" spans="1:2" ht="15" customHeight="1" x14ac:dyDescent="0.25">
      <c r="A119" s="17" t="str">
        <f t="shared" si="12"/>
        <v/>
      </c>
      <c r="B119" s="17" t="str">
        <f t="shared" si="13"/>
        <v/>
      </c>
    </row>
    <row r="120" spans="1:2" ht="15" customHeight="1" x14ac:dyDescent="0.25">
      <c r="A120" s="17" t="str">
        <f t="shared" si="12"/>
        <v/>
      </c>
      <c r="B120" s="17" t="str">
        <f t="shared" si="13"/>
        <v/>
      </c>
    </row>
    <row r="121" spans="1:2" ht="15" customHeight="1" x14ac:dyDescent="0.25">
      <c r="A121" s="17" t="str">
        <f t="shared" si="12"/>
        <v/>
      </c>
      <c r="B121" s="17" t="str">
        <f t="shared" si="13"/>
        <v/>
      </c>
    </row>
    <row r="122" spans="1:2" ht="15" customHeight="1" x14ac:dyDescent="0.25">
      <c r="A122" s="17" t="str">
        <f t="shared" si="12"/>
        <v/>
      </c>
      <c r="B122" s="17" t="str">
        <f t="shared" si="13"/>
        <v/>
      </c>
    </row>
    <row r="123" spans="1:2" ht="15" customHeight="1" x14ac:dyDescent="0.25">
      <c r="A123" s="17" t="str">
        <f t="shared" si="12"/>
        <v/>
      </c>
      <c r="B123" s="17" t="str">
        <f t="shared" si="13"/>
        <v/>
      </c>
    </row>
    <row r="124" spans="1:2" ht="15" customHeight="1" x14ac:dyDescent="0.25">
      <c r="A124" s="17" t="str">
        <f t="shared" si="12"/>
        <v/>
      </c>
      <c r="B124" s="17" t="str">
        <f t="shared" si="13"/>
        <v/>
      </c>
    </row>
    <row r="125" spans="1:2" ht="15" customHeight="1" x14ac:dyDescent="0.25">
      <c r="A125" s="17" t="str">
        <f t="shared" si="12"/>
        <v/>
      </c>
      <c r="B125" s="17" t="str">
        <f t="shared" si="13"/>
        <v/>
      </c>
    </row>
    <row r="126" spans="1:2" ht="15" customHeight="1" x14ac:dyDescent="0.25">
      <c r="A126" s="17" t="str">
        <f t="shared" si="12"/>
        <v/>
      </c>
      <c r="B126" s="17" t="str">
        <f t="shared" si="13"/>
        <v/>
      </c>
    </row>
    <row r="127" spans="1:2" ht="15" customHeight="1" x14ac:dyDescent="0.25">
      <c r="A127" s="17" t="str">
        <f t="shared" si="12"/>
        <v/>
      </c>
      <c r="B127" s="17" t="str">
        <f t="shared" si="13"/>
        <v/>
      </c>
    </row>
    <row r="128" spans="1:2" ht="15" customHeight="1" x14ac:dyDescent="0.25">
      <c r="A128" s="17" t="str">
        <f t="shared" si="12"/>
        <v/>
      </c>
      <c r="B128" s="17" t="str">
        <f t="shared" si="13"/>
        <v/>
      </c>
    </row>
    <row r="129" spans="1:2" ht="15" customHeight="1" x14ac:dyDescent="0.25">
      <c r="A129" s="17" t="str">
        <f t="shared" si="12"/>
        <v/>
      </c>
      <c r="B129" s="17" t="str">
        <f t="shared" si="13"/>
        <v/>
      </c>
    </row>
    <row r="130" spans="1:2" ht="15" customHeight="1" x14ac:dyDescent="0.25">
      <c r="A130" s="17" t="str">
        <f t="shared" si="12"/>
        <v/>
      </c>
      <c r="B130" s="17" t="str">
        <f t="shared" si="13"/>
        <v/>
      </c>
    </row>
    <row r="131" spans="1:2" ht="15" customHeight="1" x14ac:dyDescent="0.25">
      <c r="A131" s="17" t="str">
        <f t="shared" si="12"/>
        <v/>
      </c>
      <c r="B131" s="17" t="str">
        <f t="shared" si="13"/>
        <v/>
      </c>
    </row>
    <row r="132" spans="1:2" ht="15" customHeight="1" x14ac:dyDescent="0.25">
      <c r="A132" s="17" t="str">
        <f t="shared" si="12"/>
        <v/>
      </c>
      <c r="B132" s="17" t="str">
        <f t="shared" si="13"/>
        <v/>
      </c>
    </row>
    <row r="133" spans="1:2" ht="15" customHeight="1" x14ac:dyDescent="0.25">
      <c r="A133" s="17" t="str">
        <f t="shared" si="12"/>
        <v/>
      </c>
      <c r="B133" s="17" t="str">
        <f t="shared" si="13"/>
        <v/>
      </c>
    </row>
    <row r="134" spans="1:2" ht="15" customHeight="1" x14ac:dyDescent="0.25">
      <c r="A134" s="17" t="str">
        <f t="shared" si="12"/>
        <v/>
      </c>
      <c r="B134" s="17" t="str">
        <f t="shared" si="13"/>
        <v/>
      </c>
    </row>
    <row r="135" spans="1:2" ht="15" customHeight="1" x14ac:dyDescent="0.25">
      <c r="A135" s="17" t="str">
        <f t="shared" si="12"/>
        <v/>
      </c>
      <c r="B135" s="17" t="str">
        <f t="shared" si="13"/>
        <v/>
      </c>
    </row>
    <row r="136" spans="1:2" ht="15" customHeight="1" x14ac:dyDescent="0.25">
      <c r="A136" s="17" t="str">
        <f t="shared" si="12"/>
        <v/>
      </c>
      <c r="B136" s="17" t="str">
        <f t="shared" si="13"/>
        <v/>
      </c>
    </row>
    <row r="137" spans="1:2" ht="15" customHeight="1" x14ac:dyDescent="0.25">
      <c r="A137" s="17" t="str">
        <f t="shared" ref="A137:A200" si="14">IF(C137&lt;&gt;"",IF(C137="#","  // "&amp;H137,
"  MessagesDevelopmentAssert.QuickPutEntry_bool("""&amp;C137&amp;""", "&amp;IF(D137="F","false",IF(D137="T","true","ERROR"))&amp;");"&amp;CHAR(10)&amp;
"  MessagesImplementationAssert.QuickPutEntry_bool("""&amp;C137&amp;""", "&amp;IF(E137="F","false",IF(E137="T","true","ERROR"))&amp;");"&amp;CHAR(10)&amp;
"  MessagesRuntimeAssert.QuickPutEntry_bool("""&amp;C137&amp;""", "&amp;IF(F137="F","false",IF(F137="T","true","ERROR"))&amp;");"&amp;CHAR(10)&amp;
"  MessagesDisabling.QuickPutEntry_int("""&amp;C137&amp;""", "&amp;G137&amp;");"&amp; CHAR(10) &amp;
"  MessagesCount.QuickPutEntry_int("""&amp;C137&amp;""", 0);"&amp;CHAR(10)&amp;
"  MessagesLabel.QuickPutEntry_string("""&amp;C137&amp;""","""&amp;H137&amp;""");"&amp;
IF(J137&lt;&gt;"",CHAR(10) &amp; "  MessagesText.QuickPutEntry_string("""&amp;C137&amp;""", """&amp;SUBSTITUTE(J137,"""","\""")&amp;""");","")
),"")</f>
        <v/>
      </c>
      <c r="B137" s="17" t="str">
        <f t="shared" ref="B137:B200" si="15">IF(C137&lt;&gt;"",IF(C137="#","\section{"&amp;H137&amp;"}" &amp; CHAR(10),
"\subsection{" &amp; C137 &amp; "}" &amp; CHAR(10) &amp; "\begin{itemize}" &amp; CHAR(10) &amp;
"  \item Interface Message:\\[1em]\textbf{" &amp; SUBSTITUTE(H137,"_","\_") &amp; "}" &amp; CHAR(10) &amp;
"  \item Development Assertion: " &amp; IF(D137="F","NO",IF(D137="T","YES","ERROR")) &amp; CHAR(10) &amp;
"  \item Implementation Assertion: " &amp; IF(E137="F","NO",IF(E137="T","YES","ERROR")) &amp; CHAR(10) &amp;
"  \item Runtime Assertion: " &amp; IF(F137="F","NO",IF(F137="T","YES","ERROR")) &amp; CHAR(10) &amp;
IF(J137&lt;&gt;"","  \item Message Description:\\[1em]"&amp; SUBSTITUTE(J137,"_","\_")  &amp;CHAR(10),"") &amp;
"\end{itemize}"&amp;CHAR(10)),"")</f>
        <v/>
      </c>
    </row>
    <row r="138" spans="1:2" ht="15" customHeight="1" x14ac:dyDescent="0.25">
      <c r="A138" s="17" t="str">
        <f t="shared" si="14"/>
        <v/>
      </c>
      <c r="B138" s="17" t="str">
        <f t="shared" si="15"/>
        <v/>
      </c>
    </row>
    <row r="139" spans="1:2" ht="15" customHeight="1" x14ac:dyDescent="0.25">
      <c r="A139" s="17" t="str">
        <f t="shared" si="14"/>
        <v/>
      </c>
      <c r="B139" s="17" t="str">
        <f t="shared" si="15"/>
        <v/>
      </c>
    </row>
    <row r="140" spans="1:2" ht="15" customHeight="1" x14ac:dyDescent="0.25">
      <c r="A140" s="17" t="str">
        <f t="shared" si="14"/>
        <v/>
      </c>
      <c r="B140" s="17" t="str">
        <f t="shared" si="15"/>
        <v/>
      </c>
    </row>
    <row r="141" spans="1:2" ht="15" customHeight="1" x14ac:dyDescent="0.25">
      <c r="A141" s="17" t="str">
        <f t="shared" si="14"/>
        <v/>
      </c>
      <c r="B141" s="17" t="str">
        <f t="shared" si="15"/>
        <v/>
      </c>
    </row>
    <row r="142" spans="1:2" ht="15" customHeight="1" x14ac:dyDescent="0.25">
      <c r="A142" s="17" t="str">
        <f t="shared" si="14"/>
        <v/>
      </c>
      <c r="B142" s="17" t="str">
        <f t="shared" si="15"/>
        <v/>
      </c>
    </row>
    <row r="143" spans="1:2" ht="15" customHeight="1" x14ac:dyDescent="0.25">
      <c r="A143" s="17" t="str">
        <f t="shared" si="14"/>
        <v/>
      </c>
      <c r="B143" s="17" t="str">
        <f t="shared" si="15"/>
        <v/>
      </c>
    </row>
    <row r="144" spans="1:2" ht="15" customHeight="1" x14ac:dyDescent="0.25">
      <c r="A144" s="17" t="str">
        <f t="shared" si="14"/>
        <v/>
      </c>
      <c r="B144" s="17" t="str">
        <f t="shared" si="15"/>
        <v/>
      </c>
    </row>
    <row r="145" spans="1:2" ht="15" customHeight="1" x14ac:dyDescent="0.25">
      <c r="A145" s="17" t="str">
        <f t="shared" si="14"/>
        <v/>
      </c>
      <c r="B145" s="17" t="str">
        <f t="shared" si="15"/>
        <v/>
      </c>
    </row>
    <row r="146" spans="1:2" ht="15" customHeight="1" x14ac:dyDescent="0.25">
      <c r="A146" s="17" t="str">
        <f t="shared" si="14"/>
        <v/>
      </c>
      <c r="B146" s="17" t="str">
        <f t="shared" si="15"/>
        <v/>
      </c>
    </row>
    <row r="147" spans="1:2" ht="15" customHeight="1" x14ac:dyDescent="0.25">
      <c r="A147" s="17" t="str">
        <f t="shared" si="14"/>
        <v/>
      </c>
      <c r="B147" s="17" t="str">
        <f t="shared" si="15"/>
        <v/>
      </c>
    </row>
    <row r="148" spans="1:2" ht="15" customHeight="1" x14ac:dyDescent="0.25">
      <c r="A148" s="17" t="str">
        <f t="shared" si="14"/>
        <v/>
      </c>
      <c r="B148" s="17" t="str">
        <f t="shared" si="15"/>
        <v/>
      </c>
    </row>
    <row r="149" spans="1:2" ht="15" customHeight="1" x14ac:dyDescent="0.25">
      <c r="A149" s="17" t="str">
        <f t="shared" si="14"/>
        <v/>
      </c>
      <c r="B149" s="17" t="str">
        <f t="shared" si="15"/>
        <v/>
      </c>
    </row>
    <row r="150" spans="1:2" ht="15" customHeight="1" x14ac:dyDescent="0.25">
      <c r="A150" s="17" t="str">
        <f t="shared" si="14"/>
        <v/>
      </c>
      <c r="B150" s="17" t="str">
        <f t="shared" si="15"/>
        <v/>
      </c>
    </row>
    <row r="151" spans="1:2" ht="15" customHeight="1" x14ac:dyDescent="0.25">
      <c r="A151" s="17" t="str">
        <f t="shared" si="14"/>
        <v/>
      </c>
      <c r="B151" s="17" t="str">
        <f t="shared" si="15"/>
        <v/>
      </c>
    </row>
    <row r="152" spans="1:2" ht="15" customHeight="1" x14ac:dyDescent="0.25">
      <c r="A152" s="17" t="str">
        <f t="shared" si="14"/>
        <v/>
      </c>
      <c r="B152" s="17" t="str">
        <f t="shared" si="15"/>
        <v/>
      </c>
    </row>
    <row r="153" spans="1:2" ht="15" customHeight="1" x14ac:dyDescent="0.25">
      <c r="A153" s="17" t="str">
        <f t="shared" si="14"/>
        <v/>
      </c>
      <c r="B153" s="17" t="str">
        <f t="shared" si="15"/>
        <v/>
      </c>
    </row>
    <row r="154" spans="1:2" ht="15" customHeight="1" x14ac:dyDescent="0.25">
      <c r="A154" s="17" t="str">
        <f t="shared" si="14"/>
        <v/>
      </c>
      <c r="B154" s="17" t="str">
        <f t="shared" si="15"/>
        <v/>
      </c>
    </row>
    <row r="155" spans="1:2" ht="15" customHeight="1" x14ac:dyDescent="0.25">
      <c r="A155" s="17" t="str">
        <f t="shared" si="14"/>
        <v/>
      </c>
      <c r="B155" s="17" t="str">
        <f t="shared" si="15"/>
        <v/>
      </c>
    </row>
    <row r="156" spans="1:2" ht="15" customHeight="1" x14ac:dyDescent="0.25">
      <c r="A156" s="17" t="str">
        <f t="shared" si="14"/>
        <v/>
      </c>
      <c r="B156" s="17" t="str">
        <f t="shared" si="15"/>
        <v/>
      </c>
    </row>
    <row r="157" spans="1:2" ht="15" customHeight="1" x14ac:dyDescent="0.25">
      <c r="A157" s="17" t="str">
        <f t="shared" si="14"/>
        <v/>
      </c>
      <c r="B157" s="17" t="str">
        <f t="shared" si="15"/>
        <v/>
      </c>
    </row>
    <row r="158" spans="1:2" ht="15" customHeight="1" x14ac:dyDescent="0.25">
      <c r="A158" s="17" t="str">
        <f t="shared" si="14"/>
        <v/>
      </c>
      <c r="B158" s="17" t="str">
        <f t="shared" si="15"/>
        <v/>
      </c>
    </row>
    <row r="159" spans="1:2" ht="15" customHeight="1" x14ac:dyDescent="0.25">
      <c r="A159" s="17" t="str">
        <f t="shared" si="14"/>
        <v/>
      </c>
      <c r="B159" s="17" t="str">
        <f t="shared" si="15"/>
        <v/>
      </c>
    </row>
    <row r="160" spans="1:2" ht="15" customHeight="1" x14ac:dyDescent="0.25">
      <c r="A160" s="17" t="str">
        <f t="shared" si="14"/>
        <v/>
      </c>
      <c r="B160" s="17" t="str">
        <f t="shared" si="15"/>
        <v/>
      </c>
    </row>
    <row r="161" spans="1:2" ht="15" customHeight="1" x14ac:dyDescent="0.25">
      <c r="A161" s="17" t="str">
        <f t="shared" si="14"/>
        <v/>
      </c>
      <c r="B161" s="17" t="str">
        <f t="shared" si="15"/>
        <v/>
      </c>
    </row>
    <row r="162" spans="1:2" ht="15" customHeight="1" x14ac:dyDescent="0.25">
      <c r="A162" s="17" t="str">
        <f t="shared" si="14"/>
        <v/>
      </c>
      <c r="B162" s="17" t="str">
        <f t="shared" si="15"/>
        <v/>
      </c>
    </row>
    <row r="163" spans="1:2" ht="15" customHeight="1" x14ac:dyDescent="0.25">
      <c r="A163" s="17" t="str">
        <f t="shared" si="14"/>
        <v/>
      </c>
      <c r="B163" s="17" t="str">
        <f t="shared" si="15"/>
        <v/>
      </c>
    </row>
    <row r="164" spans="1:2" ht="15" customHeight="1" x14ac:dyDescent="0.25">
      <c r="A164" s="17" t="str">
        <f t="shared" si="14"/>
        <v/>
      </c>
      <c r="B164" s="17" t="str">
        <f t="shared" si="15"/>
        <v/>
      </c>
    </row>
    <row r="165" spans="1:2" ht="15" customHeight="1" x14ac:dyDescent="0.25">
      <c r="A165" s="17" t="str">
        <f t="shared" si="14"/>
        <v/>
      </c>
      <c r="B165" s="17" t="str">
        <f t="shared" si="15"/>
        <v/>
      </c>
    </row>
    <row r="166" spans="1:2" ht="15" customHeight="1" x14ac:dyDescent="0.25">
      <c r="A166" s="17" t="str">
        <f t="shared" si="14"/>
        <v/>
      </c>
      <c r="B166" s="17" t="str">
        <f t="shared" si="15"/>
        <v/>
      </c>
    </row>
    <row r="167" spans="1:2" ht="15" customHeight="1" x14ac:dyDescent="0.25">
      <c r="A167" s="17" t="str">
        <f t="shared" si="14"/>
        <v/>
      </c>
      <c r="B167" s="17" t="str">
        <f t="shared" si="15"/>
        <v/>
      </c>
    </row>
    <row r="168" spans="1:2" ht="15" customHeight="1" x14ac:dyDescent="0.25">
      <c r="A168" s="17" t="str">
        <f t="shared" si="14"/>
        <v/>
      </c>
      <c r="B168" s="17" t="str">
        <f t="shared" si="15"/>
        <v/>
      </c>
    </row>
    <row r="169" spans="1:2" ht="15" customHeight="1" x14ac:dyDescent="0.25">
      <c r="A169" s="17" t="str">
        <f t="shared" si="14"/>
        <v/>
      </c>
      <c r="B169" s="17" t="str">
        <f t="shared" si="15"/>
        <v/>
      </c>
    </row>
    <row r="170" spans="1:2" ht="15" customHeight="1" x14ac:dyDescent="0.25">
      <c r="A170" s="17" t="str">
        <f t="shared" si="14"/>
        <v/>
      </c>
      <c r="B170" s="17" t="str">
        <f t="shared" si="15"/>
        <v/>
      </c>
    </row>
    <row r="171" spans="1:2" ht="15" customHeight="1" x14ac:dyDescent="0.25">
      <c r="A171" s="17" t="str">
        <f t="shared" si="14"/>
        <v/>
      </c>
      <c r="B171" s="17" t="str">
        <f t="shared" si="15"/>
        <v/>
      </c>
    </row>
    <row r="172" spans="1:2" ht="15" customHeight="1" x14ac:dyDescent="0.25">
      <c r="A172" s="17" t="str">
        <f t="shared" si="14"/>
        <v/>
      </c>
      <c r="B172" s="17" t="str">
        <f t="shared" si="15"/>
        <v/>
      </c>
    </row>
    <row r="173" spans="1:2" ht="15" customHeight="1" x14ac:dyDescent="0.25">
      <c r="A173" s="17" t="str">
        <f t="shared" si="14"/>
        <v/>
      </c>
      <c r="B173" s="17" t="str">
        <f t="shared" si="15"/>
        <v/>
      </c>
    </row>
    <row r="174" spans="1:2" ht="15" customHeight="1" x14ac:dyDescent="0.25">
      <c r="A174" s="17" t="str">
        <f t="shared" si="14"/>
        <v/>
      </c>
      <c r="B174" s="17" t="str">
        <f t="shared" si="15"/>
        <v/>
      </c>
    </row>
    <row r="175" spans="1:2" ht="15" customHeight="1" x14ac:dyDescent="0.25">
      <c r="A175" s="17" t="str">
        <f t="shared" si="14"/>
        <v/>
      </c>
      <c r="B175" s="17" t="str">
        <f t="shared" si="15"/>
        <v/>
      </c>
    </row>
    <row r="176" spans="1:2" ht="15" customHeight="1" x14ac:dyDescent="0.25">
      <c r="A176" s="17" t="str">
        <f t="shared" si="14"/>
        <v/>
      </c>
      <c r="B176" s="17" t="str">
        <f t="shared" si="15"/>
        <v/>
      </c>
    </row>
    <row r="177" spans="1:2" ht="15" customHeight="1" x14ac:dyDescent="0.25">
      <c r="A177" s="17" t="str">
        <f t="shared" si="14"/>
        <v/>
      </c>
      <c r="B177" s="17" t="str">
        <f t="shared" si="15"/>
        <v/>
      </c>
    </row>
    <row r="178" spans="1:2" ht="15" customHeight="1" x14ac:dyDescent="0.25">
      <c r="A178" s="17" t="str">
        <f t="shared" si="14"/>
        <v/>
      </c>
      <c r="B178" s="17" t="str">
        <f t="shared" si="15"/>
        <v/>
      </c>
    </row>
    <row r="179" spans="1:2" ht="15" customHeight="1" x14ac:dyDescent="0.25">
      <c r="A179" s="17" t="str">
        <f t="shared" si="14"/>
        <v/>
      </c>
      <c r="B179" s="17" t="str">
        <f t="shared" si="15"/>
        <v/>
      </c>
    </row>
    <row r="180" spans="1:2" ht="15" customHeight="1" x14ac:dyDescent="0.25">
      <c r="A180" s="17" t="str">
        <f t="shared" si="14"/>
        <v/>
      </c>
      <c r="B180" s="17" t="str">
        <f t="shared" si="15"/>
        <v/>
      </c>
    </row>
    <row r="181" spans="1:2" ht="15" customHeight="1" x14ac:dyDescent="0.25">
      <c r="A181" s="17" t="str">
        <f t="shared" si="14"/>
        <v/>
      </c>
      <c r="B181" s="17" t="str">
        <f t="shared" si="15"/>
        <v/>
      </c>
    </row>
    <row r="182" spans="1:2" ht="15" customHeight="1" x14ac:dyDescent="0.25">
      <c r="A182" s="17" t="str">
        <f t="shared" si="14"/>
        <v/>
      </c>
      <c r="B182" s="17" t="str">
        <f t="shared" si="15"/>
        <v/>
      </c>
    </row>
    <row r="183" spans="1:2" ht="15" customHeight="1" x14ac:dyDescent="0.25">
      <c r="A183" s="17" t="str">
        <f t="shared" si="14"/>
        <v/>
      </c>
      <c r="B183" s="17" t="str">
        <f t="shared" si="15"/>
        <v/>
      </c>
    </row>
    <row r="184" spans="1:2" ht="15" customHeight="1" x14ac:dyDescent="0.25">
      <c r="A184" s="17" t="str">
        <f t="shared" si="14"/>
        <v/>
      </c>
      <c r="B184" s="17" t="str">
        <f t="shared" si="15"/>
        <v/>
      </c>
    </row>
    <row r="185" spans="1:2" ht="15" customHeight="1" x14ac:dyDescent="0.25">
      <c r="A185" s="17" t="str">
        <f t="shared" si="14"/>
        <v/>
      </c>
      <c r="B185" s="17" t="str">
        <f t="shared" si="15"/>
        <v/>
      </c>
    </row>
    <row r="186" spans="1:2" ht="15" customHeight="1" x14ac:dyDescent="0.25">
      <c r="A186" s="17" t="str">
        <f t="shared" si="14"/>
        <v/>
      </c>
      <c r="B186" s="17" t="str">
        <f t="shared" si="15"/>
        <v/>
      </c>
    </row>
    <row r="187" spans="1:2" ht="15" customHeight="1" x14ac:dyDescent="0.25">
      <c r="A187" s="17" t="str">
        <f t="shared" si="14"/>
        <v/>
      </c>
      <c r="B187" s="17" t="str">
        <f t="shared" si="15"/>
        <v/>
      </c>
    </row>
    <row r="188" spans="1:2" ht="15" customHeight="1" x14ac:dyDescent="0.25">
      <c r="A188" s="17" t="str">
        <f t="shared" si="14"/>
        <v/>
      </c>
      <c r="B188" s="17" t="str">
        <f t="shared" si="15"/>
        <v/>
      </c>
    </row>
    <row r="189" spans="1:2" ht="15" customHeight="1" x14ac:dyDescent="0.25">
      <c r="A189" s="17" t="str">
        <f t="shared" si="14"/>
        <v/>
      </c>
      <c r="B189" s="17" t="str">
        <f t="shared" si="15"/>
        <v/>
      </c>
    </row>
    <row r="190" spans="1:2" ht="15" customHeight="1" x14ac:dyDescent="0.25">
      <c r="A190" s="17" t="str">
        <f t="shared" si="14"/>
        <v/>
      </c>
      <c r="B190" s="17" t="str">
        <f t="shared" si="15"/>
        <v/>
      </c>
    </row>
    <row r="191" spans="1:2" ht="15" customHeight="1" x14ac:dyDescent="0.25">
      <c r="A191" s="17" t="str">
        <f t="shared" si="14"/>
        <v/>
      </c>
      <c r="B191" s="17" t="str">
        <f t="shared" si="15"/>
        <v/>
      </c>
    </row>
    <row r="192" spans="1:2" ht="15" customHeight="1" x14ac:dyDescent="0.25">
      <c r="A192" s="17" t="str">
        <f t="shared" si="14"/>
        <v/>
      </c>
      <c r="B192" s="17" t="str">
        <f t="shared" si="15"/>
        <v/>
      </c>
    </row>
    <row r="193" spans="1:2" ht="15" customHeight="1" x14ac:dyDescent="0.25">
      <c r="A193" s="17" t="str">
        <f t="shared" si="14"/>
        <v/>
      </c>
      <c r="B193" s="17" t="str">
        <f t="shared" si="15"/>
        <v/>
      </c>
    </row>
    <row r="194" spans="1:2" ht="15" customHeight="1" x14ac:dyDescent="0.25">
      <c r="A194" s="17" t="str">
        <f t="shared" si="14"/>
        <v/>
      </c>
      <c r="B194" s="17" t="str">
        <f t="shared" si="15"/>
        <v/>
      </c>
    </row>
    <row r="195" spans="1:2" ht="15" customHeight="1" x14ac:dyDescent="0.25">
      <c r="A195" s="17" t="str">
        <f t="shared" si="14"/>
        <v/>
      </c>
      <c r="B195" s="17" t="str">
        <f t="shared" si="15"/>
        <v/>
      </c>
    </row>
    <row r="196" spans="1:2" ht="15" customHeight="1" x14ac:dyDescent="0.25">
      <c r="A196" s="17" t="str">
        <f t="shared" si="14"/>
        <v/>
      </c>
      <c r="B196" s="17" t="str">
        <f t="shared" si="15"/>
        <v/>
      </c>
    </row>
    <row r="197" spans="1:2" ht="15" customHeight="1" x14ac:dyDescent="0.25">
      <c r="A197" s="17" t="str">
        <f t="shared" si="14"/>
        <v/>
      </c>
      <c r="B197" s="17" t="str">
        <f t="shared" si="15"/>
        <v/>
      </c>
    </row>
    <row r="198" spans="1:2" ht="15" customHeight="1" x14ac:dyDescent="0.25">
      <c r="A198" s="17" t="str">
        <f t="shared" si="14"/>
        <v/>
      </c>
      <c r="B198" s="17" t="str">
        <f t="shared" si="15"/>
        <v/>
      </c>
    </row>
    <row r="199" spans="1:2" ht="15" customHeight="1" x14ac:dyDescent="0.25">
      <c r="A199" s="17" t="str">
        <f t="shared" si="14"/>
        <v/>
      </c>
      <c r="B199" s="17" t="str">
        <f t="shared" si="15"/>
        <v/>
      </c>
    </row>
    <row r="200" spans="1:2" ht="15" customHeight="1" x14ac:dyDescent="0.25">
      <c r="A200" s="17" t="str">
        <f t="shared" si="14"/>
        <v/>
      </c>
      <c r="B200" s="17" t="str">
        <f t="shared" si="15"/>
        <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3"/>
  <sheetViews>
    <sheetView workbookViewId="0">
      <selection activeCell="C1" sqref="C1"/>
    </sheetView>
  </sheetViews>
  <sheetFormatPr defaultRowHeight="15" x14ac:dyDescent="0.25"/>
  <cols>
    <col min="1" max="1" width="2.85546875" customWidth="1"/>
    <col min="2" max="2" width="2.85546875" style="1" customWidth="1"/>
    <col min="3" max="3" width="57.140625" customWidth="1"/>
    <col min="4" max="4" width="46.5703125" bestFit="1" customWidth="1"/>
    <col min="5" max="5" width="18.140625" bestFit="1" customWidth="1"/>
  </cols>
  <sheetData>
    <row r="1" spans="1:5" x14ac:dyDescent="0.25">
      <c r="C1" s="27" t="s">
        <v>262</v>
      </c>
    </row>
    <row r="2" spans="1:5" x14ac:dyDescent="0.25">
      <c r="B2" s="1" t="s">
        <v>2</v>
      </c>
      <c r="C2" t="s">
        <v>254</v>
      </c>
      <c r="D2" t="s">
        <v>255</v>
      </c>
      <c r="E2" t="s">
        <v>256</v>
      </c>
    </row>
    <row r="3" spans="1:5" x14ac:dyDescent="0.25">
      <c r="A3" t="str">
        <f>IF(B3="D","  Commands.QuickPutEntry_function(string("&amp;C3&amp;") + string("&amp;D3&amp;"), (void*) InterpreterManager::"&amp;E3&amp;");",IF(B3="C","  // "&amp;C3,""))</f>
        <v xml:space="preserve">  // Variable Management</v>
      </c>
      <c r="B3" s="1" t="s">
        <v>149</v>
      </c>
      <c r="C3" t="s">
        <v>423</v>
      </c>
    </row>
    <row r="4" spans="1:5" x14ac:dyDescent="0.25">
      <c r="A4" t="str">
        <f t="shared" ref="A4:A19" si="0">IF(B4="D","  Commands.QuickPutEntry_function(string("&amp;C4&amp;") + string("&amp;D4&amp;"), (void*) InterpreterManager::"&amp;E4&amp;");",IF(B4="C","  // "&amp;C4,""))</f>
        <v xml:space="preserve">  Commands.QuickPutEntry_function(string(LABEL_VARIABLE_MANAGEMENT) + string(VARMAN_SET), (void*) InterpreterManager::VarmanCall_SET);</v>
      </c>
      <c r="B4" s="1" t="s">
        <v>136</v>
      </c>
      <c r="C4" t="s">
        <v>370</v>
      </c>
      <c r="D4" t="s">
        <v>372</v>
      </c>
      <c r="E4" t="s">
        <v>375</v>
      </c>
    </row>
    <row r="5" spans="1:5" x14ac:dyDescent="0.25">
      <c r="A5" t="str">
        <f t="shared" ref="A5" si="1">IF(B5="D","  Commands.QuickPutEntry_function(string("&amp;C5&amp;") + string("&amp;D5&amp;"), (void*) InterpreterManager::"&amp;E5&amp;");",IF(B5="C","  // "&amp;C5,""))</f>
        <v xml:space="preserve">  Commands.QuickPutEntry_function(string(LABEL_VARIABLE_MANAGEMENT) + string(VARMAN_PRINT), (void*) InterpreterManager::VarmanCall_PRINT);</v>
      </c>
      <c r="B5" s="1" t="s">
        <v>136</v>
      </c>
      <c r="C5" t="s">
        <v>370</v>
      </c>
      <c r="D5" t="s">
        <v>386</v>
      </c>
      <c r="E5" t="s">
        <v>387</v>
      </c>
    </row>
    <row r="6" spans="1:5" x14ac:dyDescent="0.25">
      <c r="A6" t="str">
        <f t="shared" si="0"/>
        <v xml:space="preserve">  // Run Commands</v>
      </c>
      <c r="B6" s="1" t="s">
        <v>149</v>
      </c>
      <c r="C6" t="s">
        <v>263</v>
      </c>
    </row>
    <row r="7" spans="1:5" x14ac:dyDescent="0.25">
      <c r="A7" t="str">
        <f t="shared" si="0"/>
        <v xml:space="preserve">  Commands.QuickPutEntry_function(string(LABEL_RUN_SIMULATION) + string(RUNSIM_SS_INITIALIZE), (void*) InterpreterManager::RunsimCall);</v>
      </c>
      <c r="B7" s="1" t="s">
        <v>136</v>
      </c>
      <c r="C7" t="s">
        <v>203</v>
      </c>
      <c r="D7" t="s">
        <v>376</v>
      </c>
      <c r="E7" t="s">
        <v>259</v>
      </c>
    </row>
    <row r="8" spans="1:5" x14ac:dyDescent="0.25">
      <c r="A8" t="str">
        <f t="shared" si="0"/>
        <v xml:space="preserve">  Commands.QuickPutEntry_function(string(LABEL_RUN_SIMULATION) + string(RUNSIM_SS_ADD_V1_DIFFUSION), (void*) InterpreterManager::RunsimCall);</v>
      </c>
      <c r="B8" s="1" t="s">
        <v>136</v>
      </c>
      <c r="C8" t="s">
        <v>203</v>
      </c>
      <c r="D8" t="s">
        <v>377</v>
      </c>
      <c r="E8" t="s">
        <v>259</v>
      </c>
    </row>
    <row r="9" spans="1:5" x14ac:dyDescent="0.25">
      <c r="A9" t="str">
        <f t="shared" si="0"/>
        <v xml:space="preserve">  Commands.QuickPutEntry_function(string(LABEL_RUN_SIMULATION) + string(RUNSIM_SS_SIMULATE), (void*) InterpreterManager::RunsimCall);</v>
      </c>
      <c r="B9" s="1" t="s">
        <v>136</v>
      </c>
      <c r="C9" t="s">
        <v>203</v>
      </c>
      <c r="D9" t="s">
        <v>378</v>
      </c>
      <c r="E9" t="s">
        <v>259</v>
      </c>
    </row>
    <row r="10" spans="1:5" x14ac:dyDescent="0.25">
      <c r="A10" t="str">
        <f t="shared" si="0"/>
        <v xml:space="preserve">  // Reporting Commands</v>
      </c>
      <c r="B10" s="1" t="s">
        <v>149</v>
      </c>
      <c r="C10" t="s">
        <v>264</v>
      </c>
    </row>
    <row r="11" spans="1:5" x14ac:dyDescent="0.25">
      <c r="A11" t="str">
        <f t="shared" si="0"/>
        <v xml:space="preserve">  Commands.QuickPutEntry_function(string(LABEL_REPORTING) + string(REPORT_SS_PRINT_V1_ACTIVATION), (void*) InterpreterManager::ReportCall);</v>
      </c>
      <c r="B11" s="1" t="s">
        <v>136</v>
      </c>
      <c r="C11" t="s">
        <v>204</v>
      </c>
      <c r="D11" t="s">
        <v>381</v>
      </c>
      <c r="E11" t="s">
        <v>260</v>
      </c>
    </row>
    <row r="12" spans="1:5" x14ac:dyDescent="0.25">
      <c r="A12" t="str">
        <f t="shared" si="0"/>
        <v xml:space="preserve">  Commands.QuickPutEntry_function(string(LABEL_REPORTING) + string(REPORT_SS_PRINT_V1_ACTIVATION_HORIZONTAL), (void*) InterpreterManager::ReportCall);</v>
      </c>
      <c r="B12" s="1" t="s">
        <v>136</v>
      </c>
      <c r="C12" t="s">
        <v>204</v>
      </c>
      <c r="D12" t="s">
        <v>382</v>
      </c>
      <c r="E12" t="s">
        <v>260</v>
      </c>
    </row>
    <row r="13" spans="1:5" x14ac:dyDescent="0.25">
      <c r="A13" t="str">
        <f t="shared" si="0"/>
        <v xml:space="preserve">  Commands.QuickPutEntry_function(string(LABEL_REPORTING) + string(REPORT_SS_PRINT_V1_EXTERNAL_EXCITATION), (void*) InterpreterManager::ReportCall);</v>
      </c>
      <c r="B13" s="1" t="s">
        <v>136</v>
      </c>
      <c r="C13" t="s">
        <v>204</v>
      </c>
      <c r="D13" t="s">
        <v>383</v>
      </c>
      <c r="E13" t="s">
        <v>260</v>
      </c>
    </row>
    <row r="14" spans="1:5" x14ac:dyDescent="0.25">
      <c r="A14" t="str">
        <f t="shared" si="0"/>
        <v xml:space="preserve">  Commands.QuickPutEntry_function(string(LABEL_REPORTING) + string(REPORT_SS_PRINT_MT_ACTIVATION), (void*) InterpreterManager::ReportCall);</v>
      </c>
      <c r="B14" s="1" t="s">
        <v>136</v>
      </c>
      <c r="C14" t="s">
        <v>204</v>
      </c>
      <c r="D14" t="s">
        <v>384</v>
      </c>
      <c r="E14" t="s">
        <v>260</v>
      </c>
    </row>
    <row r="15" spans="1:5" x14ac:dyDescent="0.25">
      <c r="A15" t="str">
        <f t="shared" si="0"/>
        <v xml:space="preserve">  Commands.QuickPutEntry_function(string(LABEL_REPORTING) + string(REPORT_SS_PRINT_MT_ACTIVATION_HORIZONTAL), (void*) InterpreterManager::ReportCall);</v>
      </c>
      <c r="B15" s="1" t="s">
        <v>136</v>
      </c>
      <c r="C15" t="s">
        <v>204</v>
      </c>
      <c r="D15" t="s">
        <v>385</v>
      </c>
      <c r="E15" t="s">
        <v>260</v>
      </c>
    </row>
    <row r="16" spans="1:5" x14ac:dyDescent="0.25">
      <c r="A16" t="str">
        <f t="shared" si="0"/>
        <v xml:space="preserve">  // I/O Interaction Commands</v>
      </c>
      <c r="B16" s="1" t="s">
        <v>149</v>
      </c>
      <c r="C16" t="s">
        <v>265</v>
      </c>
    </row>
    <row r="17" spans="1:5" x14ac:dyDescent="0.25">
      <c r="A17" t="str">
        <f t="shared" si="0"/>
        <v xml:space="preserve">  Commands.QuickPutEntry_function(string(LABEL_IO_INTERACTIONS) + string(RESCUE_NPROC), (void*) InterpreterManager::RescueCall_NPROC);</v>
      </c>
      <c r="B17" s="1" t="s">
        <v>136</v>
      </c>
      <c r="C17" t="s">
        <v>205</v>
      </c>
      <c r="D17" t="s">
        <v>389</v>
      </c>
      <c r="E17" t="s">
        <v>282</v>
      </c>
    </row>
    <row r="18" spans="1:5" s="36" customFormat="1" x14ac:dyDescent="0.25">
      <c r="B18" s="34"/>
      <c r="C18" s="36" t="s">
        <v>267</v>
      </c>
    </row>
    <row r="19" spans="1:5" x14ac:dyDescent="0.25">
      <c r="A19" t="str">
        <f t="shared" si="0"/>
        <v xml:space="preserve">  Commands.QuickPutEntry_function(string(LABEL_IO_INTERACTIONS) + string(NPROC_SILENT), (void*) InterpreterManager::RescueCall);</v>
      </c>
      <c r="B19" s="1" t="s">
        <v>136</v>
      </c>
      <c r="C19" t="s">
        <v>205</v>
      </c>
      <c r="D19" t="s">
        <v>220</v>
      </c>
      <c r="E19" t="s">
        <v>261</v>
      </c>
    </row>
    <row r="20" spans="1:5" x14ac:dyDescent="0.25">
      <c r="A20" t="str">
        <f t="shared" ref="A20:A21" si="2">IF(B20="D","  Commands.QuickPutEntry_function(string("&amp;C20&amp;") + string("&amp;D20&amp;"), (void*) InterpreterManager::"&amp;E20&amp;");",IF(B20="C","  // "&amp;C20,""))</f>
        <v xml:space="preserve">  Commands.QuickPutEntry_function(string(LABEL_ENVIRONMENT_SETTINGS) + string(), (void*) InterpreterManager::SetenvCall);</v>
      </c>
      <c r="B20" s="1" t="s">
        <v>136</v>
      </c>
      <c r="C20" t="s">
        <v>201</v>
      </c>
      <c r="E20" t="s">
        <v>257</v>
      </c>
    </row>
    <row r="21" spans="1:5" x14ac:dyDescent="0.25">
      <c r="A21" t="str">
        <f t="shared" si="2"/>
        <v xml:space="preserve">  Commands.QuickPutEntry_function(string(LABEL_SIMULATOR_SETTINGS) + string(), (void*) InterpreterManager::SetsimCall);</v>
      </c>
      <c r="B21" s="1" t="s">
        <v>136</v>
      </c>
      <c r="C21" t="s">
        <v>202</v>
      </c>
      <c r="E21" t="s">
        <v>258</v>
      </c>
    </row>
    <row r="22" spans="1:5" x14ac:dyDescent="0.25">
      <c r="A22" t="str">
        <f>IF(B22="D","  Commands.QuickPutEntry_function(string("&amp;C22&amp;") + string("&amp;D22&amp;"), (void*) InterpreterManager::"&amp;E22&amp;");",IF(B22="C","  // "&amp;C22,""))</f>
        <v xml:space="preserve">  Commands.QuickPutEntry_function(string(LABEL_REPORTING) + string(REPORT_PRINT_ENV), (void*) InterpreterManager::ReportCall);</v>
      </c>
      <c r="B22" s="1" t="s">
        <v>136</v>
      </c>
      <c r="C22" t="s">
        <v>204</v>
      </c>
      <c r="D22" t="s">
        <v>379</v>
      </c>
      <c r="E22" t="s">
        <v>260</v>
      </c>
    </row>
    <row r="23" spans="1:5" x14ac:dyDescent="0.25">
      <c r="A23" t="str">
        <f>IF(B23="D","  Commands.QuickPutEntry_function(string("&amp;C23&amp;") + string("&amp;D23&amp;"), (void*) InterpreterManager::"&amp;E23&amp;");",IF(B23="C","  // "&amp;C23,""))</f>
        <v xml:space="preserve">  Commands.QuickPutEntry_function(string(LABEL_REPORTING) + string(REPORT_PRINT_SIM), (void*) InterpreterManager::ReportCall);</v>
      </c>
      <c r="B23" s="1" t="s">
        <v>136</v>
      </c>
      <c r="C23" t="s">
        <v>204</v>
      </c>
      <c r="D23" t="s">
        <v>380</v>
      </c>
      <c r="E23" t="s">
        <v>260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31"/>
  <sheetViews>
    <sheetView tabSelected="1" workbookViewId="0">
      <pane ySplit="1" topLeftCell="A8" activePane="bottomLeft" state="frozen"/>
      <selection pane="bottomLeft" activeCell="E1" sqref="E1"/>
    </sheetView>
  </sheetViews>
  <sheetFormatPr defaultRowHeight="15" customHeight="1" x14ac:dyDescent="0.25"/>
  <cols>
    <col min="1" max="2" width="2.85546875" style="17" customWidth="1"/>
    <col min="3" max="4" width="2.85546875" style="1" customWidth="1"/>
    <col min="5" max="5" width="57.140625" customWidth="1"/>
    <col min="6" max="6" width="34.28515625" style="13" bestFit="1" customWidth="1"/>
    <col min="7" max="7" width="12.28515625" style="13" bestFit="1" customWidth="1"/>
    <col min="8" max="8" width="12.28515625" style="13" customWidth="1"/>
    <col min="9" max="9" width="34.7109375" style="13" bestFit="1" customWidth="1"/>
    <col min="10" max="10" width="2.85546875" style="1" customWidth="1"/>
  </cols>
  <sheetData>
    <row r="1" spans="1:11" ht="15" customHeight="1" x14ac:dyDescent="0.25">
      <c r="E1" s="27" t="s">
        <v>249</v>
      </c>
    </row>
    <row r="2" spans="1:11" s="22" customFormat="1" ht="15" customHeight="1" x14ac:dyDescent="0.25">
      <c r="A2" s="19" t="str">
        <f t="shared" ref="A2:A13" si="0">IF(C2="","",IF(C2="C",CHAR(10) &amp; "// " &amp; E2,IF(C2="I","#define " &amp; E2 &amp; " " &amp; I2,IF(C2="P","#define " &amp; E2 &amp; " """ &amp; F2 &amp; """" &amp; CHAR(10) &amp; "#define DEFAULT_" &amp; E2 &amp; " " &amp; I2,IF(C2="S","","ERROR")))))</f>
        <v xml:space="preserve">
// Math</v>
      </c>
      <c r="B2" s="19" t="str">
        <f t="shared" ref="B2:B3" si="1">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xml:space="preserve">  // Math</v>
      </c>
      <c r="C2" s="20" t="s">
        <v>149</v>
      </c>
      <c r="D2" s="20"/>
      <c r="E2" s="22" t="s">
        <v>148</v>
      </c>
      <c r="F2" s="21"/>
      <c r="G2" s="21"/>
      <c r="H2" s="21"/>
      <c r="I2" s="21"/>
      <c r="J2" s="20" t="str">
        <f t="shared" ref="J2:J7" si="2">IF(OR(C2="P",C2="S"),IF(L2="",1,IF(L2=1,N2,IF(L2=2,N2&amp;" * "&amp;Q2,"ERROR"))),"")</f>
        <v/>
      </c>
    </row>
    <row r="3" spans="1:11" s="26" customFormat="1" ht="15" customHeight="1" x14ac:dyDescent="0.25">
      <c r="A3" s="23" t="str">
        <f t="shared" si="0"/>
        <v>#define PI 3.1415926535</v>
      </c>
      <c r="B3" s="23" t="str">
        <f t="shared" si="1"/>
        <v/>
      </c>
      <c r="C3" s="18" t="s">
        <v>137</v>
      </c>
      <c r="D3" s="18"/>
      <c r="E3" s="26" t="s">
        <v>150</v>
      </c>
      <c r="F3" s="25"/>
      <c r="G3" s="25"/>
      <c r="H3" s="25"/>
      <c r="I3" s="31" t="s">
        <v>159</v>
      </c>
      <c r="J3" s="52" t="str">
        <f t="shared" si="2"/>
        <v/>
      </c>
      <c r="K3" s="26" t="s">
        <v>154</v>
      </c>
    </row>
    <row r="4" spans="1:11" s="22" customFormat="1" ht="15" customHeight="1" x14ac:dyDescent="0.25">
      <c r="A4" s="19" t="str">
        <f t="shared" si="0"/>
        <v xml:space="preserve">
// HashTable</v>
      </c>
      <c r="B4" s="19" t="str">
        <f t="shared" ref="B4:B66" si="3">IF(C4="","",IF(C4="C","  // "&amp;E4,IF(C4="P",IF(D4="E","  Variables.",IF(D4="S","  Variables.","ERROR"))&amp;"SetSetting("&amp;E4&amp;", "&amp;G4&amp;", "&amp;H4&amp;");",IF(C4="S",
IF(L4=1,"  for (int i = 0; i &lt; "&amp;N4&amp;"; i++) {"&amp;CHAR(10)&amp;IF(D4="E","    Variables.",IF(D4="S","    Variables.","ERROR"))&amp;"SetSetting("&amp;M4&amp;" + "&amp;O4&amp;", "&amp;G4&amp;", "&amp;H4&amp;");"&amp;CHAR(10)&amp;"  }",
IF(L4=2,"  for (int i = 0; i &lt; "&amp;N4&amp;"; i++) {"&amp;CHAR(10)&amp;"    for (int j = 0; j &lt; "&amp;Q4&amp;"; j++) {"&amp;CHAR(10)&amp;IF(D4="E","      Variables.",IF(D4="S","      Variables.","ERROR"))&amp;"SetSetting("&amp;M4&amp;" + "&amp;O4&amp;" + "&amp;P4&amp;" + "&amp;R4&amp;", "&amp;G4&amp;", "&amp;H4&amp;");"&amp;CHAR(10)&amp;"    }"&amp;CHAR(10)&amp;"  }","ERROR")),""))))</f>
        <v xml:space="preserve">  // HashTable</v>
      </c>
      <c r="C4" s="20" t="s">
        <v>149</v>
      </c>
      <c r="D4" s="20"/>
      <c r="E4" s="22" t="s">
        <v>151</v>
      </c>
      <c r="F4" s="21"/>
      <c r="G4" s="21"/>
      <c r="H4" s="21"/>
      <c r="I4" s="21"/>
      <c r="J4" s="20" t="str">
        <f t="shared" si="2"/>
        <v/>
      </c>
    </row>
    <row r="5" spans="1:11" s="26" customFormat="1" ht="15" customHeight="1" x14ac:dyDescent="0.25">
      <c r="A5" s="23" t="str">
        <f t="shared" si="0"/>
        <v>#define HASH_A 611057</v>
      </c>
      <c r="B5" s="23" t="str">
        <f t="shared" si="3"/>
        <v/>
      </c>
      <c r="C5" s="18" t="s">
        <v>137</v>
      </c>
      <c r="D5" s="18"/>
      <c r="E5" s="26" t="s">
        <v>165</v>
      </c>
      <c r="F5" s="25"/>
      <c r="G5" s="25"/>
      <c r="H5" s="25"/>
      <c r="I5" s="25">
        <v>611057</v>
      </c>
      <c r="J5" s="18" t="str">
        <f t="shared" si="2"/>
        <v/>
      </c>
      <c r="K5" s="26" t="s">
        <v>244</v>
      </c>
    </row>
    <row r="6" spans="1:11" s="26" customFormat="1" ht="15" customHeight="1" x14ac:dyDescent="0.25">
      <c r="A6" s="23" t="str">
        <f t="shared" si="0"/>
        <v>#define HASH_B 286421</v>
      </c>
      <c r="B6" s="23" t="str">
        <f t="shared" si="3"/>
        <v/>
      </c>
      <c r="C6" s="18" t="s">
        <v>137</v>
      </c>
      <c r="D6" s="18"/>
      <c r="E6" s="26" t="s">
        <v>166</v>
      </c>
      <c r="F6" s="25"/>
      <c r="G6" s="25"/>
      <c r="H6" s="25"/>
      <c r="I6" s="25">
        <v>286421</v>
      </c>
      <c r="J6" s="18" t="str">
        <f t="shared" si="2"/>
        <v/>
      </c>
      <c r="K6" s="26" t="s">
        <v>245</v>
      </c>
    </row>
    <row r="7" spans="1:11" s="26" customFormat="1" ht="15" customHeight="1" x14ac:dyDescent="0.25">
      <c r="A7" s="23" t="str">
        <f t="shared" si="0"/>
        <v>#define HASH_C 126989</v>
      </c>
      <c r="B7" s="23" t="str">
        <f t="shared" si="3"/>
        <v/>
      </c>
      <c r="C7" s="18" t="s">
        <v>137</v>
      </c>
      <c r="D7" s="18"/>
      <c r="E7" s="26" t="s">
        <v>152</v>
      </c>
      <c r="F7" s="25"/>
      <c r="G7" s="25"/>
      <c r="H7" s="25"/>
      <c r="I7" s="25">
        <v>126989</v>
      </c>
      <c r="J7" s="18" t="str">
        <f t="shared" si="2"/>
        <v/>
      </c>
      <c r="K7" s="26" t="s">
        <v>246</v>
      </c>
    </row>
    <row r="8" spans="1:11" s="26" customFormat="1" ht="15" customHeight="1" x14ac:dyDescent="0.25">
      <c r="A8" s="23" t="str">
        <f t="shared" si="0"/>
        <v>#define HASH_CAPACITY_MULTIPLICATOR 1.5</v>
      </c>
      <c r="B8" s="23" t="str">
        <f t="shared" si="3"/>
        <v/>
      </c>
      <c r="C8" s="18" t="s">
        <v>137</v>
      </c>
      <c r="D8" s="18"/>
      <c r="E8" s="26" t="s">
        <v>337</v>
      </c>
      <c r="F8" s="25"/>
      <c r="G8" s="25"/>
      <c r="H8" s="25"/>
      <c r="I8" s="25">
        <v>1.5</v>
      </c>
      <c r="J8" s="18"/>
    </row>
    <row r="9" spans="1:11" s="22" customFormat="1" ht="15" customHeight="1" x14ac:dyDescent="0.25">
      <c r="A9" s="19" t="str">
        <f t="shared" si="0"/>
        <v xml:space="preserve">
// HashTables Sizes</v>
      </c>
      <c r="B9" s="19" t="str">
        <f t="shared" si="3"/>
        <v xml:space="preserve">  // HashTables Sizes</v>
      </c>
      <c r="C9" s="20" t="s">
        <v>149</v>
      </c>
      <c r="D9" s="20"/>
      <c r="E9" s="22" t="s">
        <v>330</v>
      </c>
      <c r="F9" s="21"/>
      <c r="G9" s="21"/>
      <c r="H9" s="21"/>
      <c r="I9" s="21"/>
      <c r="J9" s="20" t="str">
        <f>IF(OR(C9="P",C9="S"),IF(L9="",1,IF(L9=1,N9,IF(L9=2,N9&amp;" * "&amp;Q9,"ERROR"))),"")</f>
        <v/>
      </c>
    </row>
    <row r="10" spans="1:11" s="26" customFormat="1" ht="15" customHeight="1" x14ac:dyDescent="0.25">
      <c r="A10" s="23" t="str">
        <f t="shared" si="0"/>
        <v>#define MAX_LINKING_NEURONS MAX_V1_NEURONS + MAX_MT_NEURONS</v>
      </c>
      <c r="B10" s="23" t="str">
        <f t="shared" si="3"/>
        <v/>
      </c>
      <c r="C10" s="18" t="s">
        <v>137</v>
      </c>
      <c r="D10" s="18"/>
      <c r="E10" s="26" t="s">
        <v>329</v>
      </c>
      <c r="F10" s="25"/>
      <c r="G10" s="25"/>
      <c r="H10" s="25"/>
      <c r="I10" s="25" t="str">
        <f>E29&amp;" + "&amp;E62</f>
        <v>MAX_V1_NEURONS + MAX_MT_NEURONS</v>
      </c>
      <c r="J10" s="18"/>
    </row>
    <row r="11" spans="1:11" s="26" customFormat="1" ht="15" customHeight="1" x14ac:dyDescent="0.25">
      <c r="A11" s="23" t="str">
        <f t="shared" si="0"/>
        <v>#define INTERPRETER_MANAGER_COMMANDS_HASH_SIZE 16</v>
      </c>
      <c r="B11" s="23" t="str">
        <f t="shared" si="3"/>
        <v/>
      </c>
      <c r="C11" s="18" t="s">
        <v>137</v>
      </c>
      <c r="D11" s="18"/>
      <c r="E11" s="26" t="s">
        <v>326</v>
      </c>
      <c r="F11" s="25"/>
      <c r="G11" s="25"/>
      <c r="H11" s="25"/>
      <c r="I11" s="25">
        <f>COUNTIF(InterpreterManager.Initialize!B:B,"D")</f>
        <v>16</v>
      </c>
      <c r="J11" s="18" t="str">
        <f>IF(OR(C11="P",C11="S"),IF(L11="",1,IF(L11=1,N11,IF(L11=2,N11&amp;" * "&amp;Q11,"ERROR"))),"")</f>
        <v/>
      </c>
    </row>
    <row r="12" spans="1:11" s="26" customFormat="1" ht="15" customHeight="1" x14ac:dyDescent="0.25">
      <c r="A12" s="23" t="str">
        <f t="shared" si="0"/>
        <v>#define LOG_MANAGER_MESSAGES_HASH_SIZE 76</v>
      </c>
      <c r="B12" s="23" t="str">
        <f t="shared" si="3"/>
        <v/>
      </c>
      <c r="C12" s="18" t="s">
        <v>137</v>
      </c>
      <c r="D12" s="18"/>
      <c r="E12" s="26" t="s">
        <v>327</v>
      </c>
      <c r="F12" s="25"/>
      <c r="G12" s="25"/>
      <c r="H12" s="25"/>
      <c r="I12" s="25">
        <f>COUNTA(LogManager.Initialize!C:C)-COUNTIF(LogManager.Initialize!C:C,"#")</f>
        <v>76</v>
      </c>
      <c r="J12" s="18" t="str">
        <f>IF(OR(C12="P",C12="S"),IF(L12="",1,IF(L12=1,N12,IF(L12=2,N12&amp;" * "&amp;Q12,"ERROR"))),"")</f>
        <v/>
      </c>
    </row>
    <row r="13" spans="1:11" s="26" customFormat="1" ht="15" customHeight="1" x14ac:dyDescent="0.25">
      <c r="A13" s="23" t="str">
        <f t="shared" si="0"/>
        <v>#define SETTINGS_MANAGER_INT_HASH_SIZE 2</v>
      </c>
      <c r="B13" s="23" t="str">
        <f t="shared" si="3"/>
        <v/>
      </c>
      <c r="C13" s="18" t="s">
        <v>137</v>
      </c>
      <c r="D13" s="18"/>
      <c r="E13" s="26" t="s">
        <v>328</v>
      </c>
      <c r="F13" s="25"/>
      <c r="G13" s="25"/>
      <c r="H13" s="25"/>
      <c r="I13" s="25" t="str">
        <f>SUMIFS(J:J,G:G,"=Data_int",C:C,"=P")&amp;CONCATENATEIFS(C1:C511,"S",G1:G511,"Data_int",J1:J511)</f>
        <v>2</v>
      </c>
      <c r="J13" s="18" t="str">
        <f>IF(OR(C13="P",C13="S"),IF(L13="",1,IF(L13=1,N13,IF(L13=2,N13&amp;" * "&amp;Q13,"ERROR"))),"")</f>
        <v/>
      </c>
    </row>
    <row r="14" spans="1:11" s="26" customFormat="1" ht="15" customHeight="1" x14ac:dyDescent="0.25">
      <c r="A14" s="23" t="str">
        <f t="shared" ref="A14:A19" si="4">IF(C14="","",IF(C14="C",CHAR(10) &amp; "// " &amp; E14,IF(C14="I","#define " &amp; E14 &amp; " " &amp; I14,IF(C14="P","#define " &amp; E14 &amp; " """ &amp; F14 &amp; """" &amp; CHAR(10) &amp; "#define DEFAULT_" &amp; E14 &amp; " " &amp; I14,IF(C14="S","","ERROR")))))</f>
        <v>#define SETTINGS_MANAGER_FLOAT_HASH_SIZE 0</v>
      </c>
      <c r="B14" s="23" t="str">
        <f t="shared" si="3"/>
        <v/>
      </c>
      <c r="C14" s="18" t="s">
        <v>137</v>
      </c>
      <c r="D14" s="18"/>
      <c r="E14" s="26" t="s">
        <v>332</v>
      </c>
      <c r="F14" s="25"/>
      <c r="G14" s="25"/>
      <c r="H14" s="25"/>
      <c r="I14" s="25" t="str">
        <f>SUMIFS(J:J,G:G,"=Data_float",C:C,"=P")&amp;CONCATENATEIFS(C1:C511,"S",G1:G511,"Data_float",J1:J511)</f>
        <v>0</v>
      </c>
      <c r="J14" s="18"/>
    </row>
    <row r="15" spans="1:11" s="26" customFormat="1" ht="15" customHeight="1" x14ac:dyDescent="0.25">
      <c r="A15" s="23" t="str">
        <f t="shared" si="4"/>
        <v>#define SETTINGS_MANAGER_DOUBLE_HASH_SIZE 19 + MAX_V1_NEURONS + MAX_MT_NEURONS + MAX_V1_NEURONS * MAX_V1_NEURONS</v>
      </c>
      <c r="B15" s="23" t="str">
        <f t="shared" si="3"/>
        <v/>
      </c>
      <c r="C15" s="18" t="s">
        <v>137</v>
      </c>
      <c r="D15" s="18"/>
      <c r="E15" s="26" t="s">
        <v>331</v>
      </c>
      <c r="F15" s="25"/>
      <c r="G15" s="25"/>
      <c r="H15" s="25"/>
      <c r="I15" s="25" t="str">
        <f>SUMIFS(J:J,G:G,"=Data_double",C:C,"=P")&amp;CONCATENATEIFS(C1:C511,"S",G1:G511,"Data_double",J1:J511)</f>
        <v>19 + MAX_V1_NEURONS + MAX_MT_NEURONS + MAX_V1_NEURONS * MAX_V1_NEURONS</v>
      </c>
      <c r="J15" s="18"/>
    </row>
    <row r="16" spans="1:11" s="26" customFormat="1" ht="15" customHeight="1" x14ac:dyDescent="0.25">
      <c r="A16" s="23" t="str">
        <f t="shared" si="4"/>
        <v>#define SETTINGS_MANAGER_STRING_HASH_SIZE 10</v>
      </c>
      <c r="B16" s="23" t="str">
        <f t="shared" si="3"/>
        <v/>
      </c>
      <c r="C16" s="18" t="s">
        <v>137</v>
      </c>
      <c r="D16" s="18"/>
      <c r="E16" s="26" t="s">
        <v>333</v>
      </c>
      <c r="F16" s="25"/>
      <c r="G16" s="25"/>
      <c r="H16" s="25"/>
      <c r="I16" s="25" t="str">
        <f>SUMIFS(J:J,G:G,"=Data_string",C:C,"=P")&amp;CONCATENATEIFS(C1:C511,"S",G1:G511,"Data_string",J1:J511)</f>
        <v>10</v>
      </c>
      <c r="J16" s="18"/>
    </row>
    <row r="17" spans="1:15" s="26" customFormat="1" ht="15" customHeight="1" x14ac:dyDescent="0.25">
      <c r="A17" s="23" t="str">
        <f t="shared" si="4"/>
        <v>#define SETTINGS_MANAGER_BOOL_HASH_SIZE 1</v>
      </c>
      <c r="B17" s="23" t="str">
        <f t="shared" si="3"/>
        <v/>
      </c>
      <c r="C17" s="18" t="s">
        <v>137</v>
      </c>
      <c r="D17" s="18"/>
      <c r="E17" s="26" t="s">
        <v>334</v>
      </c>
      <c r="F17" s="25"/>
      <c r="G17" s="25"/>
      <c r="H17" s="25"/>
      <c r="I17" s="25" t="str">
        <f>SUMIFS(J:J,G:G,"=Data_bool",C:C,"=P")&amp;CONCATENATEIFS(C1:C511,"S",G1:G511,"Data_bool",J1:J511)</f>
        <v>1</v>
      </c>
      <c r="J17" s="18"/>
    </row>
    <row r="18" spans="1:15" s="26" customFormat="1" ht="15" customHeight="1" x14ac:dyDescent="0.25">
      <c r="A18" s="23" t="str">
        <f t="shared" ref="A18" si="5">IF(C18="","",IF(C18="C",CHAR(10) &amp; "// " &amp; E18,IF(C18="I","#define " &amp; E18 &amp; " " &amp; I18,IF(C18="P","#define " &amp; E18 &amp; " """ &amp; F18 &amp; """" &amp; CHAR(10) &amp; "#define DEFAULT_" &amp; E18 &amp; " " &amp; I18,IF(C18="S","","ERROR")))))</f>
        <v>#define SETTINGS_MANAGER_SETTINGTYPE_HASH_SIZE SETTINGS_MANAGER_INT_HASH_SIZE + SETTINGS_MANAGER_FLOAT_HASH_SIZE + SETTINGS_MANAGER_DOUBLE_HASH_SIZE + SETTINGS_MANAGER_STRING_HASH_SIZE + SETTINGS_MANAGER_BOOL_HASH_SIZE</v>
      </c>
      <c r="B18" s="23" t="str">
        <f t="shared" si="3"/>
        <v/>
      </c>
      <c r="C18" s="18" t="s">
        <v>137</v>
      </c>
      <c r="D18" s="18"/>
      <c r="E18" s="26" t="s">
        <v>336</v>
      </c>
      <c r="F18" s="25"/>
      <c r="G18" s="25"/>
      <c r="H18" s="25"/>
      <c r="I18" s="25" t="str">
        <f>CONCATENATEDELIMETER(E13:E17," + ")</f>
        <v>SETTINGS_MANAGER_INT_HASH_SIZE + SETTINGS_MANAGER_FLOAT_HASH_SIZE + SETTINGS_MANAGER_DOUBLE_HASH_SIZE + SETTINGS_MANAGER_STRING_HASH_SIZE + SETTINGS_MANAGER_BOOL_HASH_SIZE</v>
      </c>
      <c r="J18" s="18"/>
    </row>
    <row r="19" spans="1:15" s="26" customFormat="1" ht="15" customHeight="1" x14ac:dyDescent="0.25">
      <c r="A19" s="23" t="str">
        <f t="shared" si="4"/>
        <v>#define SETTINGS_MANAGER_SETTINGSIZE_HASH_SIZE SETTINGS_MANAGER_INT_HASH_SIZE + SETTINGS_MANAGER_FLOAT_HASH_SIZE + SETTINGS_MANAGER_DOUBLE_HASH_SIZE + SETTINGS_MANAGER_STRING_HASH_SIZE + SETTINGS_MANAGER_BOOL_HASH_SIZE</v>
      </c>
      <c r="B19" s="23" t="str">
        <f t="shared" si="3"/>
        <v/>
      </c>
      <c r="C19" s="18" t="s">
        <v>137</v>
      </c>
      <c r="D19" s="18"/>
      <c r="E19" s="26" t="s">
        <v>335</v>
      </c>
      <c r="F19" s="25"/>
      <c r="G19" s="25"/>
      <c r="H19" s="25"/>
      <c r="I19" s="25" t="str">
        <f>CONCATENATEDELIMETER(E13:E17," + ")</f>
        <v>SETTINGS_MANAGER_INT_HASH_SIZE + SETTINGS_MANAGER_FLOAT_HASH_SIZE + SETTINGS_MANAGER_DOUBLE_HASH_SIZE + SETTINGS_MANAGER_STRING_HASH_SIZE + SETTINGS_MANAGER_BOOL_HASH_SIZE</v>
      </c>
      <c r="J19" s="18"/>
    </row>
    <row r="20" spans="1:15" s="22" customFormat="1" ht="15" customHeight="1" x14ac:dyDescent="0.25">
      <c r="A20" s="19" t="str">
        <f t="shared" ref="A20:A24" si="6">IF(C20="","",IF(C20="C",CHAR(10) &amp; "// " &amp; E20,IF(C20="I","#define " &amp; E20 &amp; " " &amp; I20,IF(C20="P","#define " &amp; E20 &amp; " """ &amp; F20 &amp; """" &amp; CHAR(10) &amp; "#define DEFAULT_" &amp; E20 &amp; " " &amp; I20,IF(C20="S","","ERROR")))))</f>
        <v xml:space="preserve">
// Default Log Verbose Behavior</v>
      </c>
      <c r="B20" s="19" t="str">
        <f t="shared" si="3"/>
        <v xml:space="preserve">  // Default Log Verbose Behavior</v>
      </c>
      <c r="C20" s="20" t="s">
        <v>149</v>
      </c>
      <c r="D20" s="20"/>
      <c r="E20" s="22" t="s">
        <v>283</v>
      </c>
      <c r="F20" s="21"/>
      <c r="G20" s="21"/>
      <c r="H20" s="21"/>
      <c r="I20" s="21"/>
      <c r="J20" s="20" t="str">
        <f t="shared" ref="J20:J51" si="7">IF(OR(C20="P",C20="S"),IF(L20="",1,IF(L20=1,N20,IF(L20=2,N20&amp;" * "&amp;Q20,"ERROR"))),"")</f>
        <v/>
      </c>
    </row>
    <row r="21" spans="1:15" ht="15" customHeight="1" x14ac:dyDescent="0.25">
      <c r="A21" s="17" t="str">
        <f t="shared" si="6"/>
        <v>#define DEFAULT_MESSAGES true</v>
      </c>
      <c r="B21" s="23" t="str">
        <f t="shared" si="3"/>
        <v/>
      </c>
      <c r="C21" s="1" t="s">
        <v>137</v>
      </c>
      <c r="E21" t="s">
        <v>155</v>
      </c>
      <c r="I21" s="29" t="s">
        <v>157</v>
      </c>
      <c r="J21" s="53" t="str">
        <f t="shared" si="7"/>
        <v/>
      </c>
      <c r="K21" t="s">
        <v>161</v>
      </c>
    </row>
    <row r="22" spans="1:15" ht="15" customHeight="1" x14ac:dyDescent="0.25">
      <c r="A22" s="17" t="str">
        <f t="shared" si="6"/>
        <v>#define DEFAULT_SILENT_OUTPUT false</v>
      </c>
      <c r="B22" s="23" t="str">
        <f t="shared" si="3"/>
        <v/>
      </c>
      <c r="C22" s="1" t="s">
        <v>137</v>
      </c>
      <c r="E22" t="s">
        <v>156</v>
      </c>
      <c r="I22" s="29" t="s">
        <v>158</v>
      </c>
      <c r="J22" s="53" t="str">
        <f t="shared" si="7"/>
        <v/>
      </c>
      <c r="K22" t="s">
        <v>162</v>
      </c>
    </row>
    <row r="23" spans="1:15" s="22" customFormat="1" ht="15" customHeight="1" x14ac:dyDescent="0.25">
      <c r="A23" s="19" t="str">
        <f t="shared" si="6"/>
        <v xml:space="preserve">
// Environment Variables</v>
      </c>
      <c r="B23" s="19" t="str">
        <f t="shared" si="3"/>
        <v xml:space="preserve">  // Environment Variables</v>
      </c>
      <c r="C23" s="20" t="s">
        <v>149</v>
      </c>
      <c r="D23" s="20"/>
      <c r="E23" s="22" t="s">
        <v>160</v>
      </c>
      <c r="F23" s="21"/>
      <c r="G23" s="21"/>
      <c r="H23" s="21"/>
      <c r="I23" s="21"/>
      <c r="J23" s="20" t="str">
        <f t="shared" si="7"/>
        <v/>
      </c>
    </row>
    <row r="24" spans="1:15" ht="15" customHeight="1" x14ac:dyDescent="0.25">
      <c r="A24" s="17" t="str">
        <f t="shared" si="6"/>
        <v>#define HIDE_END "ENV:hide_end"
#define DEFAULT_HIDE_END false</v>
      </c>
      <c r="B24" s="23" t="str">
        <f t="shared" si="3"/>
        <v xml:space="preserve">  Variables.SetSetting(HIDE_END, Data_bool, 1);</v>
      </c>
      <c r="C24" s="1" t="s">
        <v>163</v>
      </c>
      <c r="D24" s="1" t="s">
        <v>235</v>
      </c>
      <c r="E24" s="28" t="s">
        <v>252</v>
      </c>
      <c r="F24" s="13" t="s">
        <v>419</v>
      </c>
      <c r="G24" s="13" t="s">
        <v>164</v>
      </c>
      <c r="H24" s="13">
        <v>1</v>
      </c>
      <c r="I24" s="29" t="s">
        <v>158</v>
      </c>
      <c r="J24" s="53">
        <f t="shared" si="7"/>
        <v>1</v>
      </c>
      <c r="K24" s="13" t="s">
        <v>253</v>
      </c>
    </row>
    <row r="25" spans="1:15" ht="15" customHeight="1" x14ac:dyDescent="0.25">
      <c r="A25" s="17" t="str">
        <f t="shared" ref="A25" si="8">IF(C25="","",IF(C25="C",CHAR(10) &amp; "// " &amp; E25,IF(C25="I","#define " &amp; E25 &amp; " " &amp; I25,IF(C25="P","#define " &amp; E25 &amp; " """ &amp; F25 &amp; """" &amp; CHAR(10) &amp; "#define DEFAULT_" &amp; E25 &amp; " " &amp; I25,IF(C25="S","","ERROR")))))</f>
        <v>#define MAX_NPROC_NESTING "ENV:max_nproc_nesting"
#define DEFAULT_MAX_NPROC_NESTING 10</v>
      </c>
      <c r="B25" s="23" t="str">
        <f t="shared" ref="B25" si="9">IF(C25="","",IF(C25="C","  // "&amp;E25,IF(C25="P",IF(D25="E","  Variables.",IF(D25="S","  Variables.","ERROR"))&amp;"SetSetting("&amp;E25&amp;", "&amp;G25&amp;", "&amp;H25&amp;");",IF(C25="S",
IF(L25=1,"  for (int i = 0; i &lt; "&amp;N25&amp;"; i++) {"&amp;CHAR(10)&amp;IF(D25="E","    Variables.",IF(D25="S","    Variables.","ERROR"))&amp;"SetSetting("&amp;M25&amp;" + "&amp;O25&amp;", "&amp;G25&amp;", "&amp;H25&amp;");"&amp;CHAR(10)&amp;"  }",
IF(L25=2,"  for (int i = 0; i &lt; "&amp;N25&amp;"; i++) {"&amp;CHAR(10)&amp;"    for (int j = 0; j &lt; "&amp;Q25&amp;"; j++) {"&amp;CHAR(10)&amp;IF(D25="E","      Variables.",IF(D25="S","      Variables.","ERROR"))&amp;"SetSetting("&amp;M25&amp;" + "&amp;O25&amp;" + "&amp;P25&amp;" + "&amp;R25&amp;", "&amp;G25&amp;", "&amp;H25&amp;");"&amp;CHAR(10)&amp;"    }"&amp;CHAR(10)&amp;"  }","ERROR")),""))))</f>
        <v xml:space="preserve">  Variables.SetSetting(MAX_NPROC_NESTING, Data_int, 1);</v>
      </c>
      <c r="C25" s="1" t="s">
        <v>163</v>
      </c>
      <c r="D25" s="1" t="s">
        <v>235</v>
      </c>
      <c r="E25" s="28" t="s">
        <v>433</v>
      </c>
      <c r="F25" s="13" t="s">
        <v>432</v>
      </c>
      <c r="G25" s="13" t="s">
        <v>242</v>
      </c>
      <c r="H25" s="13">
        <v>1</v>
      </c>
      <c r="I25" s="29">
        <v>10</v>
      </c>
      <c r="J25" s="53">
        <f t="shared" si="7"/>
        <v>1</v>
      </c>
      <c r="K25" s="13" t="s">
        <v>434</v>
      </c>
    </row>
    <row r="26" spans="1:15" s="45" customFormat="1" ht="15" customHeight="1" x14ac:dyDescent="0.25">
      <c r="A26" s="43" t="str">
        <f t="shared" ref="A26:A58" si="10">IF(C26="","",IF(C26="C",CHAR(10) &amp; "// " &amp; E26,IF(C26="I","#define " &amp; E26 &amp; " " &amp; I26,IF(C26="P","#define " &amp; E26 &amp; " """ &amp; F26 &amp; """" &amp; CHAR(10) &amp; "#define DEFAULT_" &amp; E26 &amp; " " &amp; I26,IF(C26="S","","ERROR")))))</f>
        <v xml:space="preserve">
// V1 Neuron Settings</v>
      </c>
      <c r="B26" s="43" t="str">
        <f t="shared" si="3"/>
        <v xml:space="preserve">  // V1 Neuron Settings</v>
      </c>
      <c r="C26" s="44" t="s">
        <v>149</v>
      </c>
      <c r="D26" s="44"/>
      <c r="E26" s="45" t="s">
        <v>295</v>
      </c>
      <c r="F26" s="46"/>
      <c r="G26" s="46"/>
      <c r="H26" s="46"/>
      <c r="I26" s="46"/>
      <c r="J26" s="44" t="str">
        <f t="shared" si="7"/>
        <v/>
      </c>
    </row>
    <row r="27" spans="1:15" s="22" customFormat="1" ht="15" customHeight="1" x14ac:dyDescent="0.25">
      <c r="A27" s="19" t="str">
        <f t="shared" si="10"/>
        <v xml:space="preserve">
// V1 Neuron Parameters</v>
      </c>
      <c r="B27" s="19" t="str">
        <f t="shared" si="3"/>
        <v xml:space="preserve">  // V1 Neuron Parameters</v>
      </c>
      <c r="C27" s="20" t="s">
        <v>149</v>
      </c>
      <c r="D27" s="20"/>
      <c r="E27" s="22" t="s">
        <v>167</v>
      </c>
      <c r="F27" s="21"/>
      <c r="G27" s="21"/>
      <c r="H27" s="21"/>
      <c r="I27" s="21"/>
      <c r="J27" s="20" t="str">
        <f t="shared" si="7"/>
        <v/>
      </c>
    </row>
    <row r="28" spans="1:15" s="26" customFormat="1" ht="15" customHeight="1" x14ac:dyDescent="0.25">
      <c r="A28" s="23" t="str">
        <f t="shared" si="10"/>
        <v>#define V1_LABEL "V1"</v>
      </c>
      <c r="B28" s="23" t="str">
        <f t="shared" si="3"/>
        <v/>
      </c>
      <c r="C28" s="18" t="s">
        <v>137</v>
      </c>
      <c r="D28" s="18"/>
      <c r="E28" s="32" t="s">
        <v>236</v>
      </c>
      <c r="F28" s="25"/>
      <c r="G28" s="25"/>
      <c r="H28" s="25"/>
      <c r="I28" s="25" t="s">
        <v>237</v>
      </c>
      <c r="J28" s="18" t="str">
        <f t="shared" si="7"/>
        <v/>
      </c>
    </row>
    <row r="29" spans="1:15" ht="15" customHeight="1" x14ac:dyDescent="0.25">
      <c r="A29" s="17" t="str">
        <f t="shared" si="10"/>
        <v>#define MAX_V1_NEURONS 600</v>
      </c>
      <c r="B29" s="23" t="str">
        <f t="shared" si="3"/>
        <v/>
      </c>
      <c r="C29" s="1" t="s">
        <v>137</v>
      </c>
      <c r="E29" s="28" t="s">
        <v>168</v>
      </c>
      <c r="I29" s="13">
        <v>600</v>
      </c>
      <c r="J29" s="1" t="str">
        <f t="shared" si="7"/>
        <v/>
      </c>
      <c r="K29" t="s">
        <v>285</v>
      </c>
    </row>
    <row r="30" spans="1:15" ht="15" customHeight="1" x14ac:dyDescent="0.25">
      <c r="A30" s="17" t="str">
        <f t="shared" si="10"/>
        <v/>
      </c>
      <c r="B30" s="23" t="str">
        <f t="shared" si="3"/>
        <v xml:space="preserve">  for (int i = 0; i &lt; MAX_V1_NEURONS; i++) {
    Variables.SetSetting(string("SIM:") + V1_LABEL + string("'") + IIntToString(i), Data_double, 8);
  }</v>
      </c>
      <c r="C30" s="1" t="s">
        <v>234</v>
      </c>
      <c r="D30" s="1" t="s">
        <v>234</v>
      </c>
      <c r="E30" s="28"/>
      <c r="G30" s="13" t="s">
        <v>179</v>
      </c>
      <c r="H30" s="13">
        <v>8</v>
      </c>
      <c r="J30" s="1" t="str">
        <f t="shared" si="7"/>
        <v>MAX_V1_NEURONS</v>
      </c>
      <c r="L30">
        <v>1</v>
      </c>
      <c r="M30" t="s">
        <v>421</v>
      </c>
      <c r="N30" t="s">
        <v>168</v>
      </c>
      <c r="O30" t="s">
        <v>430</v>
      </c>
    </row>
    <row r="31" spans="1:15" ht="15" customHeight="1" x14ac:dyDescent="0.25">
      <c r="A31" s="17" t="str">
        <f t="shared" si="10"/>
        <v>#define V1_FIRST_CALCULATION "SIM:V1_first_calculation"
#define DEFAULT_V1_FIRST_CALCULATION "none"</v>
      </c>
      <c r="B31" s="23" t="str">
        <f t="shared" si="3"/>
        <v xml:space="preserve">  Variables.SetSetting(V1_FIRST_CALCULATION, Data_string, 1);</v>
      </c>
      <c r="C31" s="1" t="s">
        <v>163</v>
      </c>
      <c r="D31" s="1" t="s">
        <v>234</v>
      </c>
      <c r="E31" s="28" t="s">
        <v>316</v>
      </c>
      <c r="F31" s="13" t="s">
        <v>418</v>
      </c>
      <c r="G31" s="13" t="s">
        <v>171</v>
      </c>
      <c r="H31" s="13">
        <v>1</v>
      </c>
      <c r="I31" s="13" t="s">
        <v>172</v>
      </c>
      <c r="J31" s="1">
        <f t="shared" si="7"/>
        <v>1</v>
      </c>
      <c r="K31" t="s">
        <v>317</v>
      </c>
    </row>
    <row r="32" spans="1:15" ht="15" customHeight="1" x14ac:dyDescent="0.25">
      <c r="A32" s="17" t="str">
        <f t="shared" si="10"/>
        <v>#define V1_ACTIVATION_METHOD "SIM:V1_act_method"
#define DEFAULT_V1_ACTIVATION_METHOD "none"</v>
      </c>
      <c r="B32" s="23" t="str">
        <f t="shared" si="3"/>
        <v xml:space="preserve">  Variables.SetSetting(V1_ACTIVATION_METHOD, Data_string, 1);</v>
      </c>
      <c r="C32" s="1" t="s">
        <v>163</v>
      </c>
      <c r="D32" s="1" t="s">
        <v>234</v>
      </c>
      <c r="E32" s="28" t="s">
        <v>170</v>
      </c>
      <c r="F32" s="13" t="s">
        <v>417</v>
      </c>
      <c r="G32" s="13" t="s">
        <v>171</v>
      </c>
      <c r="H32" s="13">
        <v>1</v>
      </c>
      <c r="I32" s="13" t="s">
        <v>172</v>
      </c>
      <c r="J32" s="1">
        <f t="shared" si="7"/>
        <v>1</v>
      </c>
      <c r="K32" t="s">
        <v>175</v>
      </c>
    </row>
    <row r="33" spans="1:11" ht="15" customHeight="1" x14ac:dyDescent="0.25">
      <c r="A33" s="17" t="str">
        <f t="shared" si="10"/>
        <v>#define V1_DACTIVATION_METHOD "SIM:V1_dac_method"
#define DEFAULT_V1_DACTIVATION_METHOD "none"</v>
      </c>
      <c r="B33" s="23" t="str">
        <f t="shared" si="3"/>
        <v xml:space="preserve">  Variables.SetSetting(V1_DACTIVATION_METHOD, Data_string, 1);</v>
      </c>
      <c r="C33" s="1" t="s">
        <v>163</v>
      </c>
      <c r="D33" s="1" t="s">
        <v>234</v>
      </c>
      <c r="E33" s="28" t="s">
        <v>173</v>
      </c>
      <c r="F33" s="13" t="s">
        <v>416</v>
      </c>
      <c r="G33" s="13" t="s">
        <v>171</v>
      </c>
      <c r="H33" s="13">
        <v>1</v>
      </c>
      <c r="I33" s="13" t="s">
        <v>172</v>
      </c>
      <c r="J33" s="1">
        <f t="shared" si="7"/>
        <v>1</v>
      </c>
      <c r="K33" t="s">
        <v>174</v>
      </c>
    </row>
    <row r="34" spans="1:11" ht="15" customHeight="1" x14ac:dyDescent="0.25">
      <c r="A34" s="17" t="str">
        <f t="shared" si="10"/>
        <v>#define V1_EXTERNAL_EXCITATION_METHOD "SIM:V1_external_excitation_method"
#define DEFAULT_V1_EXTERNAL_EXCITATION_METHOD "none"</v>
      </c>
      <c r="B34" s="23" t="str">
        <f t="shared" si="3"/>
        <v xml:space="preserve">  Variables.SetSetting(V1_EXTERNAL_EXCITATION_METHOD, Data_string, 1);</v>
      </c>
      <c r="C34" s="1" t="s">
        <v>163</v>
      </c>
      <c r="D34" s="1" t="s">
        <v>234</v>
      </c>
      <c r="E34" s="28" t="s">
        <v>233</v>
      </c>
      <c r="F34" s="13" t="s">
        <v>415</v>
      </c>
      <c r="G34" s="13" t="s">
        <v>171</v>
      </c>
      <c r="H34" s="13">
        <v>1</v>
      </c>
      <c r="I34" s="13" t="s">
        <v>172</v>
      </c>
      <c r="J34" s="1">
        <f t="shared" si="7"/>
        <v>1</v>
      </c>
    </row>
    <row r="35" spans="1:11" s="49" customFormat="1" ht="15" customHeight="1" x14ac:dyDescent="0.25">
      <c r="A35" s="47" t="str">
        <f t="shared" si="10"/>
        <v xml:space="preserve">
// V1 Activation Methods</v>
      </c>
      <c r="B35" s="47" t="str">
        <f t="shared" si="3"/>
        <v xml:space="preserve">  // V1 Activation Methods</v>
      </c>
      <c r="C35" s="48" t="s">
        <v>149</v>
      </c>
      <c r="D35" s="48"/>
      <c r="E35" s="51" t="s">
        <v>286</v>
      </c>
      <c r="F35" s="50"/>
      <c r="G35" s="50"/>
      <c r="H35" s="50"/>
      <c r="I35" s="50"/>
      <c r="J35" s="48" t="str">
        <f t="shared" si="7"/>
        <v/>
      </c>
    </row>
    <row r="36" spans="1:11" ht="15" customHeight="1" x14ac:dyDescent="0.25">
      <c r="A36" s="17" t="str">
        <f t="shared" si="10"/>
        <v>#define V1_A001 "V1_A001"</v>
      </c>
      <c r="B36" s="23" t="str">
        <f t="shared" si="3"/>
        <v/>
      </c>
      <c r="C36" s="1" t="s">
        <v>137</v>
      </c>
      <c r="E36" s="28" t="s">
        <v>287</v>
      </c>
      <c r="I36" s="13" t="s">
        <v>288</v>
      </c>
      <c r="J36" s="1" t="str">
        <f t="shared" si="7"/>
        <v/>
      </c>
      <c r="K36" t="s">
        <v>289</v>
      </c>
    </row>
    <row r="37" spans="1:11" s="22" customFormat="1" ht="15" customHeight="1" x14ac:dyDescent="0.25">
      <c r="A37" s="19" t="str">
        <f t="shared" si="10"/>
        <v xml:space="preserve">
// V1_A001 Method Parameters</v>
      </c>
      <c r="B37" s="19" t="str">
        <f t="shared" si="3"/>
        <v xml:space="preserve">  // V1_A001 Method Parameters</v>
      </c>
      <c r="C37" s="20" t="s">
        <v>149</v>
      </c>
      <c r="D37" s="20"/>
      <c r="E37" s="30" t="s">
        <v>292</v>
      </c>
      <c r="F37" s="21"/>
      <c r="G37" s="21"/>
      <c r="H37" s="21"/>
      <c r="I37" s="21"/>
      <c r="J37" s="20" t="str">
        <f t="shared" si="7"/>
        <v/>
      </c>
    </row>
    <row r="38" spans="1:11" ht="15" customHeight="1" x14ac:dyDescent="0.25">
      <c r="A38" s="17" t="str">
        <f t="shared" si="10"/>
        <v>#define V1_A001_NL_MAX "SIM:V1_A001_nl_max"
#define DEFAULT_V1_A001_NL_MAX 1</v>
      </c>
      <c r="B38" s="23" t="str">
        <f t="shared" si="3"/>
        <v xml:space="preserve">  Variables.SetSetting(V1_A001_NL_MAX, Data_double, 1);</v>
      </c>
      <c r="C38" s="1" t="s">
        <v>163</v>
      </c>
      <c r="D38" s="1" t="s">
        <v>234</v>
      </c>
      <c r="E38" s="28" t="s">
        <v>323</v>
      </c>
      <c r="F38" s="13" t="s">
        <v>414</v>
      </c>
      <c r="G38" s="13" t="s">
        <v>179</v>
      </c>
      <c r="H38" s="13">
        <v>1</v>
      </c>
      <c r="I38" s="13">
        <v>1</v>
      </c>
      <c r="J38" s="1">
        <f t="shared" si="7"/>
        <v>1</v>
      </c>
    </row>
    <row r="39" spans="1:11" ht="15" customHeight="1" x14ac:dyDescent="0.25">
      <c r="A39" s="17" t="str">
        <f t="shared" si="10"/>
        <v>#define V1_A001_NL_A "SIM:V1_A001_nl_a"
#define DEFAULT_V1_A001_NL_A 5</v>
      </c>
      <c r="B39" s="23" t="str">
        <f t="shared" si="3"/>
        <v xml:space="preserve">  Variables.SetSetting(V1_A001_NL_A, Data_double, 1);</v>
      </c>
      <c r="C39" s="1" t="s">
        <v>163</v>
      </c>
      <c r="D39" s="1" t="s">
        <v>234</v>
      </c>
      <c r="E39" s="28" t="s">
        <v>324</v>
      </c>
      <c r="F39" s="13" t="s">
        <v>413</v>
      </c>
      <c r="G39" s="13" t="s">
        <v>179</v>
      </c>
      <c r="H39" s="13">
        <v>1</v>
      </c>
      <c r="I39" s="13">
        <v>5</v>
      </c>
      <c r="J39" s="1">
        <f t="shared" si="7"/>
        <v>1</v>
      </c>
    </row>
    <row r="40" spans="1:11" ht="15" customHeight="1" x14ac:dyDescent="0.25">
      <c r="A40" s="17" t="str">
        <f t="shared" si="10"/>
        <v>#define V1_A001_NL_B "SIM:V1_A001_nl_b"
#define DEFAULT_V1_A001_NL_B 0.17</v>
      </c>
      <c r="B40" s="23" t="str">
        <f t="shared" si="3"/>
        <v xml:space="preserve">  Variables.SetSetting(V1_A001_NL_B, Data_double, 1);</v>
      </c>
      <c r="C40" s="1" t="s">
        <v>163</v>
      </c>
      <c r="D40" s="1" t="s">
        <v>234</v>
      </c>
      <c r="E40" s="28" t="s">
        <v>325</v>
      </c>
      <c r="F40" s="13" t="s">
        <v>412</v>
      </c>
      <c r="G40" s="13" t="s">
        <v>179</v>
      </c>
      <c r="H40" s="13">
        <v>1</v>
      </c>
      <c r="I40" s="13">
        <v>0.17</v>
      </c>
      <c r="J40" s="1">
        <f t="shared" si="7"/>
        <v>1</v>
      </c>
    </row>
    <row r="41" spans="1:11" s="22" customFormat="1" ht="15" customHeight="1" x14ac:dyDescent="0.25">
      <c r="A41" s="19" t="str">
        <f t="shared" si="10"/>
        <v xml:space="preserve">
// None</v>
      </c>
      <c r="B41" s="19" t="str">
        <f t="shared" si="3"/>
        <v xml:space="preserve">  // None</v>
      </c>
      <c r="C41" s="20" t="s">
        <v>149</v>
      </c>
      <c r="D41" s="20"/>
      <c r="E41" s="30" t="s">
        <v>298</v>
      </c>
      <c r="F41" s="21"/>
      <c r="G41" s="21"/>
      <c r="H41" s="21"/>
      <c r="I41" s="21"/>
      <c r="J41" s="20" t="str">
        <f t="shared" si="7"/>
        <v/>
      </c>
    </row>
    <row r="42" spans="1:11" s="49" customFormat="1" ht="15" customHeight="1" x14ac:dyDescent="0.25">
      <c r="A42" s="47" t="str">
        <f t="shared" si="10"/>
        <v xml:space="preserve">
// V1 Derivate Activation Methods</v>
      </c>
      <c r="B42" s="47" t="str">
        <f t="shared" si="3"/>
        <v xml:space="preserve">  // V1 Derivate Activation Methods</v>
      </c>
      <c r="C42" s="48" t="s">
        <v>149</v>
      </c>
      <c r="D42" s="48"/>
      <c r="E42" s="51" t="s">
        <v>290</v>
      </c>
      <c r="F42" s="50"/>
      <c r="G42" s="50"/>
      <c r="H42" s="50"/>
      <c r="I42" s="50"/>
      <c r="J42" s="48" t="str">
        <f t="shared" si="7"/>
        <v/>
      </c>
    </row>
    <row r="43" spans="1:11" ht="15" customHeight="1" x14ac:dyDescent="0.25">
      <c r="A43" s="17" t="str">
        <f t="shared" si="10"/>
        <v>#define V1_D001 "V1_D001"</v>
      </c>
      <c r="B43" s="23" t="str">
        <f t="shared" si="3"/>
        <v/>
      </c>
      <c r="C43" s="1" t="s">
        <v>137</v>
      </c>
      <c r="E43" s="28" t="s">
        <v>176</v>
      </c>
      <c r="I43" s="13" t="s">
        <v>222</v>
      </c>
      <c r="J43" s="1" t="str">
        <f t="shared" si="7"/>
        <v/>
      </c>
      <c r="K43" t="s">
        <v>177</v>
      </c>
    </row>
    <row r="44" spans="1:11" s="22" customFormat="1" ht="15" customHeight="1" x14ac:dyDescent="0.25">
      <c r="A44" s="19" t="str">
        <f t="shared" si="10"/>
        <v xml:space="preserve">
// V1_D001 Method Parameters</v>
      </c>
      <c r="B44" s="19" t="str">
        <f t="shared" si="3"/>
        <v xml:space="preserve">  // V1_D001 Method Parameters</v>
      </c>
      <c r="C44" s="20" t="s">
        <v>149</v>
      </c>
      <c r="D44" s="20"/>
      <c r="E44" s="30" t="s">
        <v>291</v>
      </c>
      <c r="F44" s="21"/>
      <c r="G44" s="21"/>
      <c r="H44" s="21"/>
      <c r="I44" s="21"/>
      <c r="J44" s="20" t="str">
        <f t="shared" si="7"/>
        <v/>
      </c>
    </row>
    <row r="45" spans="1:11" ht="15" customHeight="1" x14ac:dyDescent="0.25">
      <c r="A45" s="17" t="str">
        <f t="shared" si="10"/>
        <v>#define V1_D001_CONDUCTANCE_LEAK "SIM:V1_D001_conductance_leak"
#define DEFAULT_V1_D001_CONDUCTANCE_LEAK -0.1</v>
      </c>
      <c r="B45" s="23" t="str">
        <f t="shared" si="3"/>
        <v xml:space="preserve">  Variables.SetSetting(V1_D001_CONDUCTANCE_LEAK, Data_double, 1);</v>
      </c>
      <c r="C45" s="1" t="s">
        <v>163</v>
      </c>
      <c r="D45" s="1" t="s">
        <v>234</v>
      </c>
      <c r="E45" s="28" t="s">
        <v>178</v>
      </c>
      <c r="F45" s="13" t="s">
        <v>411</v>
      </c>
      <c r="G45" s="13" t="s">
        <v>179</v>
      </c>
      <c r="H45" s="13">
        <v>1</v>
      </c>
      <c r="I45" s="13">
        <v>-0.1</v>
      </c>
      <c r="J45" s="1">
        <f t="shared" si="7"/>
        <v>1</v>
      </c>
    </row>
    <row r="46" spans="1:11" ht="15" customHeight="1" x14ac:dyDescent="0.25">
      <c r="A46" s="17" t="str">
        <f t="shared" si="10"/>
        <v>#define V1_D001_EXCITATORY_FACTOR "SIM:V1_D001_excitatory_factor"
#define DEFAULT_V1_D001_EXCITATORY_FACTOR 0.2</v>
      </c>
      <c r="B46" s="23" t="str">
        <f t="shared" si="3"/>
        <v xml:space="preserve">  Variables.SetSetting(V1_D001_EXCITATORY_FACTOR, Data_double, 1);</v>
      </c>
      <c r="C46" s="1" t="s">
        <v>163</v>
      </c>
      <c r="D46" s="1" t="s">
        <v>234</v>
      </c>
      <c r="E46" s="28" t="s">
        <v>180</v>
      </c>
      <c r="F46" s="13" t="s">
        <v>410</v>
      </c>
      <c r="G46" s="13" t="s">
        <v>179</v>
      </c>
      <c r="H46" s="13">
        <v>1</v>
      </c>
      <c r="I46" s="13">
        <v>0.2</v>
      </c>
      <c r="J46" s="1">
        <f t="shared" si="7"/>
        <v>1</v>
      </c>
    </row>
    <row r="47" spans="1:11" ht="15" customHeight="1" x14ac:dyDescent="0.25">
      <c r="A47" s="17" t="str">
        <f t="shared" si="10"/>
        <v>#define V1_D001_INHIBITION_FACTOR "SIM:V1_D001_inhibition_factor"
#define DEFAULT_V1_D001_INHIBITION_FACTOR -0.8</v>
      </c>
      <c r="B47" s="23" t="str">
        <f t="shared" si="3"/>
        <v xml:space="preserve">  Variables.SetSetting(V1_D001_INHIBITION_FACTOR, Data_double, 1);</v>
      </c>
      <c r="C47" s="1" t="s">
        <v>163</v>
      </c>
      <c r="D47" s="1" t="s">
        <v>234</v>
      </c>
      <c r="E47" s="28" t="s">
        <v>181</v>
      </c>
      <c r="F47" s="13" t="s">
        <v>409</v>
      </c>
      <c r="G47" s="13" t="s">
        <v>179</v>
      </c>
      <c r="H47" s="13">
        <v>1</v>
      </c>
      <c r="I47" s="13">
        <v>-0.8</v>
      </c>
      <c r="J47" s="1">
        <f t="shared" si="7"/>
        <v>1</v>
      </c>
    </row>
    <row r="48" spans="1:11" ht="15" customHeight="1" x14ac:dyDescent="0.25">
      <c r="A48" s="17" t="str">
        <f t="shared" ref="A48" si="11">IF(C48="","",IF(C48="C",CHAR(10) &amp; "// " &amp; E48,IF(C48="I","#define " &amp; E48 &amp; " " &amp; I48,IF(C48="P","#define " &amp; E48 &amp; " """ &amp; F48 &amp; """" &amp; CHAR(10) &amp; "#define DEFAULT_" &amp; E48 &amp; " " &amp; I48,IF(C48="S","","ERROR")))))</f>
        <v>#define V1_D001_WEIGHT_FACTOR "SIM:V1_D001_weight_factor"
#define DEFAULT_V1_D001_WEIGHT_FACTOR 100</v>
      </c>
      <c r="B48" s="23" t="str">
        <f t="shared" si="3"/>
        <v xml:space="preserve">  Variables.SetSetting(V1_D001_WEIGHT_FACTOR, Data_double, 1);</v>
      </c>
      <c r="C48" s="1" t="s">
        <v>163</v>
      </c>
      <c r="D48" s="1" t="s">
        <v>234</v>
      </c>
      <c r="E48" s="28" t="s">
        <v>339</v>
      </c>
      <c r="F48" s="13" t="s">
        <v>408</v>
      </c>
      <c r="G48" s="13" t="s">
        <v>179</v>
      </c>
      <c r="H48" s="13">
        <v>1</v>
      </c>
      <c r="I48" s="13">
        <v>100</v>
      </c>
      <c r="J48" s="1">
        <f t="shared" si="7"/>
        <v>1</v>
      </c>
    </row>
    <row r="49" spans="1:15" s="49" customFormat="1" ht="15" customHeight="1" x14ac:dyDescent="0.25">
      <c r="A49" s="47" t="str">
        <f t="shared" si="10"/>
        <v xml:space="preserve">
// V1 Diffusion Imput Methods</v>
      </c>
      <c r="B49" s="47" t="str">
        <f t="shared" si="3"/>
        <v xml:space="preserve">  // V1 Diffusion Imput Methods</v>
      </c>
      <c r="C49" s="48" t="s">
        <v>149</v>
      </c>
      <c r="D49" s="48"/>
      <c r="E49" s="49" t="s">
        <v>293</v>
      </c>
      <c r="F49" s="50"/>
      <c r="G49" s="50"/>
      <c r="H49" s="50"/>
      <c r="I49" s="50"/>
      <c r="J49" s="48" t="str">
        <f t="shared" si="7"/>
        <v/>
      </c>
    </row>
    <row r="50" spans="1:15" s="26" customFormat="1" ht="15" customHeight="1" x14ac:dyDescent="0.25">
      <c r="A50" s="23" t="str">
        <f t="shared" si="10"/>
        <v>#define V1_F001 "V1_F001"</v>
      </c>
      <c r="B50" s="23" t="str">
        <f t="shared" si="3"/>
        <v/>
      </c>
      <c r="C50" s="18" t="s">
        <v>137</v>
      </c>
      <c r="D50" s="18"/>
      <c r="E50" s="26" t="s">
        <v>189</v>
      </c>
      <c r="F50" s="25"/>
      <c r="G50" s="25"/>
      <c r="H50" s="25"/>
      <c r="I50" s="25" t="s">
        <v>223</v>
      </c>
      <c r="J50" s="18" t="str">
        <f t="shared" si="7"/>
        <v/>
      </c>
    </row>
    <row r="51" spans="1:15" s="22" customFormat="1" ht="15" customHeight="1" x14ac:dyDescent="0.25">
      <c r="A51" s="19" t="str">
        <f t="shared" si="10"/>
        <v xml:space="preserve">
// V1_F001 Method Parameters</v>
      </c>
      <c r="B51" s="19" t="str">
        <f t="shared" si="3"/>
        <v xml:space="preserve">  // V1_F001 Method Parameters</v>
      </c>
      <c r="C51" s="20" t="s">
        <v>149</v>
      </c>
      <c r="D51" s="20"/>
      <c r="E51" s="22" t="s">
        <v>294</v>
      </c>
      <c r="F51" s="21"/>
      <c r="G51" s="21"/>
      <c r="H51" s="21"/>
      <c r="I51" s="21"/>
      <c r="J51" s="20" t="str">
        <f t="shared" si="7"/>
        <v/>
      </c>
    </row>
    <row r="52" spans="1:15" ht="15" customHeight="1" x14ac:dyDescent="0.25">
      <c r="A52" s="17" t="str">
        <f t="shared" si="10"/>
        <v>#define V1_F001_A "SIM:V1_F001_a"
#define DEFAULT_V1_F001_A 0</v>
      </c>
      <c r="B52" s="23" t="str">
        <f t="shared" si="3"/>
        <v xml:space="preserve">  Variables.SetSetting(V1_F001_A, Data_double, 1);</v>
      </c>
      <c r="C52" s="1" t="s">
        <v>163</v>
      </c>
      <c r="D52" s="1" t="s">
        <v>234</v>
      </c>
      <c r="E52" t="s">
        <v>182</v>
      </c>
      <c r="F52" t="s">
        <v>407</v>
      </c>
      <c r="G52" s="13" t="s">
        <v>179</v>
      </c>
      <c r="H52" s="13">
        <v>1</v>
      </c>
      <c r="I52" s="13">
        <v>0</v>
      </c>
      <c r="J52" s="1">
        <f t="shared" ref="J52:J83" si="12">IF(OR(C52="P",C52="S"),IF(L52="",1,IF(L52=1,N52,IF(L52=2,N52&amp;" * "&amp;Q52,"ERROR"))),"")</f>
        <v>1</v>
      </c>
    </row>
    <row r="53" spans="1:15" ht="15" customHeight="1" x14ac:dyDescent="0.25">
      <c r="A53" s="17" t="str">
        <f t="shared" si="10"/>
        <v>#define V1_F001_B "SIM:V1_F001_b"
#define DEFAULT_V1_F001_B 0</v>
      </c>
      <c r="B53" s="23" t="str">
        <f t="shared" si="3"/>
        <v xml:space="preserve">  Variables.SetSetting(V1_F001_B, Data_double, 1);</v>
      </c>
      <c r="C53" s="1" t="s">
        <v>163</v>
      </c>
      <c r="D53" s="1" t="s">
        <v>234</v>
      </c>
      <c r="E53" t="s">
        <v>183</v>
      </c>
      <c r="F53" t="s">
        <v>406</v>
      </c>
      <c r="G53" s="13" t="s">
        <v>179</v>
      </c>
      <c r="H53" s="13">
        <v>1</v>
      </c>
      <c r="I53" s="13">
        <v>0</v>
      </c>
      <c r="J53" s="1">
        <f t="shared" si="12"/>
        <v>1</v>
      </c>
    </row>
    <row r="54" spans="1:15" ht="15" customHeight="1" x14ac:dyDescent="0.25">
      <c r="A54" s="17" t="str">
        <f t="shared" si="10"/>
        <v>#define V1_F001_ORIENTATION "SIM:V1_F001_orientation"
#define DEFAULT_V1_F001_ORIENTATION 0</v>
      </c>
      <c r="B54" s="23" t="str">
        <f t="shared" si="3"/>
        <v xml:space="preserve">  Variables.SetSetting(V1_F001_ORIENTATION, Data_double, 1);</v>
      </c>
      <c r="C54" s="1" t="s">
        <v>163</v>
      </c>
      <c r="D54" s="1" t="s">
        <v>234</v>
      </c>
      <c r="E54" t="s">
        <v>184</v>
      </c>
      <c r="F54" t="s">
        <v>405</v>
      </c>
      <c r="G54" s="13" t="s">
        <v>179</v>
      </c>
      <c r="H54" s="13">
        <v>1</v>
      </c>
      <c r="I54" s="13">
        <v>0</v>
      </c>
      <c r="J54" s="1">
        <f t="shared" si="12"/>
        <v>1</v>
      </c>
    </row>
    <row r="55" spans="1:15" ht="15" customHeight="1" x14ac:dyDescent="0.25">
      <c r="A55" s="17" t="str">
        <f t="shared" si="10"/>
        <v>#define V1_F001_SPATIAL_FREQUENCY "SIM:V1_F001_spatial_frequency"
#define DEFAULT_V1_F001_SPATIAL_FREQUENCY 0</v>
      </c>
      <c r="B55" s="23" t="str">
        <f t="shared" si="3"/>
        <v xml:space="preserve">  Variables.SetSetting(V1_F001_SPATIAL_FREQUENCY, Data_double, 1);</v>
      </c>
      <c r="C55" s="1" t="s">
        <v>163</v>
      </c>
      <c r="D55" s="1" t="s">
        <v>234</v>
      </c>
      <c r="E55" t="s">
        <v>185</v>
      </c>
      <c r="F55" t="s">
        <v>404</v>
      </c>
      <c r="G55" s="13" t="s">
        <v>179</v>
      </c>
      <c r="H55" s="13">
        <v>1</v>
      </c>
      <c r="I55" s="13">
        <v>0</v>
      </c>
      <c r="J55" s="1">
        <f t="shared" si="12"/>
        <v>1</v>
      </c>
    </row>
    <row r="56" spans="1:15" ht="15" customHeight="1" x14ac:dyDescent="0.25">
      <c r="A56" s="17" t="str">
        <f t="shared" si="10"/>
        <v>#define V1_F001_TEMPORAL_FREQUENCY "SIM:V1_F001_temporal_frequency"
#define DEFAULT_V1_F001_TEMPORAL_FREQUENCY 0</v>
      </c>
      <c r="B56" s="23" t="str">
        <f t="shared" si="3"/>
        <v xml:space="preserve">  Variables.SetSetting(V1_F001_TEMPORAL_FREQUENCY, Data_double, 1);</v>
      </c>
      <c r="C56" s="1" t="s">
        <v>163</v>
      </c>
      <c r="D56" s="1" t="s">
        <v>234</v>
      </c>
      <c r="E56" t="s">
        <v>186</v>
      </c>
      <c r="F56" t="s">
        <v>403</v>
      </c>
      <c r="G56" s="13" t="s">
        <v>179</v>
      </c>
      <c r="H56" s="13">
        <v>1</v>
      </c>
      <c r="I56" s="13">
        <v>0</v>
      </c>
      <c r="J56" s="1">
        <f t="shared" si="12"/>
        <v>1</v>
      </c>
    </row>
    <row r="57" spans="1:15" ht="15" customHeight="1" x14ac:dyDescent="0.25">
      <c r="A57" s="17" t="str">
        <f t="shared" si="10"/>
        <v>#define V1_F001_MAGNITUDE "SIM:V1_F001_magnitude"
#define DEFAULT_V1_F001_MAGNITUDE 0</v>
      </c>
      <c r="B57" s="23" t="str">
        <f t="shared" si="3"/>
        <v xml:space="preserve">  Variables.SetSetting(V1_F001_MAGNITUDE, Data_double, 1);</v>
      </c>
      <c r="C57" s="1" t="s">
        <v>163</v>
      </c>
      <c r="D57" s="1" t="s">
        <v>234</v>
      </c>
      <c r="E57" t="s">
        <v>187</v>
      </c>
      <c r="F57" t="s">
        <v>402</v>
      </c>
      <c r="G57" s="13" t="s">
        <v>179</v>
      </c>
      <c r="H57" s="13">
        <v>1</v>
      </c>
      <c r="I57" s="13">
        <v>0</v>
      </c>
      <c r="J57" s="1">
        <f t="shared" si="12"/>
        <v>1</v>
      </c>
    </row>
    <row r="58" spans="1:15" ht="15" customHeight="1" x14ac:dyDescent="0.25">
      <c r="A58" s="17" t="str">
        <f t="shared" si="10"/>
        <v>#define V1_F001_PHASE "SIM:V1_F001_phase"
#define DEFAULT_V1_F001_PHASE 0</v>
      </c>
      <c r="B58" s="23" t="str">
        <f t="shared" si="3"/>
        <v xml:space="preserve">  Variables.SetSetting(V1_F001_PHASE, Data_int, 1);</v>
      </c>
      <c r="C58" s="1" t="s">
        <v>163</v>
      </c>
      <c r="D58" s="1" t="s">
        <v>234</v>
      </c>
      <c r="E58" t="s">
        <v>188</v>
      </c>
      <c r="F58" t="s">
        <v>401</v>
      </c>
      <c r="G58" s="13" t="s">
        <v>242</v>
      </c>
      <c r="H58" s="13">
        <v>1</v>
      </c>
      <c r="I58" s="13">
        <v>0</v>
      </c>
      <c r="J58" s="1">
        <f t="shared" si="12"/>
        <v>1</v>
      </c>
    </row>
    <row r="59" spans="1:15" s="45" customFormat="1" ht="15" customHeight="1" x14ac:dyDescent="0.25">
      <c r="A59" s="43" t="str">
        <f t="shared" ref="A59:A90" si="13">IF(C59="","",IF(C59="C",CHAR(10) &amp; "// " &amp; E59,IF(C59="I","#define " &amp; E59 &amp; " " &amp; I59,IF(C59="P","#define " &amp; E59 &amp; " """ &amp; F59 &amp; """" &amp; CHAR(10) &amp; "#define DEFAULT_" &amp; E59 &amp; " " &amp; I59,IF(C59="S","","ERROR")))))</f>
        <v xml:space="preserve">
// MT Neuron Settings</v>
      </c>
      <c r="B59" s="43" t="str">
        <f t="shared" si="3"/>
        <v xml:space="preserve">  // MT Neuron Settings</v>
      </c>
      <c r="C59" s="44" t="s">
        <v>149</v>
      </c>
      <c r="D59" s="44"/>
      <c r="E59" s="45" t="s">
        <v>296</v>
      </c>
      <c r="F59" s="46"/>
      <c r="G59" s="46"/>
      <c r="H59" s="46"/>
      <c r="I59" s="46"/>
      <c r="J59" s="44" t="str">
        <f t="shared" si="12"/>
        <v/>
      </c>
    </row>
    <row r="60" spans="1:15" s="22" customFormat="1" ht="15" customHeight="1" x14ac:dyDescent="0.25">
      <c r="A60" s="19" t="str">
        <f t="shared" si="13"/>
        <v xml:space="preserve">
// MT Neuron Parameters</v>
      </c>
      <c r="B60" s="19" t="str">
        <f t="shared" si="3"/>
        <v xml:space="preserve">  // MT Neuron Parameters</v>
      </c>
      <c r="C60" s="20" t="s">
        <v>149</v>
      </c>
      <c r="D60" s="20"/>
      <c r="E60" s="22" t="s">
        <v>190</v>
      </c>
      <c r="F60" s="21"/>
      <c r="G60" s="21"/>
      <c r="H60" s="21"/>
      <c r="I60" s="21"/>
      <c r="J60" s="20" t="str">
        <f t="shared" si="12"/>
        <v/>
      </c>
    </row>
    <row r="61" spans="1:15" s="26" customFormat="1" ht="15" customHeight="1" x14ac:dyDescent="0.25">
      <c r="A61" s="23" t="str">
        <f t="shared" si="13"/>
        <v>#define MT_LABEL "MT"</v>
      </c>
      <c r="B61" s="23" t="str">
        <f t="shared" si="3"/>
        <v/>
      </c>
      <c r="C61" s="18" t="s">
        <v>137</v>
      </c>
      <c r="D61" s="18"/>
      <c r="E61" s="32" t="s">
        <v>238</v>
      </c>
      <c r="F61" s="25"/>
      <c r="G61" s="25"/>
      <c r="H61" s="25"/>
      <c r="I61" s="25" t="s">
        <v>239</v>
      </c>
      <c r="J61" s="18" t="str">
        <f t="shared" si="12"/>
        <v/>
      </c>
    </row>
    <row r="62" spans="1:15" ht="15" customHeight="1" x14ac:dyDescent="0.25">
      <c r="A62" s="17" t="str">
        <f t="shared" si="13"/>
        <v>#define MAX_MT_NEURONS 10</v>
      </c>
      <c r="B62" s="23" t="str">
        <f t="shared" si="3"/>
        <v/>
      </c>
      <c r="C62" s="1" t="s">
        <v>137</v>
      </c>
      <c r="E62" t="s">
        <v>191</v>
      </c>
      <c r="I62" s="13">
        <v>10</v>
      </c>
      <c r="J62" s="1" t="str">
        <f t="shared" si="12"/>
        <v/>
      </c>
    </row>
    <row r="63" spans="1:15" ht="15" customHeight="1" x14ac:dyDescent="0.25">
      <c r="A63" s="17" t="str">
        <f t="shared" si="13"/>
        <v/>
      </c>
      <c r="B63" s="23" t="str">
        <f t="shared" si="3"/>
        <v xml:space="preserve">  for (int i = 0; i &lt; MAX_MT_NEURONS; i++) {
    Variables.SetSetting(string("SIM:") + MT_LABEL + string("'") + IIntToString(i), Data_double, 6);
  }</v>
      </c>
      <c r="C63" s="1" t="s">
        <v>234</v>
      </c>
      <c r="D63" s="1" t="s">
        <v>234</v>
      </c>
      <c r="E63" s="28"/>
      <c r="G63" s="13" t="s">
        <v>179</v>
      </c>
      <c r="H63" s="13">
        <v>6</v>
      </c>
      <c r="J63" s="1" t="str">
        <f t="shared" si="12"/>
        <v>MAX_MT_NEURONS</v>
      </c>
      <c r="L63">
        <v>1</v>
      </c>
      <c r="M63" t="s">
        <v>422</v>
      </c>
      <c r="N63" t="s">
        <v>191</v>
      </c>
      <c r="O63" t="s">
        <v>430</v>
      </c>
    </row>
    <row r="64" spans="1:15" ht="15" customHeight="1" x14ac:dyDescent="0.25">
      <c r="A64" s="17" t="str">
        <f t="shared" si="13"/>
        <v>#define MT_FIRST_CALCULATION "SIM:MT_first_calculation"
#define DEFAULT_MT_FIRST_CALCULATION "none"</v>
      </c>
      <c r="B64" s="23" t="str">
        <f t="shared" si="3"/>
        <v xml:space="preserve">  Variables.SetSetting(MT_FIRST_CALCULATION, Data_string, 1);</v>
      </c>
      <c r="C64" s="1" t="s">
        <v>163</v>
      </c>
      <c r="D64" s="1" t="s">
        <v>234</v>
      </c>
      <c r="E64" s="28" t="s">
        <v>318</v>
      </c>
      <c r="F64" s="13" t="s">
        <v>400</v>
      </c>
      <c r="G64" s="13" t="s">
        <v>171</v>
      </c>
      <c r="H64" s="13">
        <v>1</v>
      </c>
      <c r="I64" s="13" t="s">
        <v>172</v>
      </c>
      <c r="J64" s="1">
        <f t="shared" si="12"/>
        <v>1</v>
      </c>
      <c r="K64" t="s">
        <v>317</v>
      </c>
    </row>
    <row r="65" spans="1:10" ht="15" customHeight="1" x14ac:dyDescent="0.25">
      <c r="A65" s="17" t="str">
        <f t="shared" si="13"/>
        <v>#define MT_ACTIVATION_METHOD "SIM:MT_act_method"
#define DEFAULT_MT_ACTIVATION_METHOD "none"</v>
      </c>
      <c r="B65" s="23" t="str">
        <f t="shared" si="3"/>
        <v xml:space="preserve">  Variables.SetSetting(MT_ACTIVATION_METHOD, Data_string, 1);</v>
      </c>
      <c r="C65" s="1" t="s">
        <v>163</v>
      </c>
      <c r="D65" s="1" t="s">
        <v>234</v>
      </c>
      <c r="E65" t="s">
        <v>192</v>
      </c>
      <c r="F65" s="13" t="s">
        <v>399</v>
      </c>
      <c r="G65" s="13" t="s">
        <v>171</v>
      </c>
      <c r="H65" s="13">
        <v>1</v>
      </c>
      <c r="I65" s="13" t="s">
        <v>172</v>
      </c>
      <c r="J65" s="1">
        <f t="shared" si="12"/>
        <v>1</v>
      </c>
    </row>
    <row r="66" spans="1:10" ht="15" customHeight="1" x14ac:dyDescent="0.25">
      <c r="A66" s="17" t="str">
        <f t="shared" si="13"/>
        <v>#define MT_DACTIVATION_METHOD "SIM:MT_dac_method"
#define DEFAULT_MT_DACTIVATION_METHOD "none"</v>
      </c>
      <c r="B66" s="23" t="str">
        <f t="shared" si="3"/>
        <v xml:space="preserve">  Variables.SetSetting(MT_DACTIVATION_METHOD, Data_string, 1);</v>
      </c>
      <c r="C66" s="1" t="s">
        <v>163</v>
      </c>
      <c r="D66" s="1" t="s">
        <v>234</v>
      </c>
      <c r="E66" t="s">
        <v>193</v>
      </c>
      <c r="F66" s="13" t="s">
        <v>398</v>
      </c>
      <c r="G66" s="13" t="s">
        <v>171</v>
      </c>
      <c r="H66" s="13">
        <v>1</v>
      </c>
      <c r="I66" s="13" t="s">
        <v>172</v>
      </c>
      <c r="J66" s="1">
        <f t="shared" si="12"/>
        <v>1</v>
      </c>
    </row>
    <row r="67" spans="1:10" s="49" customFormat="1" ht="15" customHeight="1" x14ac:dyDescent="0.25">
      <c r="A67" s="47" t="str">
        <f t="shared" si="13"/>
        <v xml:space="preserve">
// MT Activation Methods</v>
      </c>
      <c r="B67" s="47" t="str">
        <f t="shared" ref="B67:B90" si="14">IF(C67="","",IF(C67="C","  // "&amp;E67,IF(C67="P",IF(D67="E","  Variables.",IF(D67="S","  Variables.","ERROR"))&amp;"SetSetting("&amp;E67&amp;", "&amp;G67&amp;", "&amp;H67&amp;");",IF(C67="S",
IF(L67=1,"  for (int i = 0; i &lt; "&amp;N67&amp;"; i++) {"&amp;CHAR(10)&amp;IF(D67="E","    Variables.",IF(D67="S","    Variables.","ERROR"))&amp;"SetSetting("&amp;M67&amp;" + "&amp;O67&amp;", "&amp;G67&amp;", "&amp;H67&amp;");"&amp;CHAR(10)&amp;"  }",
IF(L67=2,"  for (int i = 0; i &lt; "&amp;N67&amp;"; i++) {"&amp;CHAR(10)&amp;"    for (int j = 0; j &lt; "&amp;Q67&amp;"; j++) {"&amp;CHAR(10)&amp;IF(D67="E","      Variables.",IF(D67="S","      Variables.","ERROR"))&amp;"SetSetting("&amp;M67&amp;" + "&amp;O67&amp;" + "&amp;P67&amp;" + "&amp;R67&amp;", "&amp;G67&amp;", "&amp;H67&amp;");"&amp;CHAR(10)&amp;"    }"&amp;CHAR(10)&amp;"  }","ERROR")),""))))</f>
        <v xml:space="preserve">  // MT Activation Methods</v>
      </c>
      <c r="C67" s="48" t="s">
        <v>149</v>
      </c>
      <c r="D67" s="48"/>
      <c r="E67" s="49" t="s">
        <v>299</v>
      </c>
      <c r="F67" s="50"/>
      <c r="G67" s="50"/>
      <c r="H67" s="50"/>
      <c r="I67" s="50"/>
      <c r="J67" s="48" t="str">
        <f t="shared" si="12"/>
        <v/>
      </c>
    </row>
    <row r="68" spans="1:10" ht="15" customHeight="1" x14ac:dyDescent="0.25">
      <c r="A68" s="17" t="str">
        <f t="shared" si="13"/>
        <v>#define MT_A001 "MT_A001"</v>
      </c>
      <c r="B68" s="23" t="str">
        <f t="shared" si="14"/>
        <v/>
      </c>
      <c r="C68" s="1" t="s">
        <v>137</v>
      </c>
      <c r="E68" t="s">
        <v>194</v>
      </c>
      <c r="I68" s="13" t="s">
        <v>224</v>
      </c>
      <c r="J68" s="1" t="str">
        <f t="shared" si="12"/>
        <v/>
      </c>
    </row>
    <row r="69" spans="1:10" s="22" customFormat="1" ht="15" customHeight="1" x14ac:dyDescent="0.25">
      <c r="A69" s="19" t="str">
        <f t="shared" si="13"/>
        <v xml:space="preserve">
// MT_A001 Parameters</v>
      </c>
      <c r="B69" s="19" t="str">
        <f t="shared" si="14"/>
        <v xml:space="preserve">  // MT_A001 Parameters</v>
      </c>
      <c r="C69" s="20" t="s">
        <v>149</v>
      </c>
      <c r="D69" s="20"/>
      <c r="E69" s="22" t="s">
        <v>297</v>
      </c>
      <c r="F69" s="21"/>
      <c r="G69" s="21"/>
      <c r="H69" s="21"/>
      <c r="I69" s="21"/>
      <c r="J69" s="20" t="str">
        <f t="shared" si="12"/>
        <v/>
      </c>
    </row>
    <row r="70" spans="1:10" s="22" customFormat="1" ht="15" customHeight="1" x14ac:dyDescent="0.25">
      <c r="A70" s="19" t="str">
        <f t="shared" si="13"/>
        <v xml:space="preserve">
// None</v>
      </c>
      <c r="B70" s="19" t="str">
        <f t="shared" si="14"/>
        <v xml:space="preserve">  // None</v>
      </c>
      <c r="C70" s="20" t="s">
        <v>149</v>
      </c>
      <c r="D70" s="20"/>
      <c r="E70" s="22" t="s">
        <v>298</v>
      </c>
      <c r="F70" s="21"/>
      <c r="G70" s="21"/>
      <c r="H70" s="21"/>
      <c r="I70" s="21"/>
      <c r="J70" s="20" t="str">
        <f t="shared" si="12"/>
        <v/>
      </c>
    </row>
    <row r="71" spans="1:10" s="49" customFormat="1" ht="15" customHeight="1" x14ac:dyDescent="0.25">
      <c r="A71" s="47" t="str">
        <f t="shared" si="13"/>
        <v xml:space="preserve">
// MT Derivate Activation Methods</v>
      </c>
      <c r="B71" s="47" t="str">
        <f t="shared" si="14"/>
        <v xml:space="preserve">  // MT Derivate Activation Methods</v>
      </c>
      <c r="C71" s="48" t="s">
        <v>149</v>
      </c>
      <c r="D71" s="48"/>
      <c r="E71" s="49" t="s">
        <v>300</v>
      </c>
      <c r="F71" s="50"/>
      <c r="G71" s="50"/>
      <c r="H71" s="50"/>
      <c r="I71" s="50"/>
      <c r="J71" s="48" t="str">
        <f t="shared" si="12"/>
        <v/>
      </c>
    </row>
    <row r="72" spans="1:10" ht="15" customHeight="1" x14ac:dyDescent="0.25">
      <c r="A72" s="17" t="str">
        <f t="shared" si="13"/>
        <v>#define MT_D001 "MT_D001"</v>
      </c>
      <c r="B72" s="23" t="str">
        <f t="shared" si="14"/>
        <v/>
      </c>
      <c r="C72" s="1" t="s">
        <v>137</v>
      </c>
      <c r="E72" t="s">
        <v>301</v>
      </c>
      <c r="I72" s="13" t="s">
        <v>302</v>
      </c>
      <c r="J72" s="1" t="str">
        <f t="shared" si="12"/>
        <v/>
      </c>
    </row>
    <row r="73" spans="1:10" s="22" customFormat="1" ht="15" customHeight="1" x14ac:dyDescent="0.25">
      <c r="A73" s="19" t="str">
        <f t="shared" si="13"/>
        <v xml:space="preserve">
// MT_D001 Parameters</v>
      </c>
      <c r="B73" s="19" t="str">
        <f t="shared" si="14"/>
        <v xml:space="preserve">  // MT_D001 Parameters</v>
      </c>
      <c r="C73" s="20" t="s">
        <v>149</v>
      </c>
      <c r="D73" s="20"/>
      <c r="E73" s="22" t="s">
        <v>303</v>
      </c>
      <c r="F73" s="21"/>
      <c r="G73" s="21"/>
      <c r="H73" s="21"/>
      <c r="I73" s="21"/>
      <c r="J73" s="20" t="str">
        <f t="shared" si="12"/>
        <v/>
      </c>
    </row>
    <row r="74" spans="1:10" s="22" customFormat="1" ht="15" customHeight="1" x14ac:dyDescent="0.25">
      <c r="A74" s="19" t="str">
        <f t="shared" si="13"/>
        <v xml:space="preserve">
// None</v>
      </c>
      <c r="B74" s="19" t="str">
        <f t="shared" si="14"/>
        <v xml:space="preserve">  // None</v>
      </c>
      <c r="C74" s="20" t="s">
        <v>149</v>
      </c>
      <c r="D74" s="20"/>
      <c r="E74" s="22" t="s">
        <v>298</v>
      </c>
      <c r="F74" s="21"/>
      <c r="G74" s="21"/>
      <c r="H74" s="21"/>
      <c r="I74" s="21"/>
      <c r="J74" s="20" t="str">
        <f t="shared" si="12"/>
        <v/>
      </c>
    </row>
    <row r="75" spans="1:10" s="45" customFormat="1" ht="15" customHeight="1" x14ac:dyDescent="0.25">
      <c r="A75" s="43" t="str">
        <f t="shared" si="13"/>
        <v xml:space="preserve">
// Neuron Linking</v>
      </c>
      <c r="B75" s="43" t="str">
        <f t="shared" si="14"/>
        <v xml:space="preserve">  // Neuron Linking</v>
      </c>
      <c r="C75" s="44" t="s">
        <v>149</v>
      </c>
      <c r="D75" s="44"/>
      <c r="E75" s="45" t="s">
        <v>304</v>
      </c>
      <c r="F75" s="46"/>
      <c r="G75" s="46"/>
      <c r="H75" s="46"/>
      <c r="I75" s="46"/>
      <c r="J75" s="44" t="str">
        <f t="shared" si="12"/>
        <v/>
      </c>
    </row>
    <row r="76" spans="1:10" s="49" customFormat="1" ht="15" customHeight="1" x14ac:dyDescent="0.25">
      <c r="A76" s="47" t="str">
        <f t="shared" si="13"/>
        <v xml:space="preserve">
// V1V1 Linking Methods</v>
      </c>
      <c r="B76" s="47" t="str">
        <f t="shared" si="14"/>
        <v xml:space="preserve">  // V1V1 Linking Methods</v>
      </c>
      <c r="C76" s="48" t="s">
        <v>149</v>
      </c>
      <c r="D76" s="48"/>
      <c r="E76" s="49" t="s">
        <v>305</v>
      </c>
      <c r="F76" s="50"/>
      <c r="G76" s="50"/>
      <c r="H76" s="50"/>
      <c r="I76" s="50"/>
      <c r="J76" s="48" t="str">
        <f t="shared" si="12"/>
        <v/>
      </c>
    </row>
    <row r="77" spans="1:10" s="26" customFormat="1" ht="15" customHeight="1" x14ac:dyDescent="0.25">
      <c r="A77" s="23" t="str">
        <f t="shared" si="13"/>
        <v>#define V1V1_CONNECTION_METHOD "SIM:V1V1_connection_method"
#define DEFAULT_V1V1_CONNECTION_METHOD "none"</v>
      </c>
      <c r="B77" s="23" t="str">
        <f t="shared" si="14"/>
        <v xml:space="preserve">  Variables.SetSetting(V1V1_CONNECTION_METHOD, Data_string, 1);</v>
      </c>
      <c r="C77" s="18" t="s">
        <v>163</v>
      </c>
      <c r="D77" s="18" t="s">
        <v>234</v>
      </c>
      <c r="E77" s="26" t="s">
        <v>314</v>
      </c>
      <c r="F77" s="25" t="s">
        <v>397</v>
      </c>
      <c r="G77" s="25" t="s">
        <v>171</v>
      </c>
      <c r="H77" s="25">
        <v>1</v>
      </c>
      <c r="I77" s="25" t="s">
        <v>172</v>
      </c>
      <c r="J77" s="18">
        <f t="shared" si="12"/>
        <v>1</v>
      </c>
    </row>
    <row r="78" spans="1:10" ht="15" customHeight="1" x14ac:dyDescent="0.25">
      <c r="A78" s="17" t="str">
        <f t="shared" si="13"/>
        <v>#define V1V1_L001 "V1V1_L001"</v>
      </c>
      <c r="B78" s="23" t="str">
        <f t="shared" si="14"/>
        <v/>
      </c>
      <c r="C78" s="1" t="s">
        <v>137</v>
      </c>
      <c r="E78" t="s">
        <v>306</v>
      </c>
      <c r="I78" s="13" t="s">
        <v>307</v>
      </c>
      <c r="J78" s="1" t="str">
        <f t="shared" si="12"/>
        <v/>
      </c>
    </row>
    <row r="79" spans="1:10" s="22" customFormat="1" ht="15" customHeight="1" x14ac:dyDescent="0.25">
      <c r="A79" s="19" t="str">
        <f t="shared" si="13"/>
        <v xml:space="preserve">
// V1V1_L001 Link Parameters</v>
      </c>
      <c r="B79" s="19" t="str">
        <f t="shared" si="14"/>
        <v xml:space="preserve">  // V1V1_L001 Link Parameters</v>
      </c>
      <c r="C79" s="20" t="s">
        <v>149</v>
      </c>
      <c r="D79" s="20"/>
      <c r="E79" s="22" t="s">
        <v>308</v>
      </c>
      <c r="F79" s="21"/>
      <c r="G79" s="21"/>
      <c r="H79" s="21"/>
      <c r="I79" s="21"/>
      <c r="J79" s="20" t="str">
        <f t="shared" si="12"/>
        <v/>
      </c>
    </row>
    <row r="80" spans="1:10" s="26" customFormat="1" ht="15" customHeight="1" x14ac:dyDescent="0.25">
      <c r="A80" s="23" t="str">
        <f t="shared" si="13"/>
        <v>#define V1V1_L001_BASE_WEIGHT_SOURCE "SIM:V1V1_L001_base_weight_source"
#define DEFAULT_V1V1_L001_BASE_WEIGHT_SOURCE "none"</v>
      </c>
      <c r="B80" s="23" t="str">
        <f t="shared" si="14"/>
        <v xml:space="preserve">  Variables.SetSetting(V1V1_L001_BASE_WEIGHT_SOURCE, Data_string, 1);</v>
      </c>
      <c r="C80" s="18" t="s">
        <v>163</v>
      </c>
      <c r="D80" s="18" t="s">
        <v>234</v>
      </c>
      <c r="E80" s="26" t="s">
        <v>310</v>
      </c>
      <c r="F80" s="25" t="s">
        <v>396</v>
      </c>
      <c r="G80" s="25" t="s">
        <v>171</v>
      </c>
      <c r="H80" s="25">
        <v>1</v>
      </c>
      <c r="I80" s="25" t="s">
        <v>172</v>
      </c>
      <c r="J80" s="1">
        <f t="shared" si="12"/>
        <v>1</v>
      </c>
    </row>
    <row r="81" spans="1:18" ht="15" customHeight="1" x14ac:dyDescent="0.25">
      <c r="A81" s="17" t="str">
        <f t="shared" si="13"/>
        <v>#define V1V1_L001_DEFAULT_WEIGHT "SIM:V1V1_L001_default_weight"
#define DEFAULT_V1V1_L001_DEFAULT_WEIGHT 0</v>
      </c>
      <c r="B81" s="23" t="str">
        <f t="shared" si="14"/>
        <v xml:space="preserve">  Variables.SetSetting(V1V1_L001_DEFAULT_WEIGHT, Data_double, 1);</v>
      </c>
      <c r="C81" s="1" t="s">
        <v>163</v>
      </c>
      <c r="D81" s="1" t="s">
        <v>234</v>
      </c>
      <c r="E81" s="26" t="s">
        <v>311</v>
      </c>
      <c r="F81" s="13" t="s">
        <v>395</v>
      </c>
      <c r="G81" s="13" t="s">
        <v>179</v>
      </c>
      <c r="H81" s="13">
        <v>1</v>
      </c>
      <c r="I81" s="13">
        <v>0</v>
      </c>
      <c r="J81" s="1">
        <f t="shared" si="12"/>
        <v>1</v>
      </c>
    </row>
    <row r="82" spans="1:18" ht="15" customHeight="1" x14ac:dyDescent="0.25">
      <c r="A82" s="17" t="str">
        <f t="shared" si="13"/>
        <v/>
      </c>
      <c r="B82" s="23" t="str">
        <f t="shared" si="14"/>
        <v xml:space="preserve">  for (int i = 0; i &lt; MAX_V1_NEURONS; i++) {
    for (int j = 0; j &lt; MAX_V1_NEURONS; j++) {
      Variables.SetSetting(string("SIM:") + V1_LABEL + string("'") + IIntToString(i) + ":" + V1_LABEL + string("'") + IIntToString(j), Data_double, 1);
    }
  }</v>
      </c>
      <c r="C82" s="1" t="s">
        <v>234</v>
      </c>
      <c r="D82" s="1" t="s">
        <v>234</v>
      </c>
      <c r="E82" s="26"/>
      <c r="G82" s="13" t="s">
        <v>179</v>
      </c>
      <c r="H82" s="13">
        <v>1</v>
      </c>
      <c r="I82" s="13" t="s">
        <v>311</v>
      </c>
      <c r="J82" s="1" t="str">
        <f t="shared" si="12"/>
        <v>MAX_V1_NEURONS * MAX_V1_NEURONS</v>
      </c>
      <c r="L82">
        <v>2</v>
      </c>
      <c r="M82" t="s">
        <v>421</v>
      </c>
      <c r="N82" t="s">
        <v>168</v>
      </c>
      <c r="O82" t="s">
        <v>430</v>
      </c>
      <c r="P82" t="s">
        <v>338</v>
      </c>
      <c r="Q82" t="s">
        <v>168</v>
      </c>
      <c r="R82" t="s">
        <v>431</v>
      </c>
    </row>
    <row r="83" spans="1:18" s="49" customFormat="1" ht="15" customHeight="1" x14ac:dyDescent="0.25">
      <c r="A83" s="47" t="str">
        <f t="shared" si="13"/>
        <v xml:space="preserve">
// MTMT Link Methods</v>
      </c>
      <c r="B83" s="47" t="str">
        <f t="shared" si="14"/>
        <v xml:space="preserve">  // MTMT Link Methods</v>
      </c>
      <c r="C83" s="48" t="s">
        <v>149</v>
      </c>
      <c r="D83" s="48"/>
      <c r="E83" s="49" t="s">
        <v>309</v>
      </c>
      <c r="F83" s="50"/>
      <c r="G83" s="50"/>
      <c r="H83" s="50"/>
      <c r="I83" s="50"/>
      <c r="J83" s="48" t="str">
        <f t="shared" si="12"/>
        <v/>
      </c>
    </row>
    <row r="84" spans="1:18" s="22" customFormat="1" ht="15" customHeight="1" x14ac:dyDescent="0.25">
      <c r="A84" s="19" t="str">
        <f t="shared" si="13"/>
        <v xml:space="preserve">
// None</v>
      </c>
      <c r="B84" s="19" t="str">
        <f t="shared" si="14"/>
        <v xml:space="preserve">  // None</v>
      </c>
      <c r="C84" s="20" t="s">
        <v>149</v>
      </c>
      <c r="D84" s="20"/>
      <c r="E84" s="22" t="s">
        <v>298</v>
      </c>
      <c r="F84" s="21"/>
      <c r="G84" s="21"/>
      <c r="H84" s="21"/>
      <c r="I84" s="21"/>
      <c r="J84" s="20" t="str">
        <f t="shared" ref="J84:J117" si="15">IF(OR(C84="P",C84="S"),IF(L84="",1,IF(L84=1,N84,IF(L84=2,N84&amp;" * "&amp;Q84,"ERROR"))),"")</f>
        <v/>
      </c>
    </row>
    <row r="85" spans="1:18" s="49" customFormat="1" ht="15" customHeight="1" x14ac:dyDescent="0.25">
      <c r="A85" s="47" t="str">
        <f t="shared" si="13"/>
        <v xml:space="preserve">
// V1MT Linking Methods</v>
      </c>
      <c r="B85" s="47" t="str">
        <f t="shared" si="14"/>
        <v xml:space="preserve">  // V1MT Linking Methods</v>
      </c>
      <c r="C85" s="48" t="s">
        <v>149</v>
      </c>
      <c r="D85" s="48"/>
      <c r="E85" s="49" t="s">
        <v>312</v>
      </c>
      <c r="F85" s="50"/>
      <c r="G85" s="50"/>
      <c r="H85" s="50"/>
      <c r="I85" s="50"/>
      <c r="J85" s="48" t="str">
        <f t="shared" si="15"/>
        <v/>
      </c>
    </row>
    <row r="86" spans="1:18" s="26" customFormat="1" ht="15" customHeight="1" x14ac:dyDescent="0.25">
      <c r="A86" s="23" t="str">
        <f t="shared" si="13"/>
        <v>#define V1MT_CONNECTION_METHOD "SIM:V1MT_connection_method"
#define DEFAULT_V1MT_CONNECTION_METHOD "none"</v>
      </c>
      <c r="B86" s="23" t="str">
        <f t="shared" si="14"/>
        <v xml:space="preserve">  Variables.SetSetting(V1MT_CONNECTION_METHOD, Data_string, 1);</v>
      </c>
      <c r="C86" s="18" t="s">
        <v>163</v>
      </c>
      <c r="D86" s="18" t="s">
        <v>234</v>
      </c>
      <c r="E86" s="26" t="s">
        <v>226</v>
      </c>
      <c r="F86" s="25" t="s">
        <v>394</v>
      </c>
      <c r="G86" s="25" t="s">
        <v>171</v>
      </c>
      <c r="H86" s="25">
        <v>1</v>
      </c>
      <c r="I86" s="25" t="s">
        <v>172</v>
      </c>
      <c r="J86" s="1">
        <f t="shared" si="15"/>
        <v>1</v>
      </c>
    </row>
    <row r="87" spans="1:18" s="26" customFormat="1" ht="15" customHeight="1" x14ac:dyDescent="0.25">
      <c r="A87" s="23" t="str">
        <f t="shared" si="13"/>
        <v>#define V1MT_L001 "V1MT_L001"</v>
      </c>
      <c r="B87" s="23" t="str">
        <f t="shared" si="14"/>
        <v/>
      </c>
      <c r="C87" s="18" t="s">
        <v>137</v>
      </c>
      <c r="D87" s="18"/>
      <c r="E87" s="26" t="s">
        <v>227</v>
      </c>
      <c r="F87" s="25"/>
      <c r="G87" s="25"/>
      <c r="H87" s="25"/>
      <c r="I87" s="25" t="s">
        <v>228</v>
      </c>
      <c r="J87" s="18" t="str">
        <f t="shared" si="15"/>
        <v/>
      </c>
    </row>
    <row r="88" spans="1:18" s="22" customFormat="1" ht="15" customHeight="1" x14ac:dyDescent="0.25">
      <c r="A88" s="19" t="str">
        <f t="shared" si="13"/>
        <v xml:space="preserve">
// V1MT_L001 Link Parameters</v>
      </c>
      <c r="B88" s="19" t="str">
        <f t="shared" si="14"/>
        <v xml:space="preserve">  // V1MT_L001 Link Parameters</v>
      </c>
      <c r="C88" s="20" t="s">
        <v>149</v>
      </c>
      <c r="D88" s="20"/>
      <c r="E88" s="22" t="s">
        <v>313</v>
      </c>
      <c r="F88" s="21"/>
      <c r="G88" s="21"/>
      <c r="H88" s="21"/>
      <c r="I88" s="21"/>
      <c r="J88" s="20" t="str">
        <f t="shared" si="15"/>
        <v/>
      </c>
    </row>
    <row r="89" spans="1:18" s="26" customFormat="1" ht="15" customHeight="1" x14ac:dyDescent="0.25">
      <c r="A89" s="23" t="str">
        <f t="shared" si="13"/>
        <v>#define V1MT_L001_APERTURE "SIM:V1MT_L001_aperture"
#define DEFAULT_V1MT_L001_APERTURE 45.0 + 1.0</v>
      </c>
      <c r="B89" s="23" t="str">
        <f t="shared" si="14"/>
        <v xml:space="preserve">  Variables.SetSetting(V1MT_L001_APERTURE, Data_double, 1);</v>
      </c>
      <c r="C89" s="18" t="s">
        <v>163</v>
      </c>
      <c r="D89" s="18" t="s">
        <v>234</v>
      </c>
      <c r="E89" s="26" t="s">
        <v>229</v>
      </c>
      <c r="F89" s="25" t="s">
        <v>393</v>
      </c>
      <c r="G89" s="25" t="s">
        <v>179</v>
      </c>
      <c r="H89" s="25">
        <v>1</v>
      </c>
      <c r="I89" s="25" t="s">
        <v>340</v>
      </c>
      <c r="J89" s="18">
        <f t="shared" si="15"/>
        <v>1</v>
      </c>
    </row>
    <row r="90" spans="1:18" s="26" customFormat="1" ht="15" customHeight="1" x14ac:dyDescent="0.25">
      <c r="A90" s="23" t="str">
        <f t="shared" si="13"/>
        <v>#define V1MT_L001_AMPLIFICATION "SIM:V1MT_L001_amplification"
#define DEFAULT_V1MT_L001_AMPLIFICATION 1</v>
      </c>
      <c r="B90" s="23" t="str">
        <f t="shared" si="14"/>
        <v xml:space="preserve">  Variables.SetSetting(V1MT_L001_AMPLIFICATION, Data_double, 1);</v>
      </c>
      <c r="C90" s="18" t="s">
        <v>163</v>
      </c>
      <c r="D90" s="18" t="s">
        <v>234</v>
      </c>
      <c r="E90" s="26" t="s">
        <v>230</v>
      </c>
      <c r="F90" s="25" t="s">
        <v>392</v>
      </c>
      <c r="G90" s="25" t="s">
        <v>179</v>
      </c>
      <c r="H90" s="25">
        <v>1</v>
      </c>
      <c r="I90" s="25">
        <v>1</v>
      </c>
      <c r="J90" s="18">
        <f t="shared" si="15"/>
        <v>1</v>
      </c>
    </row>
    <row r="91" spans="1:18" s="26" customFormat="1" ht="15" customHeight="1" x14ac:dyDescent="0.25">
      <c r="A91" s="23" t="str">
        <f t="shared" ref="A91:A123" si="16">IF(C91="","",IF(C91="C",CHAR(10) &amp; "// " &amp; E91,IF(C91="I","#define " &amp; E91 &amp; " " &amp; I91,IF(C91="P","#define " &amp; E91 &amp; " """ &amp; F91 &amp; """" &amp; CHAR(10) &amp; "#define DEFAULT_" &amp; E91 &amp; " " &amp; I91,IF(C91="S","","ERROR")))))</f>
        <v>#define V1MT_L001_SIGMA "SIM:V1MT_L001_sigma"
#define DEFAULT_V1MT_L001_SIGMA 2.0/3.0</v>
      </c>
      <c r="B91" s="23" t="str">
        <f>IF(C91="","",IF(C91="C","  // "&amp;E91,IF(C91="P",IF(D91="E","  Variables.",IF(D91="S","  Variables.","ERROR"))&amp;"SetSetting("&amp;E91&amp;", "&amp;G91&amp;", "&amp;H91&amp;");",IF(C91="S",
IF(L91=1,"  for (int i = 0; i &lt; "&amp;N91&amp;"; i++) {"&amp;CHAR(10)&amp;IF(D91="E","    Variables.",IF(D91="S","    Variables.","ERROR"))&amp;"SetSetting("&amp;M91&amp;" + "&amp;O91&amp;", "&amp;G91&amp;", "&amp;H91&amp;");"&amp;CHAR(10)&amp;"  }",
IF(L91=2,"  for (int i = 0; i &lt; "&amp;N91&amp;"; i++) {"&amp;CHAR(10)&amp;"    for (int j = 0; j &lt; "&amp;Q91&amp;"; j++) {"&amp;CHAR(10)&amp;IF(D91="E","      Variables.",IF(D91="S","      Variables.","ERROR"))&amp;"SetSetting("&amp;M91&amp;" + "&amp;O91&amp;" + "&amp;P91&amp;" + "&amp;R91&amp;", "&amp;G91&amp;", "&amp;H91&amp;");"&amp;CHAR(10)&amp;"    }"&amp;CHAR(10)&amp;"  }","ERROR")),""))))</f>
        <v xml:space="preserve">  Variables.SetSetting(V1MT_L001_SIGMA, Data_double, 1);</v>
      </c>
      <c r="C91" s="18" t="s">
        <v>163</v>
      </c>
      <c r="D91" s="18" t="s">
        <v>234</v>
      </c>
      <c r="E91" s="26" t="s">
        <v>231</v>
      </c>
      <c r="F91" s="25" t="s">
        <v>391</v>
      </c>
      <c r="G91" s="25" t="s">
        <v>179</v>
      </c>
      <c r="H91" s="25">
        <v>1</v>
      </c>
      <c r="I91" s="54" t="s">
        <v>284</v>
      </c>
      <c r="J91" s="55">
        <f t="shared" si="15"/>
        <v>1</v>
      </c>
    </row>
    <row r="92" spans="1:18" s="26" customFormat="1" ht="15" customHeight="1" x14ac:dyDescent="0.25">
      <c r="A92" s="23" t="str">
        <f t="shared" si="16"/>
        <v>#define V1MT_L001_MODULATION "SIM:V1MT_L001_modulation"
#define DEFAULT_V1MT_L001_MODULATION 5.33648681640625</v>
      </c>
      <c r="B92" s="23" t="str">
        <f t="shared" ref="B92:B130" si="17">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Variables.SetSetting(V1MT_L001_MODULATION, Data_double, 1);</v>
      </c>
      <c r="C92" s="18" t="s">
        <v>163</v>
      </c>
      <c r="D92" s="18" t="s">
        <v>234</v>
      </c>
      <c r="E92" s="26" t="s">
        <v>232</v>
      </c>
      <c r="F92" s="25" t="s">
        <v>390</v>
      </c>
      <c r="G92" s="25" t="s">
        <v>179</v>
      </c>
      <c r="H92" s="25">
        <v>1</v>
      </c>
      <c r="I92" s="56">
        <v>5.33648681640625</v>
      </c>
      <c r="J92" s="57">
        <f t="shared" si="15"/>
        <v>1</v>
      </c>
    </row>
    <row r="93" spans="1:18" s="45" customFormat="1" ht="15" customHeight="1" x14ac:dyDescent="0.25">
      <c r="A93" s="43" t="str">
        <f t="shared" si="16"/>
        <v xml:space="preserve">
// Defines</v>
      </c>
      <c r="B93" s="43" t="str">
        <f t="shared" si="17"/>
        <v xml:space="preserve">  // Defines</v>
      </c>
      <c r="C93" s="44" t="s">
        <v>149</v>
      </c>
      <c r="D93" s="44"/>
      <c r="E93" s="45" t="s">
        <v>315</v>
      </c>
      <c r="F93" s="46"/>
      <c r="G93" s="46"/>
      <c r="H93" s="46"/>
      <c r="I93" s="46"/>
      <c r="J93" s="44" t="str">
        <f t="shared" si="15"/>
        <v/>
      </c>
    </row>
    <row r="94" spans="1:18" s="22" customFormat="1" ht="15" customHeight="1" x14ac:dyDescent="0.25">
      <c r="A94" s="19" t="str">
        <f t="shared" si="16"/>
        <v xml:space="preserve">
// Simulator Defines</v>
      </c>
      <c r="B94" s="19" t="str">
        <f t="shared" si="17"/>
        <v xml:space="preserve">  // Simulator Defines</v>
      </c>
      <c r="C94" s="20" t="s">
        <v>149</v>
      </c>
      <c r="D94" s="20"/>
      <c r="E94" s="22" t="s">
        <v>195</v>
      </c>
      <c r="F94" s="21"/>
      <c r="G94" s="21"/>
      <c r="H94" s="21"/>
      <c r="I94" s="21"/>
      <c r="J94" s="20" t="str">
        <f t="shared" si="15"/>
        <v/>
      </c>
    </row>
    <row r="95" spans="1:18" ht="15" customHeight="1" x14ac:dyDescent="0.25">
      <c r="A95" s="17" t="str">
        <f t="shared" si="16"/>
        <v>#define SIMULATOR_TIME_STEP "SIM:simulator_time_step"
#define DEFAULT_SIMULATOR_TIME_STEP 0.005</v>
      </c>
      <c r="B95" s="23" t="str">
        <f t="shared" si="17"/>
        <v xml:space="preserve">  Variables.SetSetting(SIMULATOR_TIME_STEP, Data_double, 1);</v>
      </c>
      <c r="C95" s="1" t="s">
        <v>163</v>
      </c>
      <c r="D95" s="1" t="s">
        <v>234</v>
      </c>
      <c r="E95" s="26" t="s">
        <v>196</v>
      </c>
      <c r="F95" s="13" t="s">
        <v>420</v>
      </c>
      <c r="G95" s="13" t="s">
        <v>179</v>
      </c>
      <c r="H95" s="13">
        <v>1</v>
      </c>
      <c r="I95" s="13">
        <v>5.0000000000000001E-3</v>
      </c>
      <c r="J95" s="1">
        <f t="shared" si="15"/>
        <v>1</v>
      </c>
    </row>
    <row r="96" spans="1:18" s="26" customFormat="1" ht="15" customHeight="1" x14ac:dyDescent="0.25">
      <c r="A96" s="23" t="str">
        <f t="shared" si="16"/>
        <v>#define CALCULATE_ACTIVATION "activation"</v>
      </c>
      <c r="B96" s="23" t="str">
        <f t="shared" si="17"/>
        <v/>
      </c>
      <c r="C96" s="18" t="s">
        <v>137</v>
      </c>
      <c r="D96" s="18"/>
      <c r="E96" s="26" t="s">
        <v>319</v>
      </c>
      <c r="F96" s="25"/>
      <c r="G96" s="25"/>
      <c r="H96" s="25"/>
      <c r="I96" s="25" t="s">
        <v>321</v>
      </c>
      <c r="J96" s="18" t="str">
        <f t="shared" si="15"/>
        <v/>
      </c>
    </row>
    <row r="97" spans="1:10" s="26" customFormat="1" ht="15" customHeight="1" x14ac:dyDescent="0.25">
      <c r="A97" s="23" t="str">
        <f t="shared" si="16"/>
        <v>#define CALCULATE_DACTIVATION "dactivation"</v>
      </c>
      <c r="B97" s="23" t="str">
        <f t="shared" si="17"/>
        <v/>
      </c>
      <c r="C97" s="18" t="s">
        <v>137</v>
      </c>
      <c r="D97" s="18"/>
      <c r="E97" s="26" t="s">
        <v>320</v>
      </c>
      <c r="F97" s="25"/>
      <c r="G97" s="25"/>
      <c r="H97" s="25"/>
      <c r="I97" s="25" t="s">
        <v>322</v>
      </c>
      <c r="J97" s="18" t="str">
        <f t="shared" si="15"/>
        <v/>
      </c>
    </row>
    <row r="98" spans="1:10" s="22" customFormat="1" ht="15" customHeight="1" x14ac:dyDescent="0.25">
      <c r="A98" s="19" t="str">
        <f t="shared" si="16"/>
        <v xml:space="preserve">
// Interface Defines</v>
      </c>
      <c r="B98" s="19" t="str">
        <f t="shared" si="17"/>
        <v xml:space="preserve">  // Interface Defines</v>
      </c>
      <c r="C98" s="20" t="s">
        <v>149</v>
      </c>
      <c r="D98" s="20"/>
      <c r="E98" s="22" t="s">
        <v>197</v>
      </c>
      <c r="F98" s="21"/>
      <c r="G98" s="21"/>
      <c r="H98" s="21"/>
      <c r="I98" s="21"/>
      <c r="J98" s="20" t="str">
        <f t="shared" si="15"/>
        <v/>
      </c>
    </row>
    <row r="99" spans="1:10" s="26" customFormat="1" ht="15" customHeight="1" x14ac:dyDescent="0.25">
      <c r="A99" s="23" t="str">
        <f t="shared" si="16"/>
        <v>#define LABEL_DONE "DONE"</v>
      </c>
      <c r="B99" s="23" t="str">
        <f t="shared" si="17"/>
        <v/>
      </c>
      <c r="C99" s="18" t="s">
        <v>137</v>
      </c>
      <c r="D99" s="18"/>
      <c r="E99" s="26" t="s">
        <v>198</v>
      </c>
      <c r="F99" s="25"/>
      <c r="G99" s="25"/>
      <c r="H99" s="25"/>
      <c r="I99" s="25" t="s">
        <v>199</v>
      </c>
      <c r="J99" s="18" t="str">
        <f t="shared" si="15"/>
        <v/>
      </c>
    </row>
    <row r="100" spans="1:10" s="26" customFormat="1" ht="15" customHeight="1" x14ac:dyDescent="0.25">
      <c r="A100" s="23" t="str">
        <f t="shared" si="16"/>
        <v>#define LABEL_FAIL "FAIL"</v>
      </c>
      <c r="B100" s="23" t="str">
        <f t="shared" si="17"/>
        <v/>
      </c>
      <c r="C100" s="18" t="s">
        <v>137</v>
      </c>
      <c r="D100" s="18"/>
      <c r="E100" s="26" t="s">
        <v>225</v>
      </c>
      <c r="F100" s="25"/>
      <c r="G100" s="25"/>
      <c r="H100" s="25"/>
      <c r="I100" s="25" t="s">
        <v>200</v>
      </c>
      <c r="J100" s="18" t="str">
        <f t="shared" si="15"/>
        <v/>
      </c>
    </row>
    <row r="101" spans="1:10" ht="15" customHeight="1" x14ac:dyDescent="0.25">
      <c r="A101" s="17" t="str">
        <f t="shared" si="16"/>
        <v>#define LABEL_COMMENT_STRING "#"</v>
      </c>
      <c r="B101" s="23" t="str">
        <f t="shared" si="17"/>
        <v/>
      </c>
      <c r="C101" s="1" t="s">
        <v>137</v>
      </c>
      <c r="E101" t="s">
        <v>211</v>
      </c>
      <c r="I101" s="13" t="s">
        <v>214</v>
      </c>
      <c r="J101" s="1" t="str">
        <f t="shared" si="15"/>
        <v/>
      </c>
    </row>
    <row r="102" spans="1:10" ht="15" customHeight="1" x14ac:dyDescent="0.25">
      <c r="A102" s="17" t="str">
        <f t="shared" si="16"/>
        <v>#define LABEL_COMMENT_CHAR '#'</v>
      </c>
      <c r="B102" s="23" t="str">
        <f t="shared" si="17"/>
        <v/>
      </c>
      <c r="C102" s="1" t="s">
        <v>137</v>
      </c>
      <c r="E102" t="s">
        <v>212</v>
      </c>
      <c r="I102" s="13" t="s">
        <v>213</v>
      </c>
      <c r="J102" s="1" t="str">
        <f t="shared" si="15"/>
        <v/>
      </c>
    </row>
    <row r="103" spans="1:10" ht="15" customHeight="1" x14ac:dyDescent="0.25">
      <c r="A103" s="17" t="str">
        <f t="shared" ref="A103:A104" si="18">IF(C103="","",IF(C103="C",CHAR(10) &amp; "// " &amp; E103,IF(C103="I","#define " &amp; E103 &amp; " " &amp; I103,IF(C103="P","#define " &amp; E103 &amp; " """ &amp; F103 &amp; """" &amp; CHAR(10) &amp; "#define DEFAULT_" &amp; E103 &amp; " " &amp; I103,IF(C103="S","","ERROR")))))</f>
        <v>#define LABEL_REDIRECTION_STRING "&gt;"</v>
      </c>
      <c r="B103" s="23" t="str">
        <f t="shared" ref="B103:B104" si="19">IF(C103="","",IF(C103="C","  // "&amp;E103,IF(C103="P",IF(D103="E","  Variables.",IF(D103="S","  Variables.","ERROR"))&amp;"SetSetting("&amp;E103&amp;", "&amp;G103&amp;", "&amp;H103&amp;");",IF(C103="S",
IF(L103=1,"  for (int i = 0; i &lt; "&amp;N103&amp;"; i++) {"&amp;CHAR(10)&amp;IF(D103="E","    Variables.",IF(D103="S","    Variables.","ERROR"))&amp;"SetSetting("&amp;M103&amp;" + "&amp;O103&amp;", "&amp;G103&amp;", "&amp;H103&amp;");"&amp;CHAR(10)&amp;"  }",
IF(L103=2,"  for (int i = 0; i &lt; "&amp;N103&amp;"; i++) {"&amp;CHAR(10)&amp;"    for (int j = 0; j &lt; "&amp;Q103&amp;"; j++) {"&amp;CHAR(10)&amp;IF(D103="E","      Variables.",IF(D103="S","      Variables.","ERROR"))&amp;"SetSetting("&amp;M103&amp;" + "&amp;O103&amp;" + "&amp;P103&amp;" + "&amp;R103&amp;", "&amp;G103&amp;", "&amp;H103&amp;");"&amp;CHAR(10)&amp;"    }"&amp;CHAR(10)&amp;"  }","ERROR")),""))))</f>
        <v/>
      </c>
      <c r="C103" s="1" t="s">
        <v>137</v>
      </c>
      <c r="E103" t="s">
        <v>424</v>
      </c>
      <c r="I103" s="13" t="s">
        <v>426</v>
      </c>
    </row>
    <row r="104" spans="1:10" ht="15" customHeight="1" x14ac:dyDescent="0.25">
      <c r="A104" s="17" t="str">
        <f t="shared" si="18"/>
        <v>#define LABEL_REDIRECTION_CHAR '&gt;'</v>
      </c>
      <c r="B104" s="23" t="str">
        <f t="shared" si="19"/>
        <v/>
      </c>
      <c r="C104" s="1" t="s">
        <v>137</v>
      </c>
      <c r="E104" t="s">
        <v>425</v>
      </c>
      <c r="I104" s="29" t="s">
        <v>427</v>
      </c>
    </row>
    <row r="105" spans="1:10" s="22" customFormat="1" ht="15" customHeight="1" x14ac:dyDescent="0.25">
      <c r="A105" s="19" t="str">
        <f t="shared" ref="A105" si="20">IF(C105="","",IF(C105="C",CHAR(10) &amp; "// " &amp; E105,IF(C105="I","#define " &amp; E105 &amp; " " &amp; I105,IF(C105="P","#define " &amp; E105 &amp; " """ &amp; F105 &amp; """" &amp; CHAR(10) &amp; "#define DEFAULT_" &amp; E105 &amp; " " &amp; I105,IF(C105="S","","ERROR")))))</f>
        <v xml:space="preserve">
// Variable management calls</v>
      </c>
      <c r="B105" s="19" t="str">
        <f t="shared" si="17"/>
        <v xml:space="preserve">  // Variable management calls</v>
      </c>
      <c r="C105" s="20" t="s">
        <v>149</v>
      </c>
      <c r="D105" s="20"/>
      <c r="E105" s="22" t="s">
        <v>371</v>
      </c>
      <c r="F105" s="21"/>
      <c r="G105" s="21"/>
      <c r="H105" s="21"/>
      <c r="I105" s="21"/>
      <c r="J105" s="20" t="str">
        <f t="shared" ref="J105:J107" si="21">IF(OR(C105="P",C105="S"),IF(L105="",1,IF(L105=1,N105,IF(L105=2,N105&amp;" * "&amp;Q105,"ERROR"))),"")</f>
        <v/>
      </c>
    </row>
    <row r="106" spans="1:10" ht="15" customHeight="1" x14ac:dyDescent="0.25">
      <c r="A106" s="17" t="str">
        <f t="shared" si="16"/>
        <v>#define LABEL_VARIABLE_MANAGEMENT "varman"</v>
      </c>
      <c r="B106" s="23" t="str">
        <f t="shared" si="17"/>
        <v/>
      </c>
      <c r="C106" s="1" t="s">
        <v>137</v>
      </c>
      <c r="E106" t="s">
        <v>370</v>
      </c>
      <c r="I106" s="13" t="s">
        <v>374</v>
      </c>
      <c r="J106" s="1" t="str">
        <f t="shared" si="21"/>
        <v/>
      </c>
    </row>
    <row r="107" spans="1:10" ht="15" customHeight="1" x14ac:dyDescent="0.25">
      <c r="A107" s="17" t="str">
        <f t="shared" si="16"/>
        <v>#define VARMAN_SET "set"</v>
      </c>
      <c r="B107" s="23" t="str">
        <f t="shared" si="17"/>
        <v/>
      </c>
      <c r="C107" s="1" t="s">
        <v>137</v>
      </c>
      <c r="E107" t="s">
        <v>372</v>
      </c>
      <c r="I107" s="13" t="s">
        <v>373</v>
      </c>
      <c r="J107" s="1" t="str">
        <f t="shared" si="21"/>
        <v/>
      </c>
    </row>
    <row r="108" spans="1:10" ht="15" customHeight="1" x14ac:dyDescent="0.25">
      <c r="A108" s="17" t="str">
        <f t="shared" ref="A108" si="22">IF(C108="","",IF(C108="C",CHAR(10) &amp; "// " &amp; E108,IF(C108="I","#define " &amp; E108 &amp; " " &amp; I108,IF(C108="P","#define " &amp; E108 &amp; " """ &amp; F108 &amp; """" &amp; CHAR(10) &amp; "#define DEFAULT_" &amp; E108 &amp; " " &amp; I108,IF(C108="S","","ERROR")))))</f>
        <v>#define VARMAN_PRINT "print"</v>
      </c>
      <c r="B108" s="23" t="str">
        <f t="shared" si="17"/>
        <v/>
      </c>
      <c r="C108" s="1" t="s">
        <v>137</v>
      </c>
      <c r="E108" t="s">
        <v>386</v>
      </c>
      <c r="I108" s="13" t="s">
        <v>388</v>
      </c>
    </row>
    <row r="109" spans="1:10" s="22" customFormat="1" ht="15" customHeight="1" x14ac:dyDescent="0.25">
      <c r="A109" s="19" t="str">
        <f t="shared" si="16"/>
        <v xml:space="preserve">
// Run Simulation Calls</v>
      </c>
      <c r="B109" s="19" t="str">
        <f t="shared" si="17"/>
        <v xml:space="preserve">  // Run Simulation Calls</v>
      </c>
      <c r="C109" s="20" t="s">
        <v>149</v>
      </c>
      <c r="D109" s="20"/>
      <c r="E109" s="22" t="s">
        <v>215</v>
      </c>
      <c r="F109" s="21"/>
      <c r="G109" s="21"/>
      <c r="H109" s="21"/>
      <c r="I109" s="21"/>
      <c r="J109" s="20" t="str">
        <f t="shared" si="15"/>
        <v/>
      </c>
    </row>
    <row r="110" spans="1:10" ht="15" customHeight="1" x14ac:dyDescent="0.25">
      <c r="A110" s="17" t="str">
        <f t="shared" si="16"/>
        <v>#define LABEL_RUN_SIMULATION "runsim"</v>
      </c>
      <c r="B110" s="23" t="str">
        <f t="shared" si="17"/>
        <v/>
      </c>
      <c r="C110" s="1" t="s">
        <v>137</v>
      </c>
      <c r="E110" t="s">
        <v>203</v>
      </c>
      <c r="I110" s="13" t="s">
        <v>208</v>
      </c>
      <c r="J110" s="1" t="str">
        <f t="shared" si="15"/>
        <v/>
      </c>
    </row>
    <row r="111" spans="1:10" ht="15" customHeight="1" x14ac:dyDescent="0.25">
      <c r="A111" s="17" t="str">
        <f t="shared" si="16"/>
        <v>#define RUNSIM_SS_INITIALIZE "ss_initialize"</v>
      </c>
      <c r="B111" s="23" t="str">
        <f t="shared" si="17"/>
        <v/>
      </c>
      <c r="C111" s="1" t="s">
        <v>137</v>
      </c>
      <c r="E111" t="s">
        <v>376</v>
      </c>
      <c r="I111" s="13" t="s">
        <v>269</v>
      </c>
      <c r="J111" s="1" t="str">
        <f t="shared" si="15"/>
        <v/>
      </c>
    </row>
    <row r="112" spans="1:10" ht="15" customHeight="1" x14ac:dyDescent="0.25">
      <c r="A112" s="17" t="str">
        <f t="shared" si="16"/>
        <v>#define RUNSIM_SS_ADD_V1_DIFFUSION "ss_add_V1_diffusion"</v>
      </c>
      <c r="B112" s="23" t="str">
        <f t="shared" si="17"/>
        <v/>
      </c>
      <c r="C112" s="1" t="s">
        <v>137</v>
      </c>
      <c r="E112" t="s">
        <v>377</v>
      </c>
      <c r="I112" s="13" t="s">
        <v>270</v>
      </c>
      <c r="J112" s="1" t="str">
        <f t="shared" si="15"/>
        <v/>
      </c>
    </row>
    <row r="113" spans="1:11" ht="15" customHeight="1" x14ac:dyDescent="0.25">
      <c r="A113" s="17" t="str">
        <f t="shared" si="16"/>
        <v>#define RUNSIM_SS_SIMULATE "ss_simulate"</v>
      </c>
      <c r="B113" s="23" t="str">
        <f t="shared" si="17"/>
        <v/>
      </c>
      <c r="C113" s="1" t="s">
        <v>137</v>
      </c>
      <c r="E113" t="s">
        <v>378</v>
      </c>
      <c r="I113" s="13" t="s">
        <v>271</v>
      </c>
      <c r="J113" s="1" t="str">
        <f t="shared" si="15"/>
        <v/>
      </c>
    </row>
    <row r="114" spans="1:11" s="22" customFormat="1" ht="15" customHeight="1" x14ac:dyDescent="0.25">
      <c r="A114" s="19" t="str">
        <f t="shared" si="16"/>
        <v xml:space="preserve">
// Reporting Calls</v>
      </c>
      <c r="B114" s="19" t="str">
        <f t="shared" si="17"/>
        <v xml:space="preserve">  // Reporting Calls</v>
      </c>
      <c r="C114" s="20" t="s">
        <v>149</v>
      </c>
      <c r="D114" s="20"/>
      <c r="E114" s="22" t="s">
        <v>216</v>
      </c>
      <c r="F114" s="21"/>
      <c r="G114" s="21"/>
      <c r="H114" s="21"/>
      <c r="I114" s="21"/>
      <c r="J114" s="20" t="str">
        <f t="shared" si="15"/>
        <v/>
      </c>
    </row>
    <row r="115" spans="1:11" ht="15" customHeight="1" x14ac:dyDescent="0.25">
      <c r="A115" s="17" t="str">
        <f t="shared" si="16"/>
        <v>#define LABEL_REPORTING "report"</v>
      </c>
      <c r="B115" s="23" t="str">
        <f t="shared" si="17"/>
        <v/>
      </c>
      <c r="C115" s="1" t="s">
        <v>137</v>
      </c>
      <c r="E115" t="s">
        <v>204</v>
      </c>
      <c r="I115" s="13" t="s">
        <v>209</v>
      </c>
      <c r="J115" s="1" t="str">
        <f t="shared" si="15"/>
        <v/>
      </c>
    </row>
    <row r="116" spans="1:11" ht="15" customHeight="1" x14ac:dyDescent="0.25">
      <c r="A116" s="17" t="str">
        <f t="shared" si="16"/>
        <v>#define REPORT_SS_PRINT_V1_ACTIVATION "ss_print_V1_activation"</v>
      </c>
      <c r="B116" s="23" t="str">
        <f t="shared" si="17"/>
        <v/>
      </c>
      <c r="C116" s="1" t="s">
        <v>137</v>
      </c>
      <c r="E116" t="s">
        <v>381</v>
      </c>
      <c r="I116" s="13" t="s">
        <v>274</v>
      </c>
      <c r="J116" s="1" t="str">
        <f t="shared" si="15"/>
        <v/>
      </c>
    </row>
    <row r="117" spans="1:11" ht="15" customHeight="1" x14ac:dyDescent="0.25">
      <c r="A117" s="17" t="str">
        <f t="shared" si="16"/>
        <v>#define REPORT_SS_PRINT_V1_ACTIVATION_HORIZONTAL "ss_print_V1_activation_horizontal"</v>
      </c>
      <c r="B117" s="23" t="str">
        <f t="shared" si="17"/>
        <v/>
      </c>
      <c r="C117" s="1" t="s">
        <v>137</v>
      </c>
      <c r="E117" t="s">
        <v>382</v>
      </c>
      <c r="I117" s="13" t="s">
        <v>275</v>
      </c>
      <c r="J117" s="1" t="str">
        <f t="shared" si="15"/>
        <v/>
      </c>
    </row>
    <row r="118" spans="1:11" ht="15" customHeight="1" x14ac:dyDescent="0.25">
      <c r="A118" s="17" t="str">
        <f t="shared" si="16"/>
        <v>#define REPORT_SS_PRINT_V1_EXTERNAL_EXCITATION "ss_print_V1_external_excitation"</v>
      </c>
      <c r="B118" s="23" t="str">
        <f t="shared" si="17"/>
        <v/>
      </c>
      <c r="C118" s="1" t="s">
        <v>137</v>
      </c>
      <c r="E118" t="s">
        <v>383</v>
      </c>
      <c r="I118" s="13" t="s">
        <v>276</v>
      </c>
      <c r="J118" s="1" t="str">
        <f t="shared" ref="J118:J128" si="23">IF(OR(C118="P",C118="S"),IF(L118="",1,IF(L118=1,N118,IF(L118=2,N118&amp;" * "&amp;Q118,"ERROR"))),"")</f>
        <v/>
      </c>
    </row>
    <row r="119" spans="1:11" ht="15" customHeight="1" x14ac:dyDescent="0.25">
      <c r="A119" s="17" t="str">
        <f t="shared" si="16"/>
        <v>#define REPORT_SS_PRINT_MT_ACTIVATION "ss_print_MT_activation"</v>
      </c>
      <c r="B119" s="23" t="str">
        <f t="shared" si="17"/>
        <v/>
      </c>
      <c r="C119" s="1" t="s">
        <v>137</v>
      </c>
      <c r="E119" t="s">
        <v>384</v>
      </c>
      <c r="I119" s="13" t="s">
        <v>277</v>
      </c>
      <c r="J119" s="1" t="str">
        <f t="shared" si="23"/>
        <v/>
      </c>
    </row>
    <row r="120" spans="1:11" ht="15" customHeight="1" x14ac:dyDescent="0.25">
      <c r="A120" s="17" t="str">
        <f t="shared" si="16"/>
        <v>#define REPORT_SS_PRINT_MT_ACTIVATION_HORIZONTAL "ss_print_MT_activation_horizontal"</v>
      </c>
      <c r="B120" s="23" t="str">
        <f t="shared" si="17"/>
        <v/>
      </c>
      <c r="C120" s="1" t="s">
        <v>137</v>
      </c>
      <c r="E120" t="s">
        <v>385</v>
      </c>
      <c r="I120" s="13" t="s">
        <v>278</v>
      </c>
      <c r="J120" s="1" t="str">
        <f t="shared" si="23"/>
        <v/>
      </c>
    </row>
    <row r="121" spans="1:11" s="22" customFormat="1" ht="15" customHeight="1" x14ac:dyDescent="0.25">
      <c r="A121" s="19" t="str">
        <f t="shared" si="16"/>
        <v xml:space="preserve">
// IO Interaction Calls</v>
      </c>
      <c r="B121" s="19" t="str">
        <f t="shared" si="17"/>
        <v xml:space="preserve">  // IO Interaction Calls</v>
      </c>
      <c r="C121" s="20" t="s">
        <v>149</v>
      </c>
      <c r="D121" s="20"/>
      <c r="E121" s="22" t="s">
        <v>219</v>
      </c>
      <c r="F121" s="21"/>
      <c r="G121" s="21"/>
      <c r="H121" s="21"/>
      <c r="I121" s="21"/>
      <c r="J121" s="20" t="str">
        <f t="shared" si="23"/>
        <v/>
      </c>
    </row>
    <row r="122" spans="1:11" ht="15" customHeight="1" x14ac:dyDescent="0.25">
      <c r="A122" s="17" t="str">
        <f t="shared" si="16"/>
        <v>#define LABEL_IO_INTERACTIONS "rescue"</v>
      </c>
      <c r="B122" s="23" t="str">
        <f t="shared" si="17"/>
        <v/>
      </c>
      <c r="C122" s="1" t="s">
        <v>137</v>
      </c>
      <c r="E122" t="s">
        <v>205</v>
      </c>
      <c r="I122" s="13" t="s">
        <v>210</v>
      </c>
      <c r="J122" s="1" t="str">
        <f t="shared" si="23"/>
        <v/>
      </c>
    </row>
    <row r="123" spans="1:11" ht="15" customHeight="1" x14ac:dyDescent="0.25">
      <c r="A123" s="17" t="str">
        <f t="shared" si="16"/>
        <v>#define RESCUE_NPROC "nproc"</v>
      </c>
      <c r="B123" s="23" t="str">
        <f t="shared" si="17"/>
        <v/>
      </c>
      <c r="C123" s="1" t="s">
        <v>137</v>
      </c>
      <c r="E123" t="s">
        <v>389</v>
      </c>
      <c r="I123" s="13" t="s">
        <v>279</v>
      </c>
      <c r="J123" s="1" t="str">
        <f t="shared" si="23"/>
        <v/>
      </c>
    </row>
    <row r="124" spans="1:11" s="41" customFormat="1" ht="15" customHeight="1" x14ac:dyDescent="0.25">
      <c r="A124" s="39"/>
      <c r="B124" s="33" t="str">
        <f t="shared" si="17"/>
        <v/>
      </c>
      <c r="C124" s="40"/>
      <c r="D124" s="40"/>
      <c r="E124" s="41" t="s">
        <v>267</v>
      </c>
      <c r="F124" s="42"/>
      <c r="G124" s="42"/>
      <c r="H124" s="42"/>
      <c r="I124" s="42"/>
      <c r="J124" s="40" t="str">
        <f t="shared" si="23"/>
        <v/>
      </c>
    </row>
    <row r="125" spans="1:11" ht="15" customHeight="1" x14ac:dyDescent="0.25">
      <c r="A125" s="17" t="str">
        <f>IF(C125="","",IF(C125="C",CHAR(10) &amp; "// " &amp; E125,IF(C125="I","#define " &amp; E125 &amp; " " &amp; I125,IF(C125="P","#define " &amp; E125 &amp; " """ &amp; F125 &amp; """" &amp; CHAR(10) &amp; "#define DEFAULT_" &amp; E125 &amp; " " &amp; I125,IF(C125="S","","ERROR")))))</f>
        <v>#define NPROC_SILENT "Nproc_Silent"</v>
      </c>
      <c r="B125" s="23" t="str">
        <f t="shared" si="17"/>
        <v/>
      </c>
      <c r="C125" s="1" t="s">
        <v>137</v>
      </c>
      <c r="E125" t="s">
        <v>220</v>
      </c>
      <c r="I125" s="13" t="s">
        <v>221</v>
      </c>
      <c r="J125" s="1" t="str">
        <f t="shared" si="23"/>
        <v/>
      </c>
    </row>
    <row r="126" spans="1:11" s="26" customFormat="1" ht="15" customHeight="1" x14ac:dyDescent="0.25">
      <c r="A126" s="23" t="str">
        <f>IF(C126="","",IF(C126="C",CHAR(10) &amp; "// " &amp; E126,IF(C126="I","#define " &amp; E126 &amp; " " &amp; I126,IF(C126="P","#define " &amp; E126 &amp; " """ &amp; F126 &amp; """" &amp; CHAR(10) &amp; "#define DEFAULT_" &amp; E126 &amp; " " &amp; I126,IF(C126="S","","ERROR")))))</f>
        <v>#define HASH_SIZE 2097152</v>
      </c>
      <c r="B126" s="23" t="str">
        <f t="shared" si="17"/>
        <v/>
      </c>
      <c r="C126" s="18" t="s">
        <v>137</v>
      </c>
      <c r="D126" s="18"/>
      <c r="E126" s="26" t="s">
        <v>153</v>
      </c>
      <c r="F126" s="25"/>
      <c r="G126" s="25"/>
      <c r="H126" s="25"/>
      <c r="I126" s="25">
        <v>2097152</v>
      </c>
      <c r="J126" s="18" t="str">
        <f t="shared" si="23"/>
        <v/>
      </c>
      <c r="K126" s="26" t="s">
        <v>247</v>
      </c>
    </row>
    <row r="127" spans="1:11" ht="15" customHeight="1" x14ac:dyDescent="0.25">
      <c r="A127" s="17" t="str">
        <f t="shared" ref="A127:A128" si="24">IF(C127="","",IF(C127="C",CHAR(10) &amp; "// " &amp; E127,IF(C127="I","#define " &amp; E127 &amp; " " &amp; I127,IF(C127="P","#define " &amp; E127 &amp; " """ &amp; F127 &amp; """" &amp; CHAR(10) &amp; "#define DEFAULT_" &amp; E127 &amp; " " &amp; I127,IF(C127="S","","ERROR")))))</f>
        <v>#define LABEL_ENVIRONMENT_SETTINGS "setenv"</v>
      </c>
      <c r="B127" s="23" t="str">
        <f t="shared" si="17"/>
        <v/>
      </c>
      <c r="C127" s="1" t="s">
        <v>137</v>
      </c>
      <c r="E127" t="s">
        <v>201</v>
      </c>
      <c r="I127" s="13" t="s">
        <v>206</v>
      </c>
      <c r="J127" s="1" t="str">
        <f t="shared" si="23"/>
        <v/>
      </c>
    </row>
    <row r="128" spans="1:11" ht="15" customHeight="1" x14ac:dyDescent="0.25">
      <c r="A128" s="17" t="str">
        <f t="shared" si="24"/>
        <v>#define LABEL_SIMULATOR_SETTINGS "setsim"</v>
      </c>
      <c r="B128" s="23" t="str">
        <f t="shared" si="17"/>
        <v/>
      </c>
      <c r="C128" s="1" t="s">
        <v>137</v>
      </c>
      <c r="E128" t="s">
        <v>202</v>
      </c>
      <c r="I128" s="13" t="s">
        <v>207</v>
      </c>
      <c r="J128" s="1" t="str">
        <f t="shared" si="23"/>
        <v/>
      </c>
    </row>
    <row r="129" spans="1:11" ht="15" customHeight="1" x14ac:dyDescent="0.25">
      <c r="A129" s="17" t="str">
        <f>IF(C129="","",IF(C129="C",CHAR(10) &amp; "// " &amp; E129,IF(C129="I","#define " &amp; E129 &amp; " " &amp; I129,IF(C129="P","#define " &amp; E129 &amp; " """ &amp; F129 &amp; """" &amp; CHAR(10) &amp; "#define DEFAULT_" &amp; E129 &amp; " " &amp; I129,IF(C129="S","","ERROR")))))</f>
        <v>#define PRINT_ENV "print_env"</v>
      </c>
      <c r="B129" s="23" t="str">
        <f t="shared" si="17"/>
        <v/>
      </c>
      <c r="C129" s="1" t="s">
        <v>137</v>
      </c>
      <c r="E129" t="s">
        <v>217</v>
      </c>
      <c r="I129" s="13" t="s">
        <v>272</v>
      </c>
      <c r="J129" s="1" t="str">
        <f>IF(OR(C129="P",C129="S"),IF(L129="",1,IF(L129=1,N129,IF(L129=2,N129&amp;" * "&amp;Q129,"ERROR"))),"")</f>
        <v/>
      </c>
    </row>
    <row r="130" spans="1:11" ht="15" customHeight="1" x14ac:dyDescent="0.25">
      <c r="A130" s="17" t="str">
        <f>IF(C130="","",IF(C130="C",CHAR(10) &amp; "// " &amp; E130,IF(C130="I","#define " &amp; E130 &amp; " " &amp; I130,IF(C130="P","#define " &amp; E130 &amp; " """ &amp; F130 &amp; """" &amp; CHAR(10) &amp; "#define DEFAULT_" &amp; E130 &amp; " " &amp; I130,IF(C130="S","","ERROR")))))</f>
        <v>#define PRINT_SIM "print_sim"</v>
      </c>
      <c r="B130" s="23" t="str">
        <f t="shared" si="17"/>
        <v/>
      </c>
      <c r="C130" s="1" t="s">
        <v>137</v>
      </c>
      <c r="E130" t="s">
        <v>218</v>
      </c>
      <c r="I130" s="13" t="s">
        <v>273</v>
      </c>
      <c r="J130" s="1" t="str">
        <f>IF(OR(C130="P",C130="S"),IF(L130="",1,IF(L130=1,N130,IF(L130=2,N130&amp;" * "&amp;Q130,"ERROR"))),"")</f>
        <v/>
      </c>
    </row>
    <row r="131" spans="1:11" ht="15" customHeight="1" x14ac:dyDescent="0.25">
      <c r="A131" s="17" t="str">
        <f>IF(C131="","",IF(C131="C",CHAR(10) &amp; "// " &amp; E131,IF(C131="I","#define " &amp; E131 &amp; " " &amp; I131,IF(C131="P","#define " &amp; E131 &amp; " """ &amp; F131 &amp; """" &amp; CHAR(10) &amp; "#define DEFAULT_" &amp; E131 &amp; " " &amp; I131,IF(C131="S","","ERROR")))))</f>
        <v>#define NEURONS_NAME_SIZE 6</v>
      </c>
      <c r="B131" s="23" t="str">
        <f>IF(C131="","",IF(C131="C","  // "&amp;E131,IF(C131="P",IF(D131="E","  Variables.",IF(D131="S","  Variables.","ERROR"))&amp;"SetSetting("&amp;E131&amp;", "&amp;G131&amp;", "&amp;H131&amp;");",IF(C131="S",
IF(L131=1,"  for (int i = 0; i &lt; "&amp;N131&amp;"; i++) {"&amp;CHAR(10)&amp;IF(D131="E","    Variables.",IF(D131="S","    Variables.","ERROR"))&amp;"SetSetting("&amp;M131&amp;" + "&amp;O131&amp;", "&amp;G131&amp;", "&amp;H131&amp;");"&amp;CHAR(10)&amp;"  }",
IF(L131=2,"  for (int i = 0; i &lt; "&amp;N131&amp;"; i++) {"&amp;CHAR(10)&amp;"    for (int j = 0; j &lt; "&amp;Q131&amp;"; j++) {"&amp;CHAR(10)&amp;IF(D131="E","      Variables.",IF(D131="S","      Variables.","ERROR"))&amp;"SetSetting("&amp;M131&amp;" + "&amp;O131&amp;" + "&amp;P131&amp;" + "&amp;R131&amp;", "&amp;G131&amp;", "&amp;H131&amp;");"&amp;CHAR(10)&amp;"    }"&amp;CHAR(10)&amp;"  }","ERROR")),""))))</f>
        <v/>
      </c>
      <c r="C131" s="1" t="s">
        <v>137</v>
      </c>
      <c r="E131" s="28" t="s">
        <v>240</v>
      </c>
      <c r="I131" s="13">
        <v>6</v>
      </c>
      <c r="J131" s="1" t="str">
        <f>IF(OR(C131="P",C131="S"),IF(L131="",1,IF(L131=1,N131,IF(L131=2,N131&amp;" * "&amp;Q131,"ERROR"))),"")</f>
        <v/>
      </c>
      <c r="K131" t="s">
        <v>169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LogManager.Initialize</vt:lpstr>
      <vt:lpstr>InterpreterManager.Initialize</vt:lpstr>
      <vt:lpstr>define.Initialize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Lothar</cp:lastModifiedBy>
  <dcterms:created xsi:type="dcterms:W3CDTF">2015-02-14T01:58:55Z</dcterms:created>
  <dcterms:modified xsi:type="dcterms:W3CDTF">2015-04-07T15:05:06Z</dcterms:modified>
</cp:coreProperties>
</file>