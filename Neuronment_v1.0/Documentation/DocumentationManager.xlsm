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35" yWindow="3135" windowWidth="22995" windowHeight="9525" activeTab="2"/>
  </bookViews>
  <sheets>
    <sheet name="LogManager.Initialize" sheetId="1" r:id="rId1"/>
    <sheet name="InterpreterManager.Initialize" sheetId="2" r:id="rId2"/>
    <sheet name="define.Initialize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A8" i="3" l="1"/>
  <c r="B8" i="3"/>
  <c r="B18" i="3"/>
  <c r="B19" i="3"/>
  <c r="B14" i="3"/>
  <c r="B15" i="3"/>
  <c r="B16" i="3"/>
  <c r="B17" i="3"/>
  <c r="J9" i="3"/>
  <c r="B9" i="3"/>
  <c r="A9" i="3"/>
  <c r="I12" i="3"/>
  <c r="A12" i="3" s="1"/>
  <c r="I11" i="3"/>
  <c r="A11" i="3" s="1"/>
  <c r="I10" i="3"/>
  <c r="A10" i="3" s="1"/>
  <c r="B10" i="3"/>
  <c r="B11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3" i="3"/>
  <c r="J12" i="3"/>
  <c r="J11" i="3"/>
  <c r="J7" i="3"/>
  <c r="J6" i="3"/>
  <c r="J5" i="3"/>
  <c r="J4" i="3"/>
  <c r="J3" i="3"/>
  <c r="J2" i="3"/>
  <c r="J80" i="3"/>
  <c r="B13" i="3"/>
  <c r="B12" i="3"/>
  <c r="A20" i="3"/>
  <c r="A124" i="3"/>
  <c r="B124" i="3"/>
  <c r="I19" i="3"/>
  <c r="I18" i="3"/>
  <c r="I17" i="3"/>
  <c r="I16" i="3"/>
  <c r="I15" i="3"/>
  <c r="I14" i="3"/>
  <c r="I13" i="3"/>
  <c r="A18" i="3" l="1"/>
  <c r="A19" i="3"/>
  <c r="A17" i="3"/>
  <c r="A16" i="3"/>
  <c r="A15" i="3"/>
  <c r="A14" i="3"/>
  <c r="A13" i="3"/>
  <c r="B41" i="3"/>
  <c r="A41" i="3"/>
  <c r="B40" i="3"/>
  <c r="A40" i="3"/>
  <c r="B39" i="3"/>
  <c r="A39" i="3"/>
  <c r="B97" i="3" l="1"/>
  <c r="A97" i="3"/>
  <c r="B96" i="3"/>
  <c r="A96" i="3"/>
  <c r="B64" i="3"/>
  <c r="A64" i="3"/>
  <c r="B32" i="3"/>
  <c r="A32" i="3"/>
  <c r="B93" i="3"/>
  <c r="A93" i="3"/>
  <c r="B77" i="3"/>
  <c r="A77" i="3"/>
  <c r="B87" i="3"/>
  <c r="A87" i="3"/>
  <c r="B85" i="3"/>
  <c r="A85" i="3"/>
  <c r="B83" i="3"/>
  <c r="A83" i="3"/>
  <c r="B78" i="3"/>
  <c r="A78" i="3"/>
  <c r="B76" i="3"/>
  <c r="A76" i="3"/>
  <c r="B75" i="3"/>
  <c r="A75" i="3"/>
  <c r="A73" i="3"/>
  <c r="A74" i="3"/>
  <c r="A79" i="3"/>
  <c r="A80" i="3"/>
  <c r="B74" i="3"/>
  <c r="B73" i="3"/>
  <c r="B72" i="3"/>
  <c r="A72" i="3"/>
  <c r="B71" i="3"/>
  <c r="A71" i="3"/>
  <c r="B70" i="3"/>
  <c r="A70" i="3"/>
  <c r="B42" i="3"/>
  <c r="A42" i="3"/>
  <c r="B69" i="3"/>
  <c r="A69" i="3"/>
  <c r="B59" i="3"/>
  <c r="A59" i="3"/>
  <c r="B27" i="3"/>
  <c r="A27" i="3"/>
  <c r="B50" i="3"/>
  <c r="A50" i="3"/>
  <c r="B49" i="3"/>
  <c r="A49" i="3"/>
  <c r="B44" i="3"/>
  <c r="A44" i="3"/>
  <c r="B43" i="3"/>
  <c r="A43" i="3"/>
  <c r="B38" i="3"/>
  <c r="A38" i="3"/>
  <c r="B37" i="3"/>
  <c r="A37" i="3"/>
  <c r="B36" i="3"/>
  <c r="A36" i="3"/>
  <c r="A47" i="1" l="1"/>
  <c r="B47" i="1"/>
  <c r="A9" i="1" l="1"/>
  <c r="B9" i="1"/>
  <c r="A4" i="2" l="1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2" i="2"/>
  <c r="A3" i="2"/>
  <c r="A24" i="3"/>
  <c r="B24" i="3"/>
  <c r="A43" i="1"/>
  <c r="B43" i="1"/>
  <c r="B123" i="3" l="1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5" i="3"/>
  <c r="B94" i="3"/>
  <c r="B92" i="3"/>
  <c r="B91" i="3"/>
  <c r="B90" i="3"/>
  <c r="B89" i="3"/>
  <c r="B86" i="3"/>
  <c r="B88" i="3"/>
  <c r="B84" i="3"/>
  <c r="B82" i="3"/>
  <c r="B81" i="3"/>
  <c r="B80" i="3"/>
  <c r="B79" i="3"/>
  <c r="B68" i="3"/>
  <c r="B67" i="3"/>
  <c r="B66" i="3"/>
  <c r="B65" i="3"/>
  <c r="B63" i="3"/>
  <c r="B62" i="3"/>
  <c r="B61" i="3"/>
  <c r="B60" i="3"/>
  <c r="B58" i="3"/>
  <c r="B57" i="3"/>
  <c r="B56" i="3"/>
  <c r="B55" i="3"/>
  <c r="B54" i="3"/>
  <c r="B53" i="3"/>
  <c r="B52" i="3"/>
  <c r="B51" i="3"/>
  <c r="B48" i="3"/>
  <c r="B47" i="3"/>
  <c r="B46" i="3"/>
  <c r="B45" i="3"/>
  <c r="B35" i="3"/>
  <c r="B34" i="3"/>
  <c r="B33" i="3"/>
  <c r="B25" i="3"/>
  <c r="B31" i="3"/>
  <c r="B30" i="3"/>
  <c r="B29" i="3"/>
  <c r="B28" i="3"/>
  <c r="B23" i="3"/>
  <c r="B22" i="3"/>
  <c r="B21" i="3"/>
  <c r="B20" i="3"/>
  <c r="B7" i="3"/>
  <c r="B6" i="3"/>
  <c r="B5" i="3"/>
  <c r="B4" i="3"/>
  <c r="B3" i="3"/>
  <c r="B2" i="3"/>
  <c r="A61" i="3"/>
  <c r="A29" i="3"/>
  <c r="A63" i="3"/>
  <c r="A31" i="3"/>
  <c r="A123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5" i="3"/>
  <c r="A94" i="3"/>
  <c r="A92" i="3"/>
  <c r="A91" i="3"/>
  <c r="A90" i="3"/>
  <c r="A89" i="3"/>
  <c r="A86" i="3"/>
  <c r="A88" i="3"/>
  <c r="A84" i="3"/>
  <c r="A82" i="3"/>
  <c r="A81" i="3"/>
  <c r="A68" i="3"/>
  <c r="A67" i="3"/>
  <c r="A66" i="3"/>
  <c r="A65" i="3"/>
  <c r="A62" i="3"/>
  <c r="A60" i="3"/>
  <c r="A58" i="3"/>
  <c r="A57" i="3"/>
  <c r="A56" i="3"/>
  <c r="A55" i="3"/>
  <c r="A54" i="3"/>
  <c r="A53" i="3"/>
  <c r="A52" i="3"/>
  <c r="A51" i="3"/>
  <c r="A48" i="3"/>
  <c r="A47" i="3"/>
  <c r="A46" i="3"/>
  <c r="A45" i="3"/>
  <c r="A35" i="3"/>
  <c r="A34" i="3"/>
  <c r="A33" i="3"/>
  <c r="A25" i="3"/>
  <c r="A30" i="3"/>
  <c r="A28" i="3"/>
  <c r="A23" i="3"/>
  <c r="A22" i="3"/>
  <c r="A21" i="3"/>
  <c r="A7" i="3"/>
  <c r="A6" i="3"/>
  <c r="A5" i="3"/>
  <c r="A4" i="3"/>
  <c r="A3" i="3"/>
  <c r="A2" i="3"/>
  <c r="A2" i="1" l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6" i="1"/>
  <c r="A45" i="1"/>
  <c r="A44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8" i="1"/>
  <c r="A7" i="1"/>
  <c r="A6" i="1"/>
  <c r="A5" i="1"/>
  <c r="A4" i="1"/>
  <c r="A3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6" i="1"/>
  <c r="B45" i="1"/>
  <c r="B44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8" i="1"/>
  <c r="B7" i="1"/>
  <c r="B6" i="1"/>
  <c r="B5" i="1"/>
  <c r="B4" i="1"/>
  <c r="B3" i="1"/>
</calcChain>
</file>

<file path=xl/sharedStrings.xml><?xml version="1.0" encoding="utf-8"?>
<sst xmlns="http://schemas.openxmlformats.org/spreadsheetml/2006/main" count="903" uniqueCount="391">
  <si>
    <t>#</t>
  </si>
  <si>
    <t>IN-001</t>
  </si>
  <si>
    <t>T</t>
  </si>
  <si>
    <t>F</t>
  </si>
  <si>
    <t>NProc directive not recognized</t>
  </si>
  <si>
    <t>IN-002</t>
  </si>
  <si>
    <t>Trying to report an undeclared variable</t>
  </si>
  <si>
    <t>IN-003</t>
  </si>
  <si>
    <t>Redefining a previously stored setting</t>
  </si>
  <si>
    <t>IN-004</t>
  </si>
  <si>
    <t>IN-005</t>
  </si>
  <si>
    <t>Nproc unidentified setting, ignoring line</t>
  </si>
  <si>
    <t>IN-007</t>
  </si>
  <si>
    <t>A boolean argument has not been properly written. Will be interpreted as false</t>
  </si>
  <si>
    <t>IN-010</t>
  </si>
  <si>
    <t>NProc incorrect amount of arguments for directive, ignoring line</t>
  </si>
  <si>
    <t>Command Line Issues</t>
  </si>
  <si>
    <t>UI-001</t>
  </si>
  <si>
    <t>Duplicated or contradictory flags on command call</t>
  </si>
  <si>
    <t>UI-002</t>
  </si>
  <si>
    <t>Flag expected</t>
  </si>
  <si>
    <t>UI-003</t>
  </si>
  <si>
    <t>Flag not recognized, flag omitted</t>
  </si>
  <si>
    <t>UI-004</t>
  </si>
  <si>
    <t>Label without content</t>
  </si>
  <si>
    <t>UI-006</t>
  </si>
  <si>
    <t>Empty NProc name</t>
  </si>
  <si>
    <t>File IO Issues</t>
  </si>
  <si>
    <t>ER-001</t>
  </si>
  <si>
    <t>ER-002</t>
  </si>
  <si>
    <t>ER-003</t>
  </si>
  <si>
    <t>File couldn't be opened</t>
  </si>
  <si>
    <t>ER-004</t>
  </si>
  <si>
    <t>ER-005</t>
  </si>
  <si>
    <t>Trying to get a new line from a non ready file</t>
  </si>
  <si>
    <t>ER-006</t>
  </si>
  <si>
    <t>Trying to get a new line from a file already at the end</t>
  </si>
  <si>
    <t>ER-007</t>
  </si>
  <si>
    <t>Fail on getting a new line from nproc file</t>
  </si>
  <si>
    <t>ER-008</t>
  </si>
  <si>
    <t>ER-009</t>
  </si>
  <si>
    <t>Trying to close an unopened file</t>
  </si>
  <si>
    <t>ER-010</t>
  </si>
  <si>
    <t>Implementation Issues</t>
  </si>
  <si>
    <t>DV-001</t>
  </si>
  <si>
    <t>Missing implementation</t>
  </si>
  <si>
    <t>DV-002</t>
  </si>
  <si>
    <t>Trying to declare a previously declared setting</t>
  </si>
  <si>
    <t>DV-003</t>
  </si>
  <si>
    <t>Trying to load a setting of an unsupported type</t>
  </si>
  <si>
    <t>DV-005</t>
  </si>
  <si>
    <t>DV-006</t>
  </si>
  <si>
    <t>Trying to read an incorrect data type for the setting</t>
  </si>
  <si>
    <t>DV-007</t>
  </si>
  <si>
    <t>The setting count is different than the declared setting count on the HashEntry</t>
  </si>
  <si>
    <t>DV-012</t>
  </si>
  <si>
    <t>Trying a quick access of incorrect type</t>
  </si>
  <si>
    <t>DV-013</t>
  </si>
  <si>
    <t>Hash Table Full</t>
  </si>
  <si>
    <t>DV-015</t>
  </si>
  <si>
    <t>Setting declared but hasn't been initialized</t>
  </si>
  <si>
    <t>DV-017</t>
  </si>
  <si>
    <t>Discrepancy on neuron type on assignment</t>
  </si>
  <si>
    <t>DV-018</t>
  </si>
  <si>
    <t>Trying to quick retrieve un-existent value</t>
  </si>
  <si>
    <t>Reporting Issues</t>
  </si>
  <si>
    <t>RP-001</t>
  </si>
  <si>
    <t>Trying to open an already opened stream</t>
  </si>
  <si>
    <t>RP-002</t>
  </si>
  <si>
    <t>Trying to close a non opened stream</t>
  </si>
  <si>
    <t>Simulator Interface Issues</t>
  </si>
  <si>
    <t>SD-001</t>
  </si>
  <si>
    <t>Simple Simulator Not Initialized</t>
  </si>
  <si>
    <t>SD-002</t>
  </si>
  <si>
    <t>V1V1_weight_adaptation not recognized</t>
  </si>
  <si>
    <t>SD-003</t>
  </si>
  <si>
    <t>MT_act_method not recognized</t>
  </si>
  <si>
    <t>SD-004</t>
  </si>
  <si>
    <t>V1_D001_excitatory_factor is required for calculation</t>
  </si>
  <si>
    <t>SD-005</t>
  </si>
  <si>
    <t>V1_D001_conductance_leak is required for calculation</t>
  </si>
  <si>
    <t>SD-006</t>
  </si>
  <si>
    <t>V1_D001_inhibition_factor is required for calculation</t>
  </si>
  <si>
    <t>SD-007</t>
  </si>
  <si>
    <t>V1MT_connection_method not recognized</t>
  </si>
  <si>
    <t>SD-009</t>
  </si>
  <si>
    <t>V1_dac_method not recognized</t>
  </si>
  <si>
    <t>SD-010</t>
  </si>
  <si>
    <t>V1MT_sigma is required for calculation</t>
  </si>
  <si>
    <t>SD-011</t>
  </si>
  <si>
    <t>V1MT_amplification is required for calculation</t>
  </si>
  <si>
    <t>SD-012</t>
  </si>
  <si>
    <t>V1MT_modulation is required for calculation</t>
  </si>
  <si>
    <t>SD-013</t>
  </si>
  <si>
    <t>V1MT_aperture is required for calculation</t>
  </si>
  <si>
    <t>SD-015</t>
  </si>
  <si>
    <t>No V1_Neuron created</t>
  </si>
  <si>
    <t>SD-016</t>
  </si>
  <si>
    <t>No MT_Neuron created</t>
  </si>
  <si>
    <t>SD-017</t>
  </si>
  <si>
    <t>SD-018</t>
  </si>
  <si>
    <t>MT_dac_method not recognized</t>
  </si>
  <si>
    <t>SD-019</t>
  </si>
  <si>
    <t>V1V1_base_weight_source not recognized</t>
  </si>
  <si>
    <t>SD-020</t>
  </si>
  <si>
    <t>V1V1_default_weight is required for calculation</t>
  </si>
  <si>
    <t>SD-021</t>
  </si>
  <si>
    <t>Invalid timing for eternal excitation</t>
  </si>
  <si>
    <t>SD-023</t>
  </si>
  <si>
    <t>Invalid Parameter</t>
  </si>
  <si>
    <t>SD-025</t>
  </si>
  <si>
    <t>Unordered external excitation phase insertion attempt</t>
  </si>
  <si>
    <t>SD-027</t>
  </si>
  <si>
    <t>First diffusion phase should be always zero</t>
  </si>
  <si>
    <t>SD-028</t>
  </si>
  <si>
    <t>The number of steps for simulate needs to be at least 1</t>
  </si>
  <si>
    <t>SD-030</t>
  </si>
  <si>
    <t>Internal simulation pointer corruption</t>
  </si>
  <si>
    <t>SD-031</t>
  </si>
  <si>
    <t>Trying to compare 2 identical MT cells</t>
  </si>
  <si>
    <t>SD-033</t>
  </si>
  <si>
    <t>Trying to access an invalid activation TimeStep</t>
  </si>
  <si>
    <t>SD-034</t>
  </si>
  <si>
    <t>V1_act_method not recognized</t>
  </si>
  <si>
    <t>SD-035</t>
  </si>
  <si>
    <t>V1_external_excitation_method not recognized</t>
  </si>
  <si>
    <t>Warnings</t>
  </si>
  <si>
    <t>WN-001</t>
  </si>
  <si>
    <t>Undocumented RFSize Calculation</t>
  </si>
  <si>
    <t>WN-002</t>
  </si>
  <si>
    <t>Undocumented Sigma Calculation</t>
  </si>
  <si>
    <t>WN-003</t>
  </si>
  <si>
    <t>Undocumented AdaptedWeithg Calculation</t>
  </si>
  <si>
    <t>WN-004</t>
  </si>
  <si>
    <t>Undocumented AdaptedWeight correction</t>
  </si>
  <si>
    <t>WN-005</t>
  </si>
  <si>
    <t>Undocumented BaseWeight correction</t>
  </si>
  <si>
    <t>Reading Nproc File Issues</t>
  </si>
  <si>
    <t>D</t>
  </si>
  <si>
    <t>I</t>
  </si>
  <si>
    <t>R</t>
  </si>
  <si>
    <t>N</t>
  </si>
  <si>
    <t>Description</t>
  </si>
  <si>
    <t>WN-006</t>
  </si>
  <si>
    <t>SD-036</t>
  </si>
  <si>
    <t>Setting not recognized</t>
  </si>
  <si>
    <t>SD-037</t>
  </si>
  <si>
    <t>Setting required</t>
  </si>
  <si>
    <t>File couldn't be properly closed</t>
  </si>
  <si>
    <t>Required file is empty</t>
  </si>
  <si>
    <t>The directive trying to get interpreted is not on the list of possible directives. Please go to the Reference Manual chapter "Directives" to get a full list of valid directives.</t>
  </si>
  <si>
    <t>Math</t>
  </si>
  <si>
    <t>C</t>
  </si>
  <si>
    <t>PI</t>
  </si>
  <si>
    <t>HashTable</t>
  </si>
  <si>
    <t>HASH_C</t>
  </si>
  <si>
    <t>HASH_SIZE</t>
  </si>
  <si>
    <t>Pi value for internal calculations</t>
  </si>
  <si>
    <t>DEFAULT_MESSAGES</t>
  </si>
  <si>
    <t>DEFAULT_SILENT_OUTPUT</t>
  </si>
  <si>
    <t>true</t>
  </si>
  <si>
    <t>false</t>
  </si>
  <si>
    <t>3.1415926535</t>
  </si>
  <si>
    <t>Environment Variables</t>
  </si>
  <si>
    <t>Default behaviour at printing log messages. True prints, false doesn't print</t>
  </si>
  <si>
    <t>Default bebaviour for silencing the log output. False prints output, true silences it (doens't print)</t>
  </si>
  <si>
    <t>P</t>
  </si>
  <si>
    <t>Data_bool</t>
  </si>
  <si>
    <t>HASH_A</t>
  </si>
  <si>
    <t>HASH_B</t>
  </si>
  <si>
    <t>Click this Cell to Update LogManager.Initialize.cpp &amp; Manual_23A.tex</t>
  </si>
  <si>
    <t>V1 Neuron Parameters</t>
  </si>
  <si>
    <t>MAX_V1_NEURONS</t>
  </si>
  <si>
    <t>Fix amount of digits at V1 neurons numbering</t>
  </si>
  <si>
    <t>V1_ACTIVATION_METHOD</t>
  </si>
  <si>
    <t>V1_act_method</t>
  </si>
  <si>
    <t>Data_string</t>
  </si>
  <si>
    <t>"none"</t>
  </si>
  <si>
    <t>V1_DACTIVATION_METHOD</t>
  </si>
  <si>
    <t>V1_dac_method</t>
  </si>
  <si>
    <t>Variable that contains the method to be used at V1 activation derivate calculation</t>
  </si>
  <si>
    <t>Variable that contains the method to be used at V1 activation calculation</t>
  </si>
  <si>
    <t>V1_D001</t>
  </si>
  <si>
    <t>V1 derivate activation method D001</t>
  </si>
  <si>
    <t>V1_D001_CONDUCTANCE_LEAK</t>
  </si>
  <si>
    <t>V1_D001_conductance_leak</t>
  </si>
  <si>
    <t>Data_double</t>
  </si>
  <si>
    <t>V1_D001_EXCITATORY_FACTOR</t>
  </si>
  <si>
    <t>V1_D001_excitatory_factor</t>
  </si>
  <si>
    <t>V1_D001_INHIBITION_FACTOR</t>
  </si>
  <si>
    <t>V1_D001_inhibition_factor</t>
  </si>
  <si>
    <t>V1_F001_A</t>
  </si>
  <si>
    <t>V1_F001_B</t>
  </si>
  <si>
    <t>V1_F001_ORIENTATION</t>
  </si>
  <si>
    <t>V1_F001_SPATIAL_FREQUENCY</t>
  </si>
  <si>
    <t>V1_F001_TEMPORAL_FREQUENCY</t>
  </si>
  <si>
    <t>V1_F001_MAGNITUDE</t>
  </si>
  <si>
    <t>V1_F001_PHASE</t>
  </si>
  <si>
    <t>V1_F001_a</t>
  </si>
  <si>
    <t>V1_F001_b</t>
  </si>
  <si>
    <t>V1_F001_orientation</t>
  </si>
  <si>
    <t>V1_F001_spatial_frequency</t>
  </si>
  <si>
    <t>V1_F001_temporal_frequency</t>
  </si>
  <si>
    <t>V1_F001_magnitude</t>
  </si>
  <si>
    <t>V1_F001_phase</t>
  </si>
  <si>
    <t>V1_F001</t>
  </si>
  <si>
    <t>MT Neuron Parameters</t>
  </si>
  <si>
    <t>MAX_MT_NEURONS</t>
  </si>
  <si>
    <t>MT_ACTIVATION_METHOD</t>
  </si>
  <si>
    <t>MT_act_method</t>
  </si>
  <si>
    <t>MT_DACTIVATION_METHOD</t>
  </si>
  <si>
    <t>MT_dac_method</t>
  </si>
  <si>
    <t>MT_A001</t>
  </si>
  <si>
    <t>Simulator Defines</t>
  </si>
  <si>
    <t>SIMULATOR_TIME_STEP</t>
  </si>
  <si>
    <t>simulator_time_step</t>
  </si>
  <si>
    <t>Interface Defines</t>
  </si>
  <si>
    <t>LABEL_DONE</t>
  </si>
  <si>
    <t>"DONE"</t>
  </si>
  <si>
    <t>"FAIL"</t>
  </si>
  <si>
    <t>LABEL_ENVIRONMENT_SETTINGS</t>
  </si>
  <si>
    <t>LABEL_SIMULATOR_SETTINGS</t>
  </si>
  <si>
    <t>LABEL_RUN_SIMULATION</t>
  </si>
  <si>
    <t>LABEL_REPORTING</t>
  </si>
  <si>
    <t>LABEL_IO_INTERACTIONS</t>
  </si>
  <si>
    <t>"setenv"</t>
  </si>
  <si>
    <t>"setsim"</t>
  </si>
  <si>
    <t>"runsim"</t>
  </si>
  <si>
    <t>"report"</t>
  </si>
  <si>
    <t>"rescue"</t>
  </si>
  <si>
    <t>LABEL_COMMENT_STRING</t>
  </si>
  <si>
    <t>LABEL_COMMENT_CHAR</t>
  </si>
  <si>
    <t>'#'</t>
  </si>
  <si>
    <t>"#"</t>
  </si>
  <si>
    <t>Run Simulation Calls</t>
  </si>
  <si>
    <t>SS_INITIALIZE</t>
  </si>
  <si>
    <t>SS_ADD_V1_DIFFUSION</t>
  </si>
  <si>
    <t>SS_SIMULATE</t>
  </si>
  <si>
    <t>Reporting Calls</t>
  </si>
  <si>
    <t>PRINT_ENV</t>
  </si>
  <si>
    <t>PRINT_SIM</t>
  </si>
  <si>
    <t>SS_PRINT_V1_ACTIVATION</t>
  </si>
  <si>
    <t>SS_PRINT_V1_ACTIVATION_HORIZONTAL</t>
  </si>
  <si>
    <t>SS_PRINT_V1_EXTERNAL_EXCITATION</t>
  </si>
  <si>
    <t>SS_PRINT_MT_ACTIVATION</t>
  </si>
  <si>
    <t>SS_PRINT_MT_ACTIVATION_HORIZONTAL</t>
  </si>
  <si>
    <t>IO Interaction Calls</t>
  </si>
  <si>
    <t>NPROC</t>
  </si>
  <si>
    <t>NPROC_SILENT</t>
  </si>
  <si>
    <t>"Nproc_Silent"</t>
  </si>
  <si>
    <t>"V1_D001"</t>
  </si>
  <si>
    <t>"V1_F001"</t>
  </si>
  <si>
    <t>"MT_A001"</t>
  </si>
  <si>
    <t>LABEL_FAIL</t>
  </si>
  <si>
    <t>V1MT_CONNECTION_METHOD</t>
  </si>
  <si>
    <t>V1MT_connection_method</t>
  </si>
  <si>
    <t>V1MT_L001</t>
  </si>
  <si>
    <t>"V1MT_L001"</t>
  </si>
  <si>
    <t>V1MT_L001_APERTURE</t>
  </si>
  <si>
    <t>V1MT_L001_aperture</t>
  </si>
  <si>
    <t>V1MT_L001_AMPLIFICATION</t>
  </si>
  <si>
    <t>V1MT_L001_amplification</t>
  </si>
  <si>
    <t>V1MT_L001_SIGMA</t>
  </si>
  <si>
    <t>V1MT_L001_sigma</t>
  </si>
  <si>
    <t>V1MT_L001_MODULATION</t>
  </si>
  <si>
    <t>V1MT_L001_modulation</t>
  </si>
  <si>
    <t>V1_EXTERNAL_EXCITATION_METHOD</t>
  </si>
  <si>
    <t>V1_external_excitation_method</t>
  </si>
  <si>
    <t>S</t>
  </si>
  <si>
    <t>E</t>
  </si>
  <si>
    <t>V1_LABEL</t>
  </si>
  <si>
    <t>"V1"</t>
  </si>
  <si>
    <t>MT_LABEL</t>
  </si>
  <si>
    <t>"MT"</t>
  </si>
  <si>
    <t>NEURONS_NAME_SIZE</t>
  </si>
  <si>
    <t>NNumber(i)</t>
  </si>
  <si>
    <t>NNumber(j)</t>
  </si>
  <si>
    <t>Trying to use an unsupported setting</t>
  </si>
  <si>
    <t>Data_int</t>
  </si>
  <si>
    <t>There are undocumented calculations in use</t>
  </si>
  <si>
    <t>Hashing prime 1, required for hasing strings</t>
  </si>
  <si>
    <t>Hashing prime 2, required for hasing strings</t>
  </si>
  <si>
    <t>Hashing prime 3, required for hasing strings</t>
  </si>
  <si>
    <t>HashTable default size</t>
  </si>
  <si>
    <t>Deprecated Messages</t>
  </si>
  <si>
    <t>Click this Cell to Update define.h, SettingsManager.Initialize.cpp</t>
  </si>
  <si>
    <t>SD-032</t>
  </si>
  <si>
    <t>Empty pointer to function entry</t>
  </si>
  <si>
    <t>HIDE_END</t>
  </si>
  <si>
    <t>hide_end</t>
  </si>
  <si>
    <t>Hide DONE/FAIL interpreter result</t>
  </si>
  <si>
    <t>Main</t>
  </si>
  <si>
    <t>Secondary</t>
  </si>
  <si>
    <t>function</t>
  </si>
  <si>
    <t>SetenvCall</t>
  </si>
  <si>
    <t>SetsimCall</t>
  </si>
  <si>
    <t>RunsimCall</t>
  </si>
  <si>
    <t>ReportCall</t>
  </si>
  <si>
    <t>RescueCall</t>
  </si>
  <si>
    <t>Click this cell to update Interpretermanager.Initialize.cpp</t>
  </si>
  <si>
    <t>Simulator Settings</t>
  </si>
  <si>
    <t>Environment Settings</t>
  </si>
  <si>
    <t>Run Commands</t>
  </si>
  <si>
    <t>Reporting Commands</t>
  </si>
  <si>
    <t>I/O Interaction Commands</t>
  </si>
  <si>
    <t>Up Are Environment, Down are Simulator</t>
  </si>
  <si>
    <t>IN-006</t>
  </si>
  <si>
    <t>Deprecated</t>
  </si>
  <si>
    <t>Nproc unidentified sub directive, ignoring line</t>
  </si>
  <si>
    <t>Development Assetion - The program arrived to an unexpected set of conditions</t>
  </si>
  <si>
    <t>Runtime Assertion - Something went wrong running the program. Terminating</t>
  </si>
  <si>
    <t>Implementation Assertion - There is a problem with the implementation</t>
  </si>
  <si>
    <t>Flag not found or without a value</t>
  </si>
  <si>
    <t>"ss_initialize"</t>
  </si>
  <si>
    <t>"ss_add_V1_diffusion"</t>
  </si>
  <si>
    <t>"ss_simulate"</t>
  </si>
  <si>
    <t>"print_env"</t>
  </si>
  <si>
    <t>"print_sim"</t>
  </si>
  <si>
    <t>"ss_print_V1_activation"</t>
  </si>
  <si>
    <t>"ss_print_V1_activation_horizontal"</t>
  </si>
  <si>
    <t>"ss_print_V1_external_excitation"</t>
  </si>
  <si>
    <t>"ss_print_MT_activation"</t>
  </si>
  <si>
    <t>"ss_print_MT_activation_horizontal"</t>
  </si>
  <si>
    <t>"nproc"</t>
  </si>
  <si>
    <t>RP-003</t>
  </si>
  <si>
    <t>Stream didn't oppened correctly</t>
  </si>
  <si>
    <t>RescueCall_NPROC</t>
  </si>
  <si>
    <t>Default Log Verbose Behavior</t>
  </si>
  <si>
    <t>2.0/3.0</t>
  </si>
  <si>
    <t>PI/4.0+0.1</t>
  </si>
  <si>
    <t>Maximum number of V1 neurons to use</t>
  </si>
  <si>
    <t>V1 Activation Methods</t>
  </si>
  <si>
    <t>V1_A001</t>
  </si>
  <si>
    <t>"V1_A001"</t>
  </si>
  <si>
    <t>V1 activation method A001</t>
  </si>
  <si>
    <t>V1 Derivate Activation Methods</t>
  </si>
  <si>
    <t>V1_D001 Method Parameters</t>
  </si>
  <si>
    <t>V1_A001 Method Parameters</t>
  </si>
  <si>
    <t>V1 Diffusion Imput Methods</t>
  </si>
  <si>
    <t>V1_F001 Method Parameters</t>
  </si>
  <si>
    <t>V1 Neuron Settings</t>
  </si>
  <si>
    <t>MT Neuron Settings</t>
  </si>
  <si>
    <t>MT_A001 Parameters</t>
  </si>
  <si>
    <t>None</t>
  </si>
  <si>
    <t>MT Activation Methods</t>
  </si>
  <si>
    <t>MT Derivate Activation Methods</t>
  </si>
  <si>
    <t>MT_D001</t>
  </si>
  <si>
    <t>"MT_D001"</t>
  </si>
  <si>
    <t>MT_D001 Parameters</t>
  </si>
  <si>
    <t>Neuron Linking</t>
  </si>
  <si>
    <t>V1V1 Linking Methods</t>
  </si>
  <si>
    <t>V1V1_L001</t>
  </si>
  <si>
    <t>"V1V1_L001"</t>
  </si>
  <si>
    <t>V1V1_L001 Link Parameters</t>
  </si>
  <si>
    <t>MTMT Link Methods</t>
  </si>
  <si>
    <t>V1V1_L001_BASE_WEIGHT_SOURCE</t>
  </si>
  <si>
    <t>V1V1_L001_DEFAULT_WEIGHT</t>
  </si>
  <si>
    <t>V1MT Linking Methods</t>
  </si>
  <si>
    <t>V1MT_L001 Link Parameters</t>
  </si>
  <si>
    <t>V1V1_CONNECTION_METHOD</t>
  </si>
  <si>
    <t>V1V1_connection_method</t>
  </si>
  <si>
    <t>V1V1_L001_base_weight_source</t>
  </si>
  <si>
    <t>V1V1_L001_default_weight</t>
  </si>
  <si>
    <t>Defines</t>
  </si>
  <si>
    <t>V1_FIRST_CALCULATION</t>
  </si>
  <si>
    <t>V1_first_calculation</t>
  </si>
  <si>
    <t>Variable that contains if activation or dactivation is calculated first</t>
  </si>
  <si>
    <t>MT_FIRST_CALCULATION</t>
  </si>
  <si>
    <t>MT_first_calculation</t>
  </si>
  <si>
    <t>CALCULATE_ACTIVATION</t>
  </si>
  <si>
    <t>CALCULATE_DACTIVATION</t>
  </si>
  <si>
    <t>"activation"</t>
  </si>
  <si>
    <t>"dactivation"</t>
  </si>
  <si>
    <t>V1_A001_NL_MAX</t>
  </si>
  <si>
    <t>V1_A001_NL_A</t>
  </si>
  <si>
    <t>V1_A001_NL_B</t>
  </si>
  <si>
    <t>V1_A001_nl_max</t>
  </si>
  <si>
    <t>V1_A001_nl_a</t>
  </si>
  <si>
    <t>V1_A001_nl_b</t>
  </si>
  <si>
    <t>INTERPRETER_MANAGER_COMMANDS_HASH_SIZE</t>
  </si>
  <si>
    <t>LOG_MANAGER_MESSAGES_HASH_SIZE</t>
  </si>
  <si>
    <t>SETTINGS_MANAGER_INT_HASH_SIZE</t>
  </si>
  <si>
    <t>MAX_LINKING_NEURONS</t>
  </si>
  <si>
    <t>HashTables Sizes</t>
  </si>
  <si>
    <t>SETTINGS_MANAGER_DOUBLE_HASH_SIZE</t>
  </si>
  <si>
    <t>SETTINGS_MANAGER_FLOAT_HASH_SIZE</t>
  </si>
  <si>
    <t>SETTINGS_MANAGER_STRING_HASH_SIZE</t>
  </si>
  <si>
    <t>SETTINGS_MANAGER_BOOL_HASH_SIZE</t>
  </si>
  <si>
    <t>SETTINGS_MANAGER_SETTINGSIZE_HASH_SIZE</t>
  </si>
  <si>
    <t>SETTINGS_MANAGER_SETTINGTYPE_HASH_SIZE</t>
  </si>
  <si>
    <t>HASH_CAPACITY_MULTIPLICATOR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</si>
</sst>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7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33" borderId="0" xfId="0" applyFill="1"/>
    <xf numFmtId="0" fontId="0" fillId="33" borderId="0" xfId="0" applyFill="1" applyAlignment="1">
      <alignment horizontal="center"/>
    </xf>
    <xf numFmtId="0" fontId="0" fillId="33" borderId="0" xfId="0" applyFill="1" applyAlignment="1">
      <alignment horizontal="left"/>
    </xf>
    <xf numFmtId="2" fontId="0" fillId="33" borderId="0" xfId="0" applyNumberFormat="1" applyFill="1" applyAlignment="1">
      <alignment horizontal="left"/>
    </xf>
    <xf numFmtId="2" fontId="0" fillId="33" borderId="0" xfId="0" applyNumberFormat="1" applyFill="1" applyAlignment="1">
      <alignment horizontal="center"/>
    </xf>
    <xf numFmtId="0" fontId="0" fillId="34" borderId="0" xfId="0" applyFill="1"/>
    <xf numFmtId="0" fontId="0" fillId="34" borderId="0" xfId="0" applyFill="1" applyAlignment="1">
      <alignment horizontal="center"/>
    </xf>
    <xf numFmtId="2" fontId="0" fillId="34" borderId="0" xfId="0" applyNumberFormat="1" applyFill="1" applyAlignment="1">
      <alignment horizontal="center"/>
    </xf>
    <xf numFmtId="0" fontId="0" fillId="34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0" fillId="35" borderId="0" xfId="0" applyFill="1"/>
    <xf numFmtId="0" fontId="0" fillId="35" borderId="0" xfId="0" applyFill="1" applyAlignment="1">
      <alignment horizontal="center"/>
    </xf>
    <xf numFmtId="0" fontId="0" fillId="35" borderId="0" xfId="0" applyNumberFormat="1" applyFill="1" applyAlignment="1">
      <alignment horizontal="center"/>
    </xf>
    <xf numFmtId="0" fontId="0" fillId="35" borderId="0" xfId="0" applyFill="1" applyAlignment="1">
      <alignment horizontal="left"/>
    </xf>
    <xf numFmtId="0" fontId="0" fillId="36" borderId="0" xfId="0" applyFill="1"/>
    <xf numFmtId="0" fontId="0" fillId="36" borderId="0" xfId="0" applyFill="1" applyAlignment="1">
      <alignment horizontal="center"/>
    </xf>
    <xf numFmtId="0" fontId="0" fillId="36" borderId="0" xfId="0" applyNumberFormat="1" applyFill="1" applyAlignment="1">
      <alignment horizontal="center"/>
    </xf>
    <xf numFmtId="0" fontId="0" fillId="36" borderId="0" xfId="0" applyFill="1" applyAlignment="1">
      <alignment horizontal="left"/>
    </xf>
    <xf numFmtId="0" fontId="0" fillId="34" borderId="0" xfId="0" applyFill="1" applyAlignment="1">
      <alignment wrapText="1"/>
    </xf>
    <xf numFmtId="0" fontId="0" fillId="33" borderId="0" xfId="0" applyFill="1" applyAlignment="1">
      <alignment wrapText="1"/>
    </xf>
    <xf numFmtId="0" fontId="0" fillId="0" borderId="0" xfId="0" applyAlignment="1">
      <alignment wrapText="1"/>
    </xf>
    <xf numFmtId="0" fontId="0" fillId="35" borderId="0" xfId="0" applyFill="1" applyAlignment="1">
      <alignment wrapText="1"/>
    </xf>
    <xf numFmtId="0" fontId="0" fillId="36" borderId="0" xfId="0" applyFill="1" applyAlignment="1">
      <alignment wrapText="1"/>
    </xf>
    <xf numFmtId="0" fontId="0" fillId="0" borderId="0" xfId="0" applyFill="1" applyAlignment="1">
      <alignment horizontal="center"/>
    </xf>
    <xf numFmtId="0" fontId="0" fillId="37" borderId="0" xfId="0" applyFill="1" applyAlignment="1">
      <alignment wrapText="1"/>
    </xf>
    <xf numFmtId="0" fontId="0" fillId="37" borderId="0" xfId="0" applyFill="1" applyAlignment="1">
      <alignment horizontal="center"/>
    </xf>
    <xf numFmtId="0" fontId="0" fillId="37" borderId="0" xfId="0" applyFill="1" applyAlignment="1">
      <alignment horizontal="left"/>
    </xf>
    <xf numFmtId="0" fontId="0" fillId="37" borderId="0" xfId="0" applyFill="1"/>
    <xf numFmtId="0" fontId="0" fillId="0" borderId="0" xfId="0" applyFill="1" applyAlignment="1">
      <alignment wrapText="1"/>
    </xf>
    <xf numFmtId="0" fontId="0" fillId="0" borderId="0" xfId="0" applyNumberFormat="1" applyFill="1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38" borderId="0" xfId="0" applyFill="1" applyAlignment="1">
      <alignment horizontal="center"/>
    </xf>
    <xf numFmtId="49" fontId="0" fillId="0" borderId="0" xfId="0" applyNumberFormat="1"/>
    <xf numFmtId="0" fontId="0" fillId="0" borderId="0" xfId="0" quotePrefix="1" applyAlignment="1">
      <alignment horizontal="left"/>
    </xf>
    <xf numFmtId="49" fontId="0" fillId="37" borderId="0" xfId="0" applyNumberFormat="1" applyFill="1"/>
    <xf numFmtId="0" fontId="0" fillId="0" borderId="0" xfId="0" quotePrefix="1" applyNumberFormat="1" applyFill="1" applyAlignment="1">
      <alignment horizontal="left"/>
    </xf>
    <xf numFmtId="49" fontId="0" fillId="0" borderId="0" xfId="0" applyNumberFormat="1" applyFill="1"/>
    <xf numFmtId="0" fontId="0" fillId="38" borderId="0" xfId="0" applyFill="1"/>
    <xf numFmtId="0" fontId="0" fillId="39" borderId="0" xfId="0" applyFill="1" applyAlignment="1">
      <alignment wrapText="1"/>
    </xf>
    <xf numFmtId="0" fontId="0" fillId="39" borderId="0" xfId="0" applyFill="1" applyAlignment="1">
      <alignment horizontal="center"/>
    </xf>
    <xf numFmtId="49" fontId="0" fillId="39" borderId="0" xfId="0" applyNumberFormat="1" applyFill="1"/>
    <xf numFmtId="0" fontId="0" fillId="39" borderId="0" xfId="0" applyFill="1" applyAlignment="1">
      <alignment horizontal="left"/>
    </xf>
    <xf numFmtId="0" fontId="0" fillId="39" borderId="0" xfId="0" applyFill="1"/>
    <xf numFmtId="0" fontId="0" fillId="39" borderId="0" xfId="0" applyNumberFormat="1" applyFill="1" applyAlignment="1">
      <alignment horizontal="center"/>
    </xf>
    <xf numFmtId="0" fontId="0" fillId="39" borderId="0" xfId="0" applyNumberFormat="1" applyFill="1" applyAlignment="1">
      <alignment horizontal="left"/>
    </xf>
    <xf numFmtId="0" fontId="18" fillId="39" borderId="0" xfId="0" applyFont="1" applyFill="1" applyAlignment="1">
      <alignment wrapText="1"/>
    </xf>
    <xf numFmtId="0" fontId="18" fillId="39" borderId="0" xfId="0" applyFont="1" applyFill="1" applyAlignment="1">
      <alignment horizontal="center"/>
    </xf>
    <xf numFmtId="0" fontId="18" fillId="39" borderId="0" xfId="0" applyFont="1" applyFill="1"/>
    <xf numFmtId="0" fontId="18" fillId="39" borderId="0" xfId="0" applyFont="1" applyFill="1" applyAlignment="1">
      <alignment horizontal="left"/>
    </xf>
    <xf numFmtId="0" fontId="0" fillId="40" borderId="0" xfId="0" applyFill="1" applyAlignment="1">
      <alignment horizontal="left"/>
    </xf>
    <xf numFmtId="0" fontId="0" fillId="40" borderId="0" xfId="0" quotePrefix="1" applyFill="1" applyAlignment="1">
      <alignment horizontal="left"/>
    </xf>
    <xf numFmtId="164" fontId="0" fillId="40" borderId="0" xfId="0" applyNumberFormat="1" applyFill="1" applyAlignment="1">
      <alignment horizontal="left"/>
    </xf>
    <xf numFmtId="0" fontId="0" fillId="41" borderId="0" xfId="0" applyFill="1" applyAlignment="1">
      <alignment wrapText="1"/>
    </xf>
    <xf numFmtId="0" fontId="0" fillId="41" borderId="0" xfId="0" applyFill="1" applyAlignment="1">
      <alignment horizontal="center"/>
    </xf>
    <xf numFmtId="0" fontId="0" fillId="41" borderId="0" xfId="0" applyFill="1"/>
    <xf numFmtId="0" fontId="0" fillId="41" borderId="0" xfId="0" applyFill="1" applyAlignment="1">
      <alignment horizontal="left"/>
    </xf>
    <xf numFmtId="0" fontId="0" fillId="42" borderId="0" xfId="0" applyFill="1" applyAlignment="1">
      <alignment wrapText="1"/>
    </xf>
    <xf numFmtId="0" fontId="0" fillId="42" borderId="0" xfId="0" applyFill="1" applyAlignment="1">
      <alignment horizontal="center"/>
    </xf>
    <xf numFmtId="0" fontId="0" fillId="42" borderId="0" xfId="0" applyFill="1"/>
    <xf numFmtId="0" fontId="0" fillId="42" borderId="0" xfId="0" applyFill="1" applyAlignment="1">
      <alignment horizontal="left"/>
    </xf>
    <xf numFmtId="49" fontId="0" fillId="42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99"/>
  <sheetViews>
    <sheetView zoomScaleNormal="100" workbookViewId="0">
      <pane ySplit="1" topLeftCell="A2" activePane="bottomLeft" state="frozen"/>
      <selection pane="bottomLeft" activeCell="H1" sqref="H1"/>
    </sheetView>
  </sheetViews>
  <sheetFormatPr defaultRowHeight="15" customHeight="1" x14ac:dyDescent="0.25"/>
  <cols>
    <col min="1" max="2" width="2.85546875" style="25" customWidth="1"/>
    <col min="3" max="3" width="8.5703125" style="1" customWidth="1"/>
    <col min="4" max="6" width="2.85546875" style="1" customWidth="1"/>
    <col min="7" max="7" width="2.85546875" style="2" customWidth="1"/>
    <col min="8" max="8" width="78.5703125" style="13" customWidth="1"/>
    <col min="9" max="9" width="2.85546875" style="1" customWidth="1"/>
  </cols>
  <sheetData>
    <row r="1" spans="1:10" ht="15" customHeight="1" x14ac:dyDescent="0.25">
      <c r="H1" s="37" t="s">
        <v>170</v>
      </c>
    </row>
    <row r="2" spans="1:10" s="9" customFormat="1" ht="15" customHeight="1" x14ac:dyDescent="0.25">
      <c r="A2" s="23" t="str">
        <f>IF(C2&lt;&gt;"",IF(C2="#","  // "&amp;H2,
"  MessagesDevelopmentAssert.QuickPutEntry_bool("""&amp;C2&amp;""", "&amp;IF(D2="F","false",IF(D2="T","true","ERROR"))&amp;");"&amp;CHAR(10)&amp;
"  MessagesImplementationAssert.QuickPutEntry_bool("""&amp;C2&amp;""", "&amp;IF(E2="F","false",IF(E2="T","true","ERROR"))&amp;");"&amp;CHAR(10)&amp;
"  MessagesRuntimeAssert.QuickPutEntry_bool("""&amp;C2&amp;""", "&amp;IF(F2="F","false",IF(F2="T","true","ERROR"))&amp;");"&amp;CHAR(10)&amp;
"  MessagesDisabling.QuickPutEntry_int("""&amp;C2&amp;""", "&amp;G2&amp;");"&amp; CHAR(10) &amp;
"  MessagesCount.QuickPutEntry_int("""&amp;C2&amp;""", 0);"&amp;CHAR(10)&amp;
"  MessagesLabel.QuickPutEntry_string("""&amp;C2&amp;""","""&amp;H2&amp;""");"&amp;
IF(J2&lt;&gt;"",CHAR(10) &amp; "  MessagesText.QuickPutEntry_string("""&amp;C2&amp;""", """&amp;SUBSTITUTE(J2,"""","\""")&amp;""");","")
),"")</f>
        <v xml:space="preserve">  // Description</v>
      </c>
      <c r="B2" s="23"/>
      <c r="C2" s="10" t="s">
        <v>0</v>
      </c>
      <c r="D2" s="10" t="s">
        <v>138</v>
      </c>
      <c r="E2" s="10" t="s">
        <v>139</v>
      </c>
      <c r="F2" s="10" t="s">
        <v>140</v>
      </c>
      <c r="G2" s="11" t="s">
        <v>141</v>
      </c>
      <c r="H2" s="12" t="s">
        <v>142</v>
      </c>
      <c r="I2" s="10"/>
    </row>
    <row r="3" spans="1:10" s="4" customFormat="1" ht="15" customHeight="1" x14ac:dyDescent="0.25">
      <c r="A3" s="24" t="str">
        <f>IF(C3&lt;&gt;"",IF(C3="#","  // "&amp;H3,
"  MessagesDevelopmentAssert.QuickPutEntry_bool("""&amp;C3&amp;""", "&amp;IF(D3="F","false",IF(D3="T","true","ERROR"))&amp;");"&amp;CHAR(10)&amp;
"  MessagesImplementationAssert.QuickPutEntry_bool("""&amp;C3&amp;""", "&amp;IF(E3="F","false",IF(E3="T","true","ERROR"))&amp;");"&amp;CHAR(10)&amp;
"  MessagesRuntimeAssert.QuickPutEntry_bool("""&amp;C3&amp;""", "&amp;IF(F3="F","false",IF(F3="T","true","ERROR"))&amp;");"&amp;CHAR(10)&amp;
"  MessagesDisabling.QuickPutEntry_int("""&amp;C3&amp;""", "&amp;G3&amp;");"&amp; CHAR(10) &amp;
"  MessagesCount.QuickPutEntry_int("""&amp;C3&amp;""", 0);"&amp;CHAR(10)&amp;
"  MessagesLabel.QuickPutEntry_string("""&amp;C3&amp;""","""&amp;H3&amp;""");"&amp;
IF(J3&lt;&gt;"",CHAR(10) &amp; "  MessagesText.QuickPutEntry_string("""&amp;C3&amp;""", """&amp;SUBSTITUTE(J3,"""","\""")&amp;""");","")
),"")</f>
        <v xml:space="preserve">  // Reading Nproc File Issues</v>
      </c>
      <c r="B3" s="24" t="str">
        <f>IF(C3&lt;&gt;"",IF(C3="#","\section{"&amp;H3&amp;"}" &amp; CHAR(10),
"\subsection{" &amp; C3 &amp; "}" &amp; CHAR(10) &amp; "\begin{itemize}" &amp; CHAR(10) &amp;
"  \item Interface Message:\\[1em]\textbf{" &amp; SUBSTITUTE(H3,"_","\_") &amp; "}" &amp; CHAR(10) &amp;
"  \item Development Assertion: " &amp; IF(D3="F","NO",IF(D3="T","YES","ERROR")) &amp; CHAR(10) &amp;
"  \item Implementation Assertion: " &amp; IF(E3="F","NO",IF(E3="T","YES","ERROR")) &amp; CHAR(10) &amp;
"  \item Runtime Assertion: " &amp; IF(F3="F","NO",IF(F3="T","YES","ERROR")) &amp; CHAR(10) &amp;
IF(J3&lt;&gt;"","  \item Message Description:\\[1em]"&amp; SUBSTITUTE(J3,"_","\_")  &amp;CHAR(10),"") &amp;
"\end{itemize}"&amp;CHAR(10)),"")</f>
        <v xml:space="preserve">\section{Reading Nproc File Issues}
</v>
      </c>
      <c r="C3" s="5" t="s">
        <v>0</v>
      </c>
      <c r="E3" s="6"/>
      <c r="F3" s="6"/>
      <c r="G3" s="7"/>
      <c r="H3" s="6" t="s">
        <v>137</v>
      </c>
      <c r="I3" s="5"/>
    </row>
    <row r="4" spans="1:10" s="36" customFormat="1" ht="15" customHeight="1" x14ac:dyDescent="0.25">
      <c r="A4" s="33" t="str">
        <f t="shared" ref="A4:A71" si="0">IF(C4&lt;&gt;"",IF(C4="#","  // "&amp;H4,
"  MessagesDevelopmentAssert.QuickPutEntry_bool("""&amp;C4&amp;""", "&amp;IF(D4="F","false",IF(D4="T","true","ERROR"))&amp;");"&amp;CHAR(10)&amp;
"  MessagesImplementationAssert.QuickPutEntry_bool("""&amp;C4&amp;""", "&amp;IF(E4="F","false",IF(E4="T","true","ERROR"))&amp;");"&amp;CHAR(10)&amp;
"  MessagesRuntimeAssert.QuickPutEntry_bool("""&amp;C4&amp;""", "&amp;IF(F4="F","false",IF(F4="T","true","ERROR"))&amp;");"&amp;CHAR(10)&amp;
"  MessagesDisabling.QuickPutEntry_int("""&amp;C4&amp;""", "&amp;G4&amp;");"&amp; CHAR(10) &amp;
"  MessagesCount.QuickPutEntry_int("""&amp;C4&amp;""", 0);"&amp;CHAR(10)&amp;
"  MessagesLabel.QuickPutEntry_string("""&amp;C4&amp;""","""&amp;H4&amp;""");"&amp;
IF(J4&lt;&gt;"",CHAR(10) &amp; "  MessagesText.QuickPutEntry_string("""&amp;C4&amp;""", """&amp;SUBSTITUTE(J4,"""","\""")&amp;""");","")
),"")</f>
        <v xml:space="preserve">  MessagesDevelopmentAssert.QuickPutEntry_bool("IN-001", true);
  MessagesImplementationAssert.QuickPutEntry_bool("IN-001", false);
  MessagesRuntimeAssert.QuickPutEntry_bool("IN-001", false);
  MessagesDisabling.QuickPutEntry_int("IN-001", 0);
  MessagesCount.QuickPutEntry_int("IN-001", 0);
  MessagesLabel.QuickPutEntry_string("IN-001","NProc directive not recognized");
  MessagesText.QuickPutEntry_string("IN-001", "The directive trying to get interpreted is not on the list of possible directives. Please go to the Reference Manual chapter \"Directives\" to get a full list of valid directives.");</v>
      </c>
      <c r="B4" s="33" t="str">
        <f t="shared" ref="B4:B71" si="1">IF(C4&lt;&gt;"",IF(C4="#","\section{"&amp;H4&amp;"}" &amp; CHAR(10),
"\subsection{" &amp; C4 &amp; "}" &amp; CHAR(10) &amp; "\begin{itemize}" &amp; CHAR(10) &amp;
"  \item Interface Message:\\[1em]\textbf{" &amp; SUBSTITUTE(H4,"_","\_") &amp; "}" &amp; CHAR(10) &amp;
"  \item Development Assertion: " &amp; IF(D4="F","NO",IF(D4="T","YES","ERROR")) &amp; CHAR(10) &amp;
"  \item Implementation Assertion: " &amp; IF(E4="F","NO",IF(E4="T","YES","ERROR")) &amp; CHAR(10) &amp;
"  \item Runtime Assertion: " &amp; IF(F4="F","NO",IF(F4="T","YES","ERROR")) &amp; CHAR(10) &amp;
IF(J4&lt;&gt;"","  \item Message Description:\\[1em]"&amp; SUBSTITUTE(J4,"_","\_")  &amp;CHAR(10),"") &amp;
"\end{itemize}"&amp;CHAR(10)),"")</f>
        <v xml:space="preserve">\subsection{IN-001}
\begin{itemize}
  \item Interface Message:\\[1em]\textbf{NProc directive not recognized}
  \item Development Assertion: YES
  \item Implementation Assertion: NO
  \item Runtime Assertion: NO
  \item Message Description:\\[1em]The directive trying to get interpreted is not on the list of possible directives. Please go to the Reference Manual chapter "Directives" to get a full list of valid directives.
\end{itemize}
</v>
      </c>
      <c r="C4" s="28" t="s">
        <v>1</v>
      </c>
      <c r="D4" s="28" t="s">
        <v>2</v>
      </c>
      <c r="E4" s="28" t="s">
        <v>3</v>
      </c>
      <c r="F4" s="28" t="s">
        <v>3</v>
      </c>
      <c r="G4" s="34">
        <v>0</v>
      </c>
      <c r="H4" s="35" t="s">
        <v>4</v>
      </c>
      <c r="I4" s="28"/>
      <c r="J4" s="35" t="s">
        <v>150</v>
      </c>
    </row>
    <row r="5" spans="1:10" s="36" customFormat="1" ht="15" customHeight="1" x14ac:dyDescent="0.25">
      <c r="A5" s="33" t="str">
        <f t="shared" si="0"/>
        <v xml:space="preserve">  MessagesDevelopmentAssert.QuickPutEntry_bool("IN-002", true);
  MessagesImplementationAssert.QuickPutEntry_bool("IN-002", false);
  MessagesRuntimeAssert.QuickPutEntry_bool("IN-002", false);
  MessagesDisabling.QuickPutEntry_int("IN-002", 0);
  MessagesCount.QuickPutEntry_int("IN-002", 0);
  MessagesLabel.QuickPutEntry_string("IN-002","Trying to report an undeclared variable");</v>
      </c>
      <c r="B5" s="33" t="str">
        <f t="shared" si="1"/>
        <v xml:space="preserve">\subsection{IN-002}
\begin{itemize}
  \item Interface Message:\\[1em]\textbf{Trying to report an undeclared variable}
  \item Development Assertion: YES
  \item Implementation Assertion: NO
  \item Runtime Assertion: NO
\end{itemize}
</v>
      </c>
      <c r="C5" s="28" t="s">
        <v>5</v>
      </c>
      <c r="D5" s="28" t="s">
        <v>2</v>
      </c>
      <c r="E5" s="28" t="s">
        <v>3</v>
      </c>
      <c r="F5" s="28" t="s">
        <v>3</v>
      </c>
      <c r="G5" s="34">
        <v>0</v>
      </c>
      <c r="H5" s="35" t="s">
        <v>6</v>
      </c>
      <c r="I5" s="28"/>
    </row>
    <row r="6" spans="1:10" s="36" customFormat="1" ht="15" customHeight="1" x14ac:dyDescent="0.25">
      <c r="A6" s="33" t="str">
        <f t="shared" si="0"/>
        <v xml:space="preserve">  MessagesDevelopmentAssert.QuickPutEntry_bool("IN-003", false);
  MessagesImplementationAssert.QuickPutEntry_bool("IN-003", false);
  MessagesRuntimeAssert.QuickPutEntry_bool("IN-003", false);
  MessagesDisabling.QuickPutEntry_int("IN-003", 0);
  MessagesCount.QuickPutEntry_int("IN-003", 0);
  MessagesLabel.QuickPutEntry_string("IN-003","Redefining a previously stored setting");</v>
      </c>
      <c r="B6" s="33" t="str">
        <f t="shared" si="1"/>
        <v xml:space="preserve">\subsection{IN-003}
\begin{itemize}
  \item Interface Message:\\[1em]\textbf{Redefining a previously stored setting}
  \item Development Assertion: NO
  \item Implementation Assertion: NO
  \item Runtime Assertion: NO
\end{itemize}
</v>
      </c>
      <c r="C6" s="28" t="s">
        <v>7</v>
      </c>
      <c r="D6" s="28" t="s">
        <v>3</v>
      </c>
      <c r="E6" s="28" t="s">
        <v>3</v>
      </c>
      <c r="F6" s="28" t="s">
        <v>3</v>
      </c>
      <c r="G6" s="34">
        <v>0</v>
      </c>
      <c r="H6" s="35" t="s">
        <v>8</v>
      </c>
      <c r="I6" s="28"/>
    </row>
    <row r="7" spans="1:10" s="36" customFormat="1" ht="15" customHeight="1" x14ac:dyDescent="0.25">
      <c r="A7" s="33" t="str">
        <f t="shared" si="0"/>
        <v xml:space="preserve">  MessagesDevelopmentAssert.QuickPutEntry_bool("IN-004", true);
  MessagesImplementationAssert.QuickPutEntry_bool("IN-004", false);
  MessagesRuntimeAssert.QuickPutEntry_bool("IN-004", false);
  MessagesDisabling.QuickPutEntry_int("IN-004", 0);
  MessagesCount.QuickPutEntry_int("IN-004", 0);
  MessagesLabel.QuickPutEntry_string("IN-004","Nproc unidentified sub directive, ignoring line");</v>
      </c>
      <c r="B7" s="33" t="str">
        <f t="shared" si="1"/>
        <v xml:space="preserve">\subsection{IN-004}
\begin{itemize}
  \item Interface Message:\\[1em]\textbf{Nproc unidentified sub directive, ignoring line}
  \item Development Assertion: YES
  \item Implementation Assertion: NO
  \item Runtime Assertion: NO
\end{itemize}
</v>
      </c>
      <c r="C7" s="28" t="s">
        <v>9</v>
      </c>
      <c r="D7" s="28" t="s">
        <v>2</v>
      </c>
      <c r="E7" s="28" t="s">
        <v>3</v>
      </c>
      <c r="F7" s="28" t="s">
        <v>3</v>
      </c>
      <c r="G7" s="34">
        <v>0</v>
      </c>
      <c r="H7" s="35" t="s">
        <v>308</v>
      </c>
      <c r="I7" s="28"/>
    </row>
    <row r="8" spans="1:10" s="36" customFormat="1" ht="15" customHeight="1" x14ac:dyDescent="0.25">
      <c r="A8" s="33" t="str">
        <f t="shared" si="0"/>
        <v xml:space="preserve">  MessagesDevelopmentAssert.QuickPutEntry_bool("IN-005", false);
  MessagesImplementationAssert.QuickPutEntry_bool("IN-005", false);
  MessagesRuntimeAssert.QuickPutEntry_bool("IN-005", false);
  MessagesDisabling.QuickPutEntry_int("IN-005", 0);
  MessagesCount.QuickPutEntry_int("IN-005", 0);
  MessagesLabel.QuickPutEntry_string("IN-005","Nproc unidentified setting, ignoring line");</v>
      </c>
      <c r="B8" s="33" t="str">
        <f t="shared" si="1"/>
        <v xml:space="preserve">\subsection{IN-005}
\begin{itemize}
  \item Interface Message:\\[1em]\textbf{Nproc unidentified setting, ignoring line}
  \item Development Assertion: NO
  \item Implementation Assertion: NO
  \item Runtime Assertion: NO
\end{itemize}
</v>
      </c>
      <c r="C8" s="28" t="s">
        <v>10</v>
      </c>
      <c r="D8" s="28" t="s">
        <v>3</v>
      </c>
      <c r="E8" s="28" t="s">
        <v>3</v>
      </c>
      <c r="F8" s="28" t="s">
        <v>3</v>
      </c>
      <c r="G8" s="34">
        <v>0</v>
      </c>
      <c r="H8" s="35" t="s">
        <v>11</v>
      </c>
      <c r="I8" s="28"/>
    </row>
    <row r="9" spans="1:10" s="36" customFormat="1" ht="15" customHeight="1" x14ac:dyDescent="0.25">
      <c r="A9" s="33" t="str">
        <f t="shared" ref="A9" si="2">IF(C9&lt;&gt;"",IF(C9="#","  // "&amp;H9,
"  MessagesDevelopmentAssert.QuickPutEntry_bool("""&amp;C9&amp;""", "&amp;IF(D9="F","false",IF(D9="T","true","ERROR"))&amp;");"&amp;CHAR(10)&amp;
"  MessagesImplementationAssert.QuickPutEntry_bool("""&amp;C9&amp;""", "&amp;IF(E9="F","false",IF(E9="T","true","ERROR"))&amp;");"&amp;CHAR(10)&amp;
"  MessagesRuntimeAssert.QuickPutEntry_bool("""&amp;C9&amp;""", "&amp;IF(F9="F","false",IF(F9="T","true","ERROR"))&amp;");"&amp;CHAR(10)&amp;
"  MessagesDisabling.QuickPutEntry_int("""&amp;C9&amp;""", "&amp;G9&amp;");"&amp; CHAR(10) &amp;
"  MessagesCount.QuickPutEntry_int("""&amp;C9&amp;""", 0);"&amp;CHAR(10)&amp;
"  MessagesLabel.QuickPutEntry_string("""&amp;C9&amp;""","""&amp;H9&amp;""");"&amp;
IF(J9&lt;&gt;"",CHAR(10) &amp; "  MessagesText.QuickPutEntry_string("""&amp;C9&amp;""", """&amp;SUBSTITUTE(J9,"""","\""")&amp;""");","")
),"")</f>
        <v xml:space="preserve">  MessagesDevelopmentAssert.QuickPutEntry_bool("IN-006", false);
  MessagesImplementationAssert.QuickPutEntry_bool("IN-006", false);
  MessagesRuntimeAssert.QuickPutEntry_bool("IN-006", false);
  MessagesDisabling.QuickPutEntry_int("IN-006", 0);
  MessagesCount.QuickPutEntry_int("IN-006", 0);
  MessagesLabel.QuickPutEntry_string("IN-006","Flag not found or without a value");</v>
      </c>
      <c r="B9" s="33" t="str">
        <f t="shared" ref="B9" si="3">IF(C9&lt;&gt;"",IF(C9="#","\section{"&amp;H9&amp;"}" &amp; CHAR(10),
"\subsection{" &amp; C9 &amp; "}" &amp; CHAR(10) &amp; "\begin{itemize}" &amp; CHAR(10) &amp;
"  \item Interface Message:\\[1em]\textbf{" &amp; SUBSTITUTE(H9,"_","\_") &amp; "}" &amp; CHAR(10) &amp;
"  \item Development Assertion: " &amp; IF(D9="F","NO",IF(D9="T","YES","ERROR")) &amp; CHAR(10) &amp;
"  \item Implementation Assertion: " &amp; IF(E9="F","NO",IF(E9="T","YES","ERROR")) &amp; CHAR(10) &amp;
"  \item Runtime Assertion: " &amp; IF(F9="F","NO",IF(F9="T","YES","ERROR")) &amp; CHAR(10) &amp;
IF(J9&lt;&gt;"","  \item Message Description:\\[1em]"&amp; SUBSTITUTE(J9,"_","\_")  &amp;CHAR(10),"") &amp;
"\end{itemize}"&amp;CHAR(10)),"")</f>
        <v xml:space="preserve">\subsection{IN-006}
\begin{itemize}
  \item Interface Message:\\[1em]\textbf{Flag not found or without a value}
  \item Development Assertion: NO
  \item Implementation Assertion: NO
  \item Runtime Assertion: NO
\end{itemize}
</v>
      </c>
      <c r="C9" s="28" t="s">
        <v>306</v>
      </c>
      <c r="D9" s="28" t="s">
        <v>3</v>
      </c>
      <c r="E9" s="28" t="s">
        <v>3</v>
      </c>
      <c r="F9" s="28" t="s">
        <v>3</v>
      </c>
      <c r="G9" s="34">
        <v>0</v>
      </c>
      <c r="H9" s="35" t="s">
        <v>312</v>
      </c>
      <c r="I9" s="28"/>
    </row>
    <row r="10" spans="1:10" s="36" customFormat="1" ht="15" customHeight="1" x14ac:dyDescent="0.25">
      <c r="A10" s="33" t="str">
        <f t="shared" si="0"/>
        <v xml:space="preserve">  MessagesDevelopmentAssert.QuickPutEntry_bool("IN-007", false);
  MessagesImplementationAssert.QuickPutEntry_bool("IN-007", false);
  MessagesRuntimeAssert.QuickPutEntry_bool("IN-007", false);
  MessagesDisabling.QuickPutEntry_int("IN-007", 0);
  MessagesCount.QuickPutEntry_int("IN-007", 0);
  MessagesLabel.QuickPutEntry_string("IN-007","A boolean argument has not been properly written. Will be interpreted as false");</v>
      </c>
      <c r="B10" s="33" t="str">
        <f t="shared" si="1"/>
        <v xml:space="preserve">\subsection{IN-007}
\begin{itemize}
  \item Interface Message:\\[1em]\textbf{A boolean argument has not been properly written. Will be interpreted as false}
  \item Development Assertion: NO
  \item Implementation Assertion: NO
  \item Runtime Assertion: NO
\end{itemize}
</v>
      </c>
      <c r="C10" s="28" t="s">
        <v>12</v>
      </c>
      <c r="D10" s="28" t="s">
        <v>3</v>
      </c>
      <c r="E10" s="28" t="s">
        <v>3</v>
      </c>
      <c r="F10" s="28" t="s">
        <v>3</v>
      </c>
      <c r="G10" s="34">
        <v>0</v>
      </c>
      <c r="H10" s="35" t="s">
        <v>13</v>
      </c>
      <c r="I10" s="28"/>
    </row>
    <row r="11" spans="1:10" s="36" customFormat="1" ht="15" customHeight="1" x14ac:dyDescent="0.25">
      <c r="A11" s="33" t="str">
        <f t="shared" si="0"/>
        <v xml:space="preserve">  MessagesDevelopmentAssert.QuickPutEntry_bool("IN-010", false);
  MessagesImplementationAssert.QuickPutEntry_bool("IN-010", false);
  MessagesRuntimeAssert.QuickPutEntry_bool("IN-010", false);
  MessagesDisabling.QuickPutEntry_int("IN-010", 0);
  MessagesCount.QuickPutEntry_int("IN-010", 0);
  MessagesLabel.QuickPutEntry_string("IN-010","NProc incorrect amount of arguments for directive, ignoring line");</v>
      </c>
      <c r="B11" s="33" t="str">
        <f t="shared" si="1"/>
        <v xml:space="preserve">\subsection{IN-010}
\begin{itemize}
  \item Interface Message:\\[1em]\textbf{NProc incorrect amount of arguments for directive, ignoring line}
  \item Development Assertion: NO
  \item Implementation Assertion: NO
  \item Runtime Assertion: NO
\end{itemize}
</v>
      </c>
      <c r="C11" s="28" t="s">
        <v>14</v>
      </c>
      <c r="D11" s="28" t="s">
        <v>3</v>
      </c>
      <c r="E11" s="28" t="s">
        <v>3</v>
      </c>
      <c r="F11" s="28" t="s">
        <v>3</v>
      </c>
      <c r="G11" s="34">
        <v>0</v>
      </c>
      <c r="H11" s="35" t="s">
        <v>15</v>
      </c>
      <c r="I11" s="28"/>
    </row>
    <row r="12" spans="1:10" s="4" customFormat="1" ht="15" customHeight="1" x14ac:dyDescent="0.25">
      <c r="A12" s="24" t="str">
        <f t="shared" si="0"/>
        <v xml:space="preserve">  // Command Line Issues</v>
      </c>
      <c r="B12" s="24" t="str">
        <f t="shared" si="1"/>
        <v xml:space="preserve">\section{Command Line Issues}
</v>
      </c>
      <c r="C12" s="5" t="s">
        <v>0</v>
      </c>
      <c r="E12" s="5"/>
      <c r="F12" s="5"/>
      <c r="G12" s="8"/>
      <c r="H12" s="6" t="s">
        <v>16</v>
      </c>
      <c r="I12" s="5"/>
    </row>
    <row r="13" spans="1:10" s="36" customFormat="1" ht="15" customHeight="1" x14ac:dyDescent="0.25">
      <c r="A13" s="33" t="str">
        <f t="shared" si="0"/>
        <v xml:space="preserve">  MessagesDevelopmentAssert.QuickPutEntry_bool("UI-001", false);
  MessagesImplementationAssert.QuickPutEntry_bool("UI-001", false);
  MessagesRuntimeAssert.QuickPutEntry_bool("UI-001", true);
  MessagesDisabling.QuickPutEntry_int("UI-001", 0);
  MessagesCount.QuickPutEntry_int("UI-001", 0);
  MessagesLabel.QuickPutEntry_string("UI-001","Duplicated or contradictory flags on command call");</v>
      </c>
      <c r="B13" s="33" t="str">
        <f t="shared" si="1"/>
        <v xml:space="preserve">\subsection{UI-001}
\begin{itemize}
  \item Interface Message:\\[1em]\textbf{Duplicated or contradictory flags on command call}
  \item Development Assertion: NO
  \item Implementation Assertion: NO
  \item Runtime Assertion: YES
\end{itemize}
</v>
      </c>
      <c r="C13" s="28" t="s">
        <v>17</v>
      </c>
      <c r="D13" s="28" t="s">
        <v>3</v>
      </c>
      <c r="E13" s="28" t="s">
        <v>3</v>
      </c>
      <c r="F13" s="28" t="s">
        <v>2</v>
      </c>
      <c r="G13" s="34">
        <v>0</v>
      </c>
      <c r="H13" s="35" t="s">
        <v>18</v>
      </c>
      <c r="I13" s="28"/>
    </row>
    <row r="14" spans="1:10" s="36" customFormat="1" ht="15" customHeight="1" x14ac:dyDescent="0.25">
      <c r="A14" s="33" t="str">
        <f t="shared" si="0"/>
        <v xml:space="preserve">  MessagesDevelopmentAssert.QuickPutEntry_bool("UI-002", false);
  MessagesImplementationAssert.QuickPutEntry_bool("UI-002", false);
  MessagesRuntimeAssert.QuickPutEntry_bool("UI-002", true);
  MessagesDisabling.QuickPutEntry_int("UI-002", 0);
  MessagesCount.QuickPutEntry_int("UI-002", 0);
  MessagesLabel.QuickPutEntry_string("UI-002","Flag expected");</v>
      </c>
      <c r="B14" s="33" t="str">
        <f t="shared" si="1"/>
        <v xml:space="preserve">\subsection{UI-002}
\begin{itemize}
  \item Interface Message:\\[1em]\textbf{Flag expected}
  \item Development Assertion: NO
  \item Implementation Assertion: NO
  \item Runtime Assertion: YES
\end{itemize}
</v>
      </c>
      <c r="C14" s="28" t="s">
        <v>19</v>
      </c>
      <c r="D14" s="28" t="s">
        <v>3</v>
      </c>
      <c r="E14" s="28" t="s">
        <v>3</v>
      </c>
      <c r="F14" s="28" t="s">
        <v>2</v>
      </c>
      <c r="G14" s="34">
        <v>0</v>
      </c>
      <c r="H14" s="35" t="s">
        <v>20</v>
      </c>
      <c r="I14" s="28"/>
    </row>
    <row r="15" spans="1:10" s="36" customFormat="1" ht="15" customHeight="1" x14ac:dyDescent="0.25">
      <c r="A15" s="33" t="str">
        <f t="shared" si="0"/>
        <v xml:space="preserve">  MessagesDevelopmentAssert.QuickPutEntry_bool("UI-003", false);
  MessagesImplementationAssert.QuickPutEntry_bool("UI-003", false);
  MessagesRuntimeAssert.QuickPutEntry_bool("UI-003", false);
  MessagesDisabling.QuickPutEntry_int("UI-003", 0);
  MessagesCount.QuickPutEntry_int("UI-003", 0);
  MessagesLabel.QuickPutEntry_string("UI-003","Flag not recognized, flag omitted");</v>
      </c>
      <c r="B15" s="33" t="str">
        <f t="shared" si="1"/>
        <v xml:space="preserve">\subsection{UI-003}
\begin{itemize}
  \item Interface Message:\\[1em]\textbf{Flag not recognized, flag omitted}
  \item Development Assertion: NO
  \item Implementation Assertion: NO
  \item Runtime Assertion: NO
\end{itemize}
</v>
      </c>
      <c r="C15" s="28" t="s">
        <v>21</v>
      </c>
      <c r="D15" s="28" t="s">
        <v>3</v>
      </c>
      <c r="E15" s="28" t="s">
        <v>3</v>
      </c>
      <c r="F15" s="28" t="s">
        <v>3</v>
      </c>
      <c r="G15" s="34">
        <v>0</v>
      </c>
      <c r="H15" s="35" t="s">
        <v>22</v>
      </c>
      <c r="I15" s="28"/>
    </row>
    <row r="16" spans="1:10" s="36" customFormat="1" ht="15" customHeight="1" x14ac:dyDescent="0.25">
      <c r="A16" s="33" t="str">
        <f t="shared" si="0"/>
        <v xml:space="preserve">  MessagesDevelopmentAssert.QuickPutEntry_bool("UI-004", false);
  MessagesImplementationAssert.QuickPutEntry_bool("UI-004", false);
  MessagesRuntimeAssert.QuickPutEntry_bool("UI-004", true);
  MessagesDisabling.QuickPutEntry_int("UI-004", 0);
  MessagesCount.QuickPutEntry_int("UI-004", 0);
  MessagesLabel.QuickPutEntry_string("UI-004","Label without content");</v>
      </c>
      <c r="B16" s="33" t="str">
        <f t="shared" si="1"/>
        <v xml:space="preserve">\subsection{UI-004}
\begin{itemize}
  \item Interface Message:\\[1em]\textbf{Label without content}
  \item Development Assertion: NO
  \item Implementation Assertion: NO
  \item Runtime Assertion: YES
\end{itemize}
</v>
      </c>
      <c r="C16" s="28" t="s">
        <v>23</v>
      </c>
      <c r="D16" s="28" t="s">
        <v>3</v>
      </c>
      <c r="E16" s="28" t="s">
        <v>3</v>
      </c>
      <c r="F16" s="28" t="s">
        <v>2</v>
      </c>
      <c r="G16" s="34">
        <v>0</v>
      </c>
      <c r="H16" s="35" t="s">
        <v>24</v>
      </c>
      <c r="I16" s="28"/>
    </row>
    <row r="17" spans="1:9" s="36" customFormat="1" ht="15" customHeight="1" x14ac:dyDescent="0.25">
      <c r="A17" s="33" t="str">
        <f t="shared" si="0"/>
        <v xml:space="preserve">  MessagesDevelopmentAssert.QuickPutEntry_bool("UI-006", false);
  MessagesImplementationAssert.QuickPutEntry_bool("UI-006", false);
  MessagesRuntimeAssert.QuickPutEntry_bool("UI-006", true);
  MessagesDisabling.QuickPutEntry_int("UI-006", 0);
  MessagesCount.QuickPutEntry_int("UI-006", 0);
  MessagesLabel.QuickPutEntry_string("UI-006","Empty NProc name");</v>
      </c>
      <c r="B17" s="33" t="str">
        <f t="shared" si="1"/>
        <v xml:space="preserve">\subsection{UI-006}
\begin{itemize}
  \item Interface Message:\\[1em]\textbf{Empty NProc name}
  \item Development Assertion: NO
  \item Implementation Assertion: NO
  \item Runtime Assertion: YES
\end{itemize}
</v>
      </c>
      <c r="C17" s="28" t="s">
        <v>25</v>
      </c>
      <c r="D17" s="28" t="s">
        <v>3</v>
      </c>
      <c r="E17" s="28" t="s">
        <v>3</v>
      </c>
      <c r="F17" s="28" t="s">
        <v>2</v>
      </c>
      <c r="G17" s="34">
        <v>0</v>
      </c>
      <c r="H17" s="35" t="s">
        <v>26</v>
      </c>
      <c r="I17" s="28"/>
    </row>
    <row r="18" spans="1:9" s="4" customFormat="1" ht="15" customHeight="1" x14ac:dyDescent="0.25">
      <c r="A18" s="24" t="str">
        <f t="shared" si="0"/>
        <v xml:space="preserve">  // File IO Issues</v>
      </c>
      <c r="B18" s="24" t="str">
        <f t="shared" si="1"/>
        <v xml:space="preserve">\section{File IO Issues}
</v>
      </c>
      <c r="C18" s="5" t="s">
        <v>0</v>
      </c>
      <c r="E18" s="5"/>
      <c r="F18" s="5"/>
      <c r="G18" s="8"/>
      <c r="H18" s="6" t="s">
        <v>27</v>
      </c>
      <c r="I18" s="5"/>
    </row>
    <row r="19" spans="1:9" ht="15" customHeight="1" x14ac:dyDescent="0.25">
      <c r="A19" s="25" t="str">
        <f t="shared" si="0"/>
        <v xml:space="preserve">  MessagesDevelopmentAssert.QuickPutEntry_bool("ER-001", false);
  MessagesImplementationAssert.QuickPutEntry_bool("ER-001", false);
  MessagesRuntimeAssert.QuickPutEntry_bool("ER-001", false);
  MessagesDisabling.QuickPutEntry_int("ER-001", 0);
  MessagesCount.QuickPutEntry_int("ER-001", 0);
  MessagesLabel.QuickPutEntry_string("ER-001","Development Assetion - The program arrived to an unexpected set of conditions");</v>
      </c>
      <c r="B19" s="25" t="str">
        <f t="shared" si="1"/>
        <v xml:space="preserve">\subsection{ER-001}
\begin{itemize}
  \item Interface Message:\\[1em]\textbf{Development Assetion - The program arrived to an unexpected set of conditions}
  \item Development Assertion: NO
  \item Implementation Assertion: NO
  \item Runtime Assertion: NO
\end{itemize}
</v>
      </c>
      <c r="C19" s="1" t="s">
        <v>28</v>
      </c>
      <c r="D19" s="1" t="s">
        <v>3</v>
      </c>
      <c r="E19" s="1" t="s">
        <v>3</v>
      </c>
      <c r="F19" s="1" t="s">
        <v>3</v>
      </c>
      <c r="G19" s="3">
        <v>0</v>
      </c>
      <c r="H19" s="13" t="s">
        <v>309</v>
      </c>
    </row>
    <row r="20" spans="1:9" ht="15" customHeight="1" x14ac:dyDescent="0.25">
      <c r="A20" s="25" t="str">
        <f t="shared" si="0"/>
        <v xml:space="preserve">  MessagesDevelopmentAssert.QuickPutEntry_bool("ER-002", false);
  MessagesImplementationAssert.QuickPutEntry_bool("ER-002", false);
  MessagesRuntimeAssert.QuickPutEntry_bool("ER-002", false);
  MessagesDisabling.QuickPutEntry_int("ER-002", 0);
  MessagesCount.QuickPutEntry_int("ER-002", 0);
  MessagesLabel.QuickPutEntry_string("ER-002","Runtime Assertion - Something went wrong running the program. Terminating");</v>
      </c>
      <c r="B20" s="25" t="str">
        <f t="shared" si="1"/>
        <v xml:space="preserve">\subsection{ER-002}
\begin{itemize}
  \item Interface Message:\\[1em]\textbf{Runtime Assertion - Something went wrong running the program. Terminating}
  \item Development Assertion: NO
  \item Implementation Assertion: NO
  \item Runtime Assertion: NO
\end{itemize}
</v>
      </c>
      <c r="C20" s="1" t="s">
        <v>29</v>
      </c>
      <c r="D20" s="1" t="s">
        <v>3</v>
      </c>
      <c r="E20" s="1" t="s">
        <v>3</v>
      </c>
      <c r="F20" s="1" t="s">
        <v>3</v>
      </c>
      <c r="G20" s="3">
        <v>0</v>
      </c>
      <c r="H20" s="13" t="s">
        <v>310</v>
      </c>
    </row>
    <row r="21" spans="1:9" ht="15" customHeight="1" x14ac:dyDescent="0.25">
      <c r="A21" s="25" t="str">
        <f t="shared" si="0"/>
        <v xml:space="preserve">  MessagesDevelopmentAssert.QuickPutEntry_bool("ER-003", false);
  MessagesImplementationAssert.QuickPutEntry_bool("ER-003", false);
  MessagesRuntimeAssert.QuickPutEntry_bool("ER-003", true);
  MessagesDisabling.QuickPutEntry_int("ER-003", 0);
  MessagesCount.QuickPutEntry_int("ER-003", 0);
  MessagesLabel.QuickPutEntry_string("ER-003","File couldn't be opened");</v>
      </c>
      <c r="B21" s="25" t="str">
        <f t="shared" si="1"/>
        <v xml:space="preserve">\subsection{ER-003}
\begin{itemize}
  \item Interface Message:\\[1em]\textbf{File couldn't be opened}
  \item Development Assertion: NO
  \item Implementation Assertion: NO
  \item Runtime Assertion: YES
\end{itemize}
</v>
      </c>
      <c r="C21" s="1" t="s">
        <v>30</v>
      </c>
      <c r="D21" s="1" t="s">
        <v>3</v>
      </c>
      <c r="E21" s="1" t="s">
        <v>3</v>
      </c>
      <c r="F21" s="1" t="s">
        <v>2</v>
      </c>
      <c r="G21" s="3">
        <v>0</v>
      </c>
      <c r="H21" s="13" t="s">
        <v>31</v>
      </c>
    </row>
    <row r="22" spans="1:9" ht="15" customHeight="1" x14ac:dyDescent="0.25">
      <c r="A22" s="25" t="str">
        <f t="shared" si="0"/>
        <v xml:space="preserve">  MessagesDevelopmentAssert.QuickPutEntry_bool("ER-004", false);
  MessagesImplementationAssert.QuickPutEntry_bool("ER-004", false);
  MessagesRuntimeAssert.QuickPutEntry_bool("ER-004", false);
  MessagesDisabling.QuickPutEntry_int("ER-004", 0);
  MessagesCount.QuickPutEntry_int("ER-004", 0);
  MessagesLabel.QuickPutEntry_string("ER-004","File couldn't be properly closed");</v>
      </c>
      <c r="B22" s="25" t="str">
        <f t="shared" si="1"/>
        <v xml:space="preserve">\subsection{ER-004}
\begin{itemize}
  \item Interface Message:\\[1em]\textbf{File couldn't be properly closed}
  \item Development Assertion: NO
  \item Implementation Assertion: NO
  \item Runtime Assertion: NO
\end{itemize}
</v>
      </c>
      <c r="C22" s="1" t="s">
        <v>32</v>
      </c>
      <c r="D22" s="1" t="s">
        <v>3</v>
      </c>
      <c r="E22" s="1" t="s">
        <v>3</v>
      </c>
      <c r="F22" s="1" t="s">
        <v>3</v>
      </c>
      <c r="G22" s="3">
        <v>0</v>
      </c>
      <c r="H22" s="13" t="s">
        <v>148</v>
      </c>
    </row>
    <row r="23" spans="1:9" ht="15" customHeight="1" x14ac:dyDescent="0.25">
      <c r="A23" s="25" t="str">
        <f t="shared" si="0"/>
        <v xml:space="preserve">  MessagesDevelopmentAssert.QuickPutEntry_bool("ER-005", false);
  MessagesImplementationAssert.QuickPutEntry_bool("ER-005", false);
  MessagesRuntimeAssert.QuickPutEntry_bool("ER-005", true);
  MessagesDisabling.QuickPutEntry_int("ER-005", 0);
  MessagesCount.QuickPutEntry_int("ER-005", 0);
  MessagesLabel.QuickPutEntry_string("ER-005","Trying to get a new line from a non ready file");</v>
      </c>
      <c r="B23" s="25" t="str">
        <f t="shared" si="1"/>
        <v xml:space="preserve">\subsection{ER-005}
\begin{itemize}
  \item Interface Message:\\[1em]\textbf{Trying to get a new line from a non ready file}
  \item Development Assertion: NO
  \item Implementation Assertion: NO
  \item Runtime Assertion: YES
\end{itemize}
</v>
      </c>
      <c r="C23" s="1" t="s">
        <v>33</v>
      </c>
      <c r="D23" s="1" t="s">
        <v>3</v>
      </c>
      <c r="E23" s="1" t="s">
        <v>3</v>
      </c>
      <c r="F23" s="1" t="s">
        <v>2</v>
      </c>
      <c r="G23" s="3">
        <v>0</v>
      </c>
      <c r="H23" s="13" t="s">
        <v>34</v>
      </c>
    </row>
    <row r="24" spans="1:9" ht="15" customHeight="1" x14ac:dyDescent="0.25">
      <c r="A24" s="25" t="str">
        <f t="shared" si="0"/>
        <v xml:space="preserve">  MessagesDevelopmentAssert.QuickPutEntry_bool("ER-006", true);
  MessagesImplementationAssert.QuickPutEntry_bool("ER-006", false);
  MessagesRuntimeAssert.QuickPutEntry_bool("ER-006", false);
  MessagesDisabling.QuickPutEntry_int("ER-006", 0);
  MessagesCount.QuickPutEntry_int("ER-006", 0);
  MessagesLabel.QuickPutEntry_string("ER-006","Trying to get a new line from a file already at the end");</v>
      </c>
      <c r="B24" s="25" t="str">
        <f t="shared" si="1"/>
        <v xml:space="preserve">\subsection{ER-006}
\begin{itemize}
  \item Interface Message:\\[1em]\textbf{Trying to get a new line from a file already at the end}
  \item Development Assertion: YES
  \item Implementation Assertion: NO
  \item Runtime Assertion: NO
\end{itemize}
</v>
      </c>
      <c r="C24" s="1" t="s">
        <v>35</v>
      </c>
      <c r="D24" s="1" t="s">
        <v>2</v>
      </c>
      <c r="E24" s="1" t="s">
        <v>3</v>
      </c>
      <c r="F24" s="1" t="s">
        <v>3</v>
      </c>
      <c r="G24" s="3">
        <v>0</v>
      </c>
      <c r="H24" s="13" t="s">
        <v>36</v>
      </c>
    </row>
    <row r="25" spans="1:9" ht="15" customHeight="1" x14ac:dyDescent="0.25">
      <c r="A25" s="25" t="str">
        <f t="shared" si="0"/>
        <v xml:space="preserve">  MessagesDevelopmentAssert.QuickPutEntry_bool("ER-007", false);
  MessagesImplementationAssert.QuickPutEntry_bool("ER-007", false);
  MessagesRuntimeAssert.QuickPutEntry_bool("ER-007", true);
  MessagesDisabling.QuickPutEntry_int("ER-007", 0);
  MessagesCount.QuickPutEntry_int("ER-007", 0);
  MessagesLabel.QuickPutEntry_string("ER-007","Fail on getting a new line from nproc file");</v>
      </c>
      <c r="B25" s="25" t="str">
        <f t="shared" si="1"/>
        <v xml:space="preserve">\subsection{ER-007}
\begin{itemize}
  \item Interface Message:\\[1em]\textbf{Fail on getting a new line from nproc file}
  \item Development Assertion: NO
  \item Implementation Assertion: NO
  \item Runtime Assertion: YES
\end{itemize}
</v>
      </c>
      <c r="C25" s="1" t="s">
        <v>37</v>
      </c>
      <c r="D25" s="1" t="s">
        <v>3</v>
      </c>
      <c r="E25" s="1" t="s">
        <v>3</v>
      </c>
      <c r="F25" s="1" t="s">
        <v>2</v>
      </c>
      <c r="G25" s="3">
        <v>0</v>
      </c>
      <c r="H25" s="13" t="s">
        <v>38</v>
      </c>
    </row>
    <row r="26" spans="1:9" ht="15" customHeight="1" x14ac:dyDescent="0.25">
      <c r="A26" s="25" t="str">
        <f t="shared" si="0"/>
        <v xml:space="preserve">  MessagesDevelopmentAssert.QuickPutEntry_bool("ER-008", false);
  MessagesImplementationAssert.QuickPutEntry_bool("ER-008", false);
  MessagesRuntimeAssert.QuickPutEntry_bool("ER-008", true);
  MessagesDisabling.QuickPutEntry_int("ER-008", 0);
  MessagesCount.QuickPutEntry_int("ER-008", 0);
  MessagesLabel.QuickPutEntry_string("ER-008","Implementation Assertion - There is a problem with the implementation");</v>
      </c>
      <c r="B26" s="25" t="str">
        <f t="shared" si="1"/>
        <v xml:space="preserve">\subsection{ER-008}
\begin{itemize}
  \item Interface Message:\\[1em]\textbf{Implementation Assertion - There is a problem with the implementation}
  \item Development Assertion: NO
  \item Implementation Assertion: NO
  \item Runtime Assertion: YES
\end{itemize}
</v>
      </c>
      <c r="C26" s="1" t="s">
        <v>39</v>
      </c>
      <c r="D26" s="1" t="s">
        <v>3</v>
      </c>
      <c r="E26" s="1" t="s">
        <v>3</v>
      </c>
      <c r="F26" s="1" t="s">
        <v>2</v>
      </c>
      <c r="G26" s="3">
        <v>0</v>
      </c>
      <c r="H26" s="13" t="s">
        <v>311</v>
      </c>
    </row>
    <row r="27" spans="1:9" ht="15" customHeight="1" x14ac:dyDescent="0.25">
      <c r="A27" s="25" t="str">
        <f t="shared" si="0"/>
        <v xml:space="preserve">  MessagesDevelopmentAssert.QuickPutEntry_bool("ER-009", false);
  MessagesImplementationAssert.QuickPutEntry_bool("ER-009", false);
  MessagesRuntimeAssert.QuickPutEntry_bool("ER-009", false);
  MessagesDisabling.QuickPutEntry_int("ER-009", 0);
  MessagesCount.QuickPutEntry_int("ER-009", 0);
  MessagesLabel.QuickPutEntry_string("ER-009","Trying to close an unopened file");</v>
      </c>
      <c r="B27" s="25" t="str">
        <f t="shared" si="1"/>
        <v xml:space="preserve">\subsection{ER-009}
\begin{itemize}
  \item Interface Message:\\[1em]\textbf{Trying to close an unopened file}
  \item Development Assertion: NO
  \item Implementation Assertion: NO
  \item Runtime Assertion: NO
\end{itemize}
</v>
      </c>
      <c r="C27" s="1" t="s">
        <v>40</v>
      </c>
      <c r="D27" s="1" t="s">
        <v>3</v>
      </c>
      <c r="E27" s="1" t="s">
        <v>3</v>
      </c>
      <c r="F27" s="1" t="s">
        <v>3</v>
      </c>
      <c r="G27" s="3">
        <v>0</v>
      </c>
      <c r="H27" s="13" t="s">
        <v>41</v>
      </c>
    </row>
    <row r="28" spans="1:9" ht="15" customHeight="1" x14ac:dyDescent="0.25">
      <c r="A28" s="25" t="str">
        <f t="shared" si="0"/>
        <v xml:space="preserve">  MessagesDevelopmentAssert.QuickPutEntry_bool("ER-010", false);
  MessagesImplementationAssert.QuickPutEntry_bool("ER-010", false);
  MessagesRuntimeAssert.QuickPutEntry_bool("ER-010", true);
  MessagesDisabling.QuickPutEntry_int("ER-010", 0);
  MessagesCount.QuickPutEntry_int("ER-010", 0);
  MessagesLabel.QuickPutEntry_string("ER-010","Required file is empty");</v>
      </c>
      <c r="B28" s="25" t="str">
        <f t="shared" si="1"/>
        <v xml:space="preserve">\subsection{ER-010}
\begin{itemize}
  \item Interface Message:\\[1em]\textbf{Required file is empty}
  \item Development Assertion: NO
  \item Implementation Assertion: NO
  \item Runtime Assertion: YES
\end{itemize}
</v>
      </c>
      <c r="C28" s="1" t="s">
        <v>42</v>
      </c>
      <c r="D28" s="1" t="s">
        <v>3</v>
      </c>
      <c r="E28" s="1" t="s">
        <v>3</v>
      </c>
      <c r="F28" s="1" t="s">
        <v>2</v>
      </c>
      <c r="G28" s="3">
        <v>0</v>
      </c>
      <c r="H28" s="13" t="s">
        <v>149</v>
      </c>
    </row>
    <row r="29" spans="1:9" s="4" customFormat="1" ht="15" customHeight="1" x14ac:dyDescent="0.25">
      <c r="A29" s="24" t="str">
        <f t="shared" si="0"/>
        <v xml:space="preserve">  // Implementation Issues</v>
      </c>
      <c r="B29" s="24" t="str">
        <f t="shared" si="1"/>
        <v xml:space="preserve">\section{Implementation Issues}
</v>
      </c>
      <c r="C29" s="5" t="s">
        <v>0</v>
      </c>
      <c r="E29" s="5"/>
      <c r="F29" s="5"/>
      <c r="G29" s="8"/>
      <c r="H29" s="6" t="s">
        <v>43</v>
      </c>
      <c r="I29" s="5"/>
    </row>
    <row r="30" spans="1:9" ht="15" customHeight="1" x14ac:dyDescent="0.25">
      <c r="A30" s="25" t="str">
        <f t="shared" si="0"/>
        <v xml:space="preserve">  MessagesDevelopmentAssert.QuickPutEntry_bool("DV-001", false);
  MessagesImplementationAssert.QuickPutEntry_bool("DV-001", true);
  MessagesRuntimeAssert.QuickPutEntry_bool("DV-001", false);
  MessagesDisabling.QuickPutEntry_int("DV-001", 0);
  MessagesCount.QuickPutEntry_int("DV-001", 0);
  MessagesLabel.QuickPutEntry_string("DV-001","Missing implementation");</v>
      </c>
      <c r="B30" s="25" t="str">
        <f t="shared" si="1"/>
        <v xml:space="preserve">\subsection{DV-001}
\begin{itemize}
  \item Interface Message:\\[1em]\textbf{Missing implementation}
  \item Development Assertion: NO
  \item Implementation Assertion: YES
  \item Runtime Assertion: NO
\end{itemize}
</v>
      </c>
      <c r="C30" s="1" t="s">
        <v>44</v>
      </c>
      <c r="D30" s="1" t="s">
        <v>3</v>
      </c>
      <c r="E30" s="1" t="s">
        <v>2</v>
      </c>
      <c r="F30" s="1" t="s">
        <v>3</v>
      </c>
      <c r="G30" s="3">
        <v>0</v>
      </c>
      <c r="H30" s="13" t="s">
        <v>45</v>
      </c>
    </row>
    <row r="31" spans="1:9" ht="15" customHeight="1" x14ac:dyDescent="0.25">
      <c r="A31" s="25" t="str">
        <f t="shared" si="0"/>
        <v xml:space="preserve">  MessagesDevelopmentAssert.QuickPutEntry_bool("DV-002", false);
  MessagesImplementationAssert.QuickPutEntry_bool("DV-002", true);
  MessagesRuntimeAssert.QuickPutEntry_bool("DV-002", false);
  MessagesDisabling.QuickPutEntry_int("DV-002", 0);
  MessagesCount.QuickPutEntry_int("DV-002", 0);
  MessagesLabel.QuickPutEntry_string("DV-002","Trying to declare a previously declared setting");</v>
      </c>
      <c r="B31" s="25" t="str">
        <f t="shared" si="1"/>
        <v xml:space="preserve">\subsection{DV-002}
\begin{itemize}
  \item Interface Message:\\[1em]\textbf{Trying to declare a previously declared setting}
  \item Development Assertion: NO
  \item Implementation Assertion: YES
  \item Runtime Assertion: NO
\end{itemize}
</v>
      </c>
      <c r="C31" s="1" t="s">
        <v>46</v>
      </c>
      <c r="D31" s="1" t="s">
        <v>3</v>
      </c>
      <c r="E31" s="1" t="s">
        <v>2</v>
      </c>
      <c r="F31" s="1" t="s">
        <v>3</v>
      </c>
      <c r="G31" s="3">
        <v>0</v>
      </c>
      <c r="H31" s="13" t="s">
        <v>47</v>
      </c>
    </row>
    <row r="32" spans="1:9" ht="15" customHeight="1" x14ac:dyDescent="0.25">
      <c r="A32" s="25" t="str">
        <f t="shared" si="0"/>
        <v xml:space="preserve">  MessagesDevelopmentAssert.QuickPutEntry_bool("DV-003", false);
  MessagesImplementationAssert.QuickPutEntry_bool("DV-003", true);
  MessagesRuntimeAssert.QuickPutEntry_bool("DV-003", false);
  MessagesDisabling.QuickPutEntry_int("DV-003", 0);
  MessagesCount.QuickPutEntry_int("DV-003", 0);
  MessagesLabel.QuickPutEntry_string("DV-003","Trying to load a setting of an unsupported type");</v>
      </c>
      <c r="B32" s="25" t="str">
        <f t="shared" si="1"/>
        <v xml:space="preserve">\subsection{DV-003}
\begin{itemize}
  \item Interface Message:\\[1em]\textbf{Trying to load a setting of an unsupported type}
  \item Development Assertion: NO
  \item Implementation Assertion: YES
  \item Runtime Assertion: NO
\end{itemize}
</v>
      </c>
      <c r="C32" s="1" t="s">
        <v>48</v>
      </c>
      <c r="D32" s="1" t="s">
        <v>3</v>
      </c>
      <c r="E32" s="1" t="s">
        <v>2</v>
      </c>
      <c r="F32" s="1" t="s">
        <v>3</v>
      </c>
      <c r="G32" s="3">
        <v>0</v>
      </c>
      <c r="H32" s="13" t="s">
        <v>49</v>
      </c>
    </row>
    <row r="33" spans="1:9" ht="15" customHeight="1" x14ac:dyDescent="0.25">
      <c r="A33" s="25" t="str">
        <f t="shared" si="0"/>
        <v xml:space="preserve">  MessagesDevelopmentAssert.QuickPutEntry_bool("DV-005", false);
  MessagesImplementationAssert.QuickPutEntry_bool("DV-005", true);
  MessagesRuntimeAssert.QuickPutEntry_bool("DV-005", false);
  MessagesDisabling.QuickPutEntry_int("DV-005", 0);
  MessagesCount.QuickPutEntry_int("DV-005", 0);
  MessagesLabel.QuickPutEntry_string("DV-005","Trying to use an unsupported setting");</v>
      </c>
      <c r="B33" s="25" t="str">
        <f t="shared" si="1"/>
        <v xml:space="preserve">\subsection{DV-005}
\begin{itemize}
  \item Interface Message:\\[1em]\textbf{Trying to use an unsupported setting}
  \item Development Assertion: NO
  \item Implementation Assertion: YES
  \item Runtime Assertion: NO
\end{itemize}
</v>
      </c>
      <c r="C33" s="1" t="s">
        <v>50</v>
      </c>
      <c r="D33" s="1" t="s">
        <v>3</v>
      </c>
      <c r="E33" s="1" t="s">
        <v>2</v>
      </c>
      <c r="F33" s="1" t="s">
        <v>3</v>
      </c>
      <c r="G33" s="3">
        <v>0</v>
      </c>
      <c r="H33" s="13" t="s">
        <v>277</v>
      </c>
    </row>
    <row r="34" spans="1:9" ht="15" customHeight="1" x14ac:dyDescent="0.25">
      <c r="A34" s="25" t="str">
        <f t="shared" si="0"/>
        <v xml:space="preserve">  MessagesDevelopmentAssert.QuickPutEntry_bool("DV-006", false);
  MessagesImplementationAssert.QuickPutEntry_bool("DV-006", true);
  MessagesRuntimeAssert.QuickPutEntry_bool("DV-006", false);
  MessagesDisabling.QuickPutEntry_int("DV-006", 0);
  MessagesCount.QuickPutEntry_int("DV-006", 0);
  MessagesLabel.QuickPutEntry_string("DV-006","Trying to read an incorrect data type for the setting");</v>
      </c>
      <c r="B34" s="25" t="str">
        <f t="shared" si="1"/>
        <v xml:space="preserve">\subsection{DV-006}
\begin{itemize}
  \item Interface Message:\\[1em]\textbf{Trying to read an incorrect data type for the setting}
  \item Development Assertion: NO
  \item Implementation Assertion: YES
  \item Runtime Assertion: NO
\end{itemize}
</v>
      </c>
      <c r="C34" s="1" t="s">
        <v>51</v>
      </c>
      <c r="D34" s="1" t="s">
        <v>3</v>
      </c>
      <c r="E34" s="1" t="s">
        <v>2</v>
      </c>
      <c r="F34" s="1" t="s">
        <v>3</v>
      </c>
      <c r="G34" s="3">
        <v>0</v>
      </c>
      <c r="H34" s="13" t="s">
        <v>52</v>
      </c>
    </row>
    <row r="35" spans="1:9" ht="15" customHeight="1" x14ac:dyDescent="0.25">
      <c r="A35" s="25" t="str">
        <f t="shared" si="0"/>
        <v xml:space="preserve">  MessagesDevelopmentAssert.QuickPutEntry_bool("DV-007", false);
  MessagesImplementationAssert.QuickPutEntry_bool("DV-007", true);
  MessagesRuntimeAssert.QuickPutEntry_bool("DV-007", false);
  MessagesDisabling.QuickPutEntry_int("DV-007", 0);
  MessagesCount.QuickPutEntry_int("DV-007", 0);
  MessagesLabel.QuickPutEntry_string("DV-007","The setting count is different than the declared setting count on the HashEntry");</v>
      </c>
      <c r="B35" s="25" t="str">
        <f t="shared" si="1"/>
        <v xml:space="preserve">\subsection{DV-007}
\begin{itemize}
  \item Interface Message:\\[1em]\textbf{The setting count is different than the declared setting count on the HashEntry}
  \item Development Assertion: NO
  \item Implementation Assertion: YES
  \item Runtime Assertion: NO
\end{itemize}
</v>
      </c>
      <c r="C35" s="1" t="s">
        <v>53</v>
      </c>
      <c r="D35" s="1" t="s">
        <v>3</v>
      </c>
      <c r="E35" s="1" t="s">
        <v>2</v>
      </c>
      <c r="F35" s="1" t="s">
        <v>3</v>
      </c>
      <c r="G35" s="3">
        <v>0</v>
      </c>
      <c r="H35" s="13" t="s">
        <v>54</v>
      </c>
    </row>
    <row r="36" spans="1:9" ht="15" customHeight="1" x14ac:dyDescent="0.25">
      <c r="A36" s="25" t="str">
        <f t="shared" si="0"/>
        <v xml:space="preserve">  MessagesDevelopmentAssert.QuickPutEntry_bool("DV-012", false);
  MessagesImplementationAssert.QuickPutEntry_bool("DV-012", true);
  MessagesRuntimeAssert.QuickPutEntry_bool("DV-012", false);
  MessagesDisabling.QuickPutEntry_int("DV-012", 0);
  MessagesCount.QuickPutEntry_int("DV-012", 0);
  MessagesLabel.QuickPutEntry_string("DV-012","Trying a quick access of incorrect type");</v>
      </c>
      <c r="B36" s="25" t="str">
        <f t="shared" si="1"/>
        <v xml:space="preserve">\subsection{DV-012}
\begin{itemize}
  \item Interface Message:\\[1em]\textbf{Trying a quick access of incorrect type}
  \item Development Assertion: NO
  \item Implementation Assertion: YES
  \item Runtime Assertion: NO
\end{itemize}
</v>
      </c>
      <c r="C36" s="1" t="s">
        <v>55</v>
      </c>
      <c r="D36" s="1" t="s">
        <v>3</v>
      </c>
      <c r="E36" s="1" t="s">
        <v>2</v>
      </c>
      <c r="F36" s="1" t="s">
        <v>3</v>
      </c>
      <c r="G36" s="3">
        <v>0</v>
      </c>
      <c r="H36" s="13" t="s">
        <v>56</v>
      </c>
    </row>
    <row r="37" spans="1:9" ht="15" customHeight="1" x14ac:dyDescent="0.25">
      <c r="A37" s="25" t="str">
        <f t="shared" si="0"/>
        <v xml:space="preserve">  MessagesDevelopmentAssert.QuickPutEntry_bool("DV-013", false);
  MessagesImplementationAssert.QuickPutEntry_bool("DV-013", true);
  MessagesRuntimeAssert.QuickPutEntry_bool("DV-013", false);
  MessagesDisabling.QuickPutEntry_int("DV-013", 0);
  MessagesCount.QuickPutEntry_int("DV-013", 0);
  MessagesLabel.QuickPutEntry_string("DV-013","Hash Table Full");</v>
      </c>
      <c r="B37" s="25" t="str">
        <f t="shared" si="1"/>
        <v xml:space="preserve">\subsection{DV-013}
\begin{itemize}
  \item Interface Message:\\[1em]\textbf{Hash Table Full}
  \item Development Assertion: NO
  \item Implementation Assertion: YES
  \item Runtime Assertion: NO
\end{itemize}
</v>
      </c>
      <c r="C37" s="1" t="s">
        <v>57</v>
      </c>
      <c r="D37" s="1" t="s">
        <v>3</v>
      </c>
      <c r="E37" s="1" t="s">
        <v>2</v>
      </c>
      <c r="F37" s="1" t="s">
        <v>3</v>
      </c>
      <c r="G37" s="3">
        <v>0</v>
      </c>
      <c r="H37" s="13" t="s">
        <v>58</v>
      </c>
    </row>
    <row r="38" spans="1:9" ht="15" customHeight="1" x14ac:dyDescent="0.25">
      <c r="A38" s="25" t="str">
        <f t="shared" si="0"/>
        <v xml:space="preserve">  MessagesDevelopmentAssert.QuickPutEntry_bool("DV-015", false);
  MessagesImplementationAssert.QuickPutEntry_bool("DV-015", true);
  MessagesRuntimeAssert.QuickPutEntry_bool("DV-015", false);
  MessagesDisabling.QuickPutEntry_int("DV-015", 0);
  MessagesCount.QuickPutEntry_int("DV-015", 0);
  MessagesLabel.QuickPutEntry_string("DV-015","Setting declared but hasn't been initialized");</v>
      </c>
      <c r="B38" s="25" t="str">
        <f t="shared" si="1"/>
        <v xml:space="preserve">\subsection{DV-015}
\begin{itemize}
  \item Interface Message:\\[1em]\textbf{Setting declared but hasn't been initialized}
  \item Development Assertion: NO
  \item Implementation Assertion: YES
  \item Runtime Assertion: NO
\end{itemize}
</v>
      </c>
      <c r="C38" s="1" t="s">
        <v>59</v>
      </c>
      <c r="D38" s="1" t="s">
        <v>3</v>
      </c>
      <c r="E38" s="1" t="s">
        <v>2</v>
      </c>
      <c r="F38" s="1" t="s">
        <v>3</v>
      </c>
      <c r="G38" s="3">
        <v>0</v>
      </c>
      <c r="H38" s="13" t="s">
        <v>60</v>
      </c>
    </row>
    <row r="39" spans="1:9" ht="15" customHeight="1" x14ac:dyDescent="0.25">
      <c r="A39" s="25" t="str">
        <f t="shared" si="0"/>
        <v xml:space="preserve">  MessagesDevelopmentAssert.QuickPutEntry_bool("DV-017", false);
  MessagesImplementationAssert.QuickPutEntry_bool("DV-017", true);
  MessagesRuntimeAssert.QuickPutEntry_bool("DV-017", false);
  MessagesDisabling.QuickPutEntry_int("DV-017", 0);
  MessagesCount.QuickPutEntry_int("DV-017", 0);
  MessagesLabel.QuickPutEntry_string("DV-017","Discrepancy on neuron type on assignment");</v>
      </c>
      <c r="B39" s="25" t="str">
        <f t="shared" si="1"/>
        <v xml:space="preserve">\subsection{DV-017}
\begin{itemize}
  \item Interface Message:\\[1em]\textbf{Discrepancy on neuron type on assignment}
  \item Development Assertion: NO
  \item Implementation Assertion: YES
  \item Runtime Assertion: NO
\end{itemize}
</v>
      </c>
      <c r="C39" s="1" t="s">
        <v>61</v>
      </c>
      <c r="D39" s="1" t="s">
        <v>3</v>
      </c>
      <c r="E39" s="1" t="s">
        <v>2</v>
      </c>
      <c r="F39" s="1" t="s">
        <v>3</v>
      </c>
      <c r="G39" s="3">
        <v>0</v>
      </c>
      <c r="H39" s="13" t="s">
        <v>62</v>
      </c>
    </row>
    <row r="40" spans="1:9" ht="15" customHeight="1" x14ac:dyDescent="0.25">
      <c r="A40" s="25" t="str">
        <f t="shared" si="0"/>
        <v xml:space="preserve">  MessagesDevelopmentAssert.QuickPutEntry_bool("DV-018", false);
  MessagesImplementationAssert.QuickPutEntry_bool("DV-018", true);
  MessagesRuntimeAssert.QuickPutEntry_bool("DV-018", false);
  MessagesDisabling.QuickPutEntry_int("DV-018", 0);
  MessagesCount.QuickPutEntry_int("DV-018", 0);
  MessagesLabel.QuickPutEntry_string("DV-018","Trying to quick retrieve un-existent value");</v>
      </c>
      <c r="B40" s="25" t="str">
        <f t="shared" si="1"/>
        <v xml:space="preserve">\subsection{DV-018}
\begin{itemize}
  \item Interface Message:\\[1em]\textbf{Trying to quick retrieve un-existent value}
  \item Development Assertion: NO
  \item Implementation Assertion: YES
  \item Runtime Assertion: NO
\end{itemize}
</v>
      </c>
      <c r="C40" s="1" t="s">
        <v>63</v>
      </c>
      <c r="D40" s="1" t="s">
        <v>3</v>
      </c>
      <c r="E40" s="1" t="s">
        <v>2</v>
      </c>
      <c r="F40" s="1" t="s">
        <v>3</v>
      </c>
      <c r="G40" s="3">
        <v>0</v>
      </c>
      <c r="H40" s="13" t="s">
        <v>64</v>
      </c>
    </row>
    <row r="41" spans="1:9" ht="15" customHeight="1" x14ac:dyDescent="0.25">
      <c r="A41" s="25" t="str">
        <f t="shared" si="0"/>
        <v xml:space="preserve">  MessagesDevelopmentAssert.QuickPutEntry_bool("SD-030", false);
  MessagesImplementationAssert.QuickPutEntry_bool("SD-030", true);
  MessagesRuntimeAssert.QuickPutEntry_bool("SD-030", false);
  MessagesDisabling.QuickPutEntry_int("SD-030", 0);
  MessagesCount.QuickPutEntry_int("SD-030", 0);
  MessagesLabel.QuickPutEntry_string("SD-030","Internal simulation pointer corruption");</v>
      </c>
      <c r="B41" s="25" t="str">
        <f t="shared" si="1"/>
        <v xml:space="preserve">\subsection{SD-030}
\begin{itemize}
  \item Interface Message:\\[1em]\textbf{Internal simulation pointer corruption}
  \item Development Assertion: NO
  \item Implementation Assertion: YES
  \item Runtime Assertion: NO
\end{itemize}
</v>
      </c>
      <c r="C41" s="1" t="s">
        <v>116</v>
      </c>
      <c r="D41" s="1" t="s">
        <v>3</v>
      </c>
      <c r="E41" s="1" t="s">
        <v>2</v>
      </c>
      <c r="F41" s="1" t="s">
        <v>3</v>
      </c>
      <c r="G41" s="3">
        <v>0</v>
      </c>
      <c r="H41" s="13" t="s">
        <v>117</v>
      </c>
    </row>
    <row r="42" spans="1:9" ht="15" customHeight="1" x14ac:dyDescent="0.25">
      <c r="A42" s="25" t="str">
        <f t="shared" si="0"/>
        <v xml:space="preserve">  MessagesDevelopmentAssert.QuickPutEntry_bool("SD-031", false);
  MessagesImplementationAssert.QuickPutEntry_bool("SD-031", true);
  MessagesRuntimeAssert.QuickPutEntry_bool("SD-031", false);
  MessagesDisabling.QuickPutEntry_int("SD-031", 0);
  MessagesCount.QuickPutEntry_int("SD-031", 0);
  MessagesLabel.QuickPutEntry_string("SD-031","Trying to compare 2 identical MT cells");</v>
      </c>
      <c r="B42" s="25" t="str">
        <f t="shared" si="1"/>
        <v xml:space="preserve">\subsection{SD-031}
\begin{itemize}
  \item Interface Message:\\[1em]\textbf{Trying to compare 2 identical MT cells}
  \item Development Assertion: NO
  \item Implementation Assertion: YES
  \item Runtime Assertion: NO
\end{itemize}
</v>
      </c>
      <c r="C42" s="1" t="s">
        <v>118</v>
      </c>
      <c r="D42" s="1" t="s">
        <v>3</v>
      </c>
      <c r="E42" s="1" t="s">
        <v>2</v>
      </c>
      <c r="F42" s="1" t="s">
        <v>3</v>
      </c>
      <c r="G42" s="3">
        <v>0</v>
      </c>
      <c r="H42" s="13" t="s">
        <v>119</v>
      </c>
    </row>
    <row r="43" spans="1:9" ht="15" customHeight="1" x14ac:dyDescent="0.25">
      <c r="A43" s="25" t="str">
        <f t="shared" ref="A43" si="4">IF(C43&lt;&gt;"",IF(C43="#","  // "&amp;H43,
"  MessagesDevelopmentAssert.QuickPutEntry_bool("""&amp;C43&amp;""", "&amp;IF(D43="F","false",IF(D43="T","true","ERROR"))&amp;");"&amp;CHAR(10)&amp;
"  MessagesImplementationAssert.QuickPutEntry_bool("""&amp;C43&amp;""", "&amp;IF(E43="F","false",IF(E43="T","true","ERROR"))&amp;");"&amp;CHAR(10)&amp;
"  MessagesRuntimeAssert.QuickPutEntry_bool("""&amp;C43&amp;""", "&amp;IF(F43="F","false",IF(F43="T","true","ERROR"))&amp;");"&amp;CHAR(10)&amp;
"  MessagesDisabling.QuickPutEntry_int("""&amp;C43&amp;""", "&amp;G43&amp;");"&amp; CHAR(10) &amp;
"  MessagesCount.QuickPutEntry_int("""&amp;C43&amp;""", 0);"&amp;CHAR(10)&amp;
"  MessagesLabel.QuickPutEntry_string("""&amp;C43&amp;""","""&amp;H43&amp;""");"&amp;
IF(J43&lt;&gt;"",CHAR(10) &amp; "  MessagesText.QuickPutEntry_string("""&amp;C43&amp;""", """&amp;SUBSTITUTE(J43,"""","\""")&amp;""");","")
),"")</f>
        <v xml:space="preserve">  MessagesDevelopmentAssert.QuickPutEntry_bool("SD-032", false);
  MessagesImplementationAssert.QuickPutEntry_bool("SD-032", true);
  MessagesRuntimeAssert.QuickPutEntry_bool("SD-032", false);
  MessagesDisabling.QuickPutEntry_int("SD-032", 0);
  MessagesCount.QuickPutEntry_int("SD-032", 0);
  MessagesLabel.QuickPutEntry_string("SD-032","Empty pointer to function entry");</v>
      </c>
      <c r="B43" s="25" t="str">
        <f t="shared" ref="B43" si="5">IF(C43&lt;&gt;"",IF(C43="#","\section{"&amp;H43&amp;"}" &amp; CHAR(10),
"\subsection{" &amp; C43 &amp; "}" &amp; CHAR(10) &amp; "\begin{itemize}" &amp; CHAR(10) &amp;
"  \item Interface Message:\\[1em]\textbf{" &amp; SUBSTITUTE(H43,"_","\_") &amp; "}" &amp; CHAR(10) &amp;
"  \item Development Assertion: " &amp; IF(D43="F","NO",IF(D43="T","YES","ERROR")) &amp; CHAR(10) &amp;
"  \item Implementation Assertion: " &amp; IF(E43="F","NO",IF(E43="T","YES","ERROR")) &amp; CHAR(10) &amp;
"  \item Runtime Assertion: " &amp; IF(F43="F","NO",IF(F43="T","YES","ERROR")) &amp; CHAR(10) &amp;
IF(J43&lt;&gt;"","  \item Message Description:\\[1em]"&amp; SUBSTITUTE(J43,"_","\_")  &amp;CHAR(10),"") &amp;
"\end{itemize}"&amp;CHAR(10)),"")</f>
        <v xml:space="preserve">\subsection{SD-032}
\begin{itemize}
  \item Interface Message:\\[1em]\textbf{Empty pointer to function entry}
  \item Development Assertion: NO
  \item Implementation Assertion: YES
  \item Runtime Assertion: NO
\end{itemize}
</v>
      </c>
      <c r="C43" s="1" t="s">
        <v>286</v>
      </c>
      <c r="D43" s="1" t="s">
        <v>3</v>
      </c>
      <c r="E43" s="1" t="s">
        <v>2</v>
      </c>
      <c r="F43" s="1" t="s">
        <v>3</v>
      </c>
      <c r="G43" s="3">
        <v>0</v>
      </c>
      <c r="H43" s="13" t="s">
        <v>287</v>
      </c>
    </row>
    <row r="44" spans="1:9" s="4" customFormat="1" ht="15" customHeight="1" x14ac:dyDescent="0.25">
      <c r="A44" s="24" t="str">
        <f t="shared" si="0"/>
        <v xml:space="preserve">  // Reporting Issues</v>
      </c>
      <c r="B44" s="24" t="str">
        <f t="shared" si="1"/>
        <v xml:space="preserve">\section{Reporting Issues}
</v>
      </c>
      <c r="C44" s="5" t="s">
        <v>0</v>
      </c>
      <c r="E44" s="5"/>
      <c r="F44" s="5"/>
      <c r="G44" s="8"/>
      <c r="H44" s="6" t="s">
        <v>65</v>
      </c>
      <c r="I44" s="5"/>
    </row>
    <row r="45" spans="1:9" ht="15" customHeight="1" x14ac:dyDescent="0.25">
      <c r="A45" s="25" t="str">
        <f t="shared" si="0"/>
        <v xml:space="preserve">  MessagesDevelopmentAssert.QuickPutEntry_bool("RP-001", false);
  MessagesImplementationAssert.QuickPutEntry_bool("RP-001", true);
  MessagesRuntimeAssert.QuickPutEntry_bool("RP-001", false);
  MessagesDisabling.QuickPutEntry_int("RP-001", 0);
  MessagesCount.QuickPutEntry_int("RP-001", 0);
  MessagesLabel.QuickPutEntry_string("RP-001","Trying to open an already opened stream");</v>
      </c>
      <c r="B45" s="25" t="str">
        <f t="shared" si="1"/>
        <v xml:space="preserve">\subsection{RP-001}
\begin{itemize}
  \item Interface Message:\\[1em]\textbf{Trying to open an already opened stream}
  \item Development Assertion: NO
  \item Implementation Assertion: YES
  \item Runtime Assertion: NO
\end{itemize}
</v>
      </c>
      <c r="C45" s="1" t="s">
        <v>66</v>
      </c>
      <c r="D45" s="1" t="s">
        <v>3</v>
      </c>
      <c r="E45" s="1" t="s">
        <v>2</v>
      </c>
      <c r="F45" s="1" t="s">
        <v>3</v>
      </c>
      <c r="G45" s="3">
        <v>0</v>
      </c>
      <c r="H45" s="13" t="s">
        <v>67</v>
      </c>
      <c r="I45" s="3"/>
    </row>
    <row r="46" spans="1:9" ht="15" customHeight="1" x14ac:dyDescent="0.25">
      <c r="A46" s="25" t="str">
        <f t="shared" si="0"/>
        <v xml:space="preserve">  MessagesDevelopmentAssert.QuickPutEntry_bool("RP-002", false);
  MessagesImplementationAssert.QuickPutEntry_bool("RP-002", true);
  MessagesRuntimeAssert.QuickPutEntry_bool("RP-002", false);
  MessagesDisabling.QuickPutEntry_int("RP-002", 0);
  MessagesCount.QuickPutEntry_int("RP-002", 0);
  MessagesLabel.QuickPutEntry_string("RP-002","Trying to close a non opened stream");</v>
      </c>
      <c r="B46" s="25" t="str">
        <f t="shared" si="1"/>
        <v xml:space="preserve">\subsection{RP-002}
\begin{itemize}
  \item Interface Message:\\[1em]\textbf{Trying to close a non opened stream}
  \item Development Assertion: NO
  \item Implementation Assertion: YES
  \item Runtime Assertion: NO
\end{itemize}
</v>
      </c>
      <c r="C46" s="1" t="s">
        <v>68</v>
      </c>
      <c r="D46" s="1" t="s">
        <v>3</v>
      </c>
      <c r="E46" s="1" t="s">
        <v>2</v>
      </c>
      <c r="F46" s="1" t="s">
        <v>3</v>
      </c>
      <c r="G46" s="3">
        <v>0</v>
      </c>
      <c r="H46" s="13" t="s">
        <v>69</v>
      </c>
      <c r="I46" s="3"/>
    </row>
    <row r="47" spans="1:9" ht="15" customHeight="1" x14ac:dyDescent="0.25">
      <c r="A47" s="25" t="str">
        <f t="shared" ref="A47" si="6">IF(C47&lt;&gt;"",IF(C47="#","  // "&amp;H47,
"  MessagesDevelopmentAssert.QuickPutEntry_bool("""&amp;C47&amp;""", "&amp;IF(D47="F","false",IF(D47="T","true","ERROR"))&amp;");"&amp;CHAR(10)&amp;
"  MessagesImplementationAssert.QuickPutEntry_bool("""&amp;C47&amp;""", "&amp;IF(E47="F","false",IF(E47="T","true","ERROR"))&amp;");"&amp;CHAR(10)&amp;
"  MessagesRuntimeAssert.QuickPutEntry_bool("""&amp;C47&amp;""", "&amp;IF(F47="F","false",IF(F47="T","true","ERROR"))&amp;");"&amp;CHAR(10)&amp;
"  MessagesDisabling.QuickPutEntry_int("""&amp;C47&amp;""", "&amp;G47&amp;");"&amp; CHAR(10) &amp;
"  MessagesCount.QuickPutEntry_int("""&amp;C47&amp;""", 0);"&amp;CHAR(10)&amp;
"  MessagesLabel.QuickPutEntry_string("""&amp;C47&amp;""","""&amp;H47&amp;""");"&amp;
IF(J47&lt;&gt;"",CHAR(10) &amp; "  MessagesText.QuickPutEntry_string("""&amp;C47&amp;""", """&amp;SUBSTITUTE(J47,"""","\""")&amp;""");","")
),"")</f>
        <v xml:space="preserve">  MessagesDevelopmentAssert.QuickPutEntry_bool("RP-003", false);
  MessagesImplementationAssert.QuickPutEntry_bool("RP-003", true);
  MessagesRuntimeAssert.QuickPutEntry_bool("RP-003", false);
  MessagesDisabling.QuickPutEntry_int("RP-003", 0);
  MessagesCount.QuickPutEntry_int("RP-003", 0);
  MessagesLabel.QuickPutEntry_string("RP-003","Stream didn't oppened correctly");</v>
      </c>
      <c r="B47" s="25" t="str">
        <f t="shared" ref="B47" si="7">IF(C47&lt;&gt;"",IF(C47="#","\section{"&amp;H47&amp;"}" &amp; CHAR(10),
"\subsection{" &amp; C47 &amp; "}" &amp; CHAR(10) &amp; "\begin{itemize}" &amp; CHAR(10) &amp;
"  \item Interface Message:\\[1em]\textbf{" &amp; SUBSTITUTE(H47,"_","\_") &amp; "}" &amp; CHAR(10) &amp;
"  \item Development Assertion: " &amp; IF(D47="F","NO",IF(D47="T","YES","ERROR")) &amp; CHAR(10) &amp;
"  \item Implementation Assertion: " &amp; IF(E47="F","NO",IF(E47="T","YES","ERROR")) &amp; CHAR(10) &amp;
"  \item Runtime Assertion: " &amp; IF(F47="F","NO",IF(F47="T","YES","ERROR")) &amp; CHAR(10) &amp;
IF(J47&lt;&gt;"","  \item Message Description:\\[1em]"&amp; SUBSTITUTE(J47,"_","\_")  &amp;CHAR(10),"") &amp;
"\end{itemize}"&amp;CHAR(10)),"")</f>
        <v xml:space="preserve">\subsection{RP-003}
\begin{itemize}
  \item Interface Message:\\[1em]\textbf{Stream didn't oppened correctly}
  \item Development Assertion: NO
  \item Implementation Assertion: YES
  \item Runtime Assertion: NO
\end{itemize}
</v>
      </c>
      <c r="C47" s="1" t="s">
        <v>324</v>
      </c>
      <c r="D47" s="1" t="s">
        <v>3</v>
      </c>
      <c r="E47" s="1" t="s">
        <v>2</v>
      </c>
      <c r="F47" s="1" t="s">
        <v>3</v>
      </c>
      <c r="G47" s="3">
        <v>0</v>
      </c>
      <c r="H47" s="13" t="s">
        <v>325</v>
      </c>
      <c r="I47" s="3"/>
    </row>
    <row r="48" spans="1:9" s="4" customFormat="1" ht="15" customHeight="1" x14ac:dyDescent="0.25">
      <c r="A48" s="24" t="str">
        <f t="shared" si="0"/>
        <v xml:space="preserve">  // Simulator Interface Issues</v>
      </c>
      <c r="B48" s="24" t="str">
        <f t="shared" si="1"/>
        <v xml:space="preserve">\section{Simulator Interface Issues}
</v>
      </c>
      <c r="C48" s="5" t="s">
        <v>0</v>
      </c>
      <c r="E48" s="5"/>
      <c r="F48" s="5"/>
      <c r="G48" s="8"/>
      <c r="H48" s="6" t="s">
        <v>70</v>
      </c>
      <c r="I48" s="5"/>
    </row>
    <row r="49" spans="1:9" ht="15" customHeight="1" x14ac:dyDescent="0.25">
      <c r="A49" s="25" t="str">
        <f t="shared" si="0"/>
        <v xml:space="preserve">  MessagesDevelopmentAssert.QuickPutEntry_bool("SD-001", false);
  MessagesImplementationAssert.QuickPutEntry_bool("SD-001", false);
  MessagesRuntimeAssert.QuickPutEntry_bool("SD-001", true);
  MessagesDisabling.QuickPutEntry_int("SD-001", 0);
  MessagesCount.QuickPutEntry_int("SD-001", 0);
  MessagesLabel.QuickPutEntry_string("SD-001","Simple Simulator Not Initialized");</v>
      </c>
      <c r="B49" s="25" t="str">
        <f t="shared" si="1"/>
        <v xml:space="preserve">\subsection{SD-001}
\begin{itemize}
  \item Interface Message:\\[1em]\textbf{Simple Simulator Not Initialized}
  \item Development Assertion: NO
  \item Implementation Assertion: NO
  \item Runtime Assertion: YES
\end{itemize}
</v>
      </c>
      <c r="C49" s="1" t="s">
        <v>71</v>
      </c>
      <c r="D49" s="1" t="s">
        <v>3</v>
      </c>
      <c r="E49" s="1" t="s">
        <v>3</v>
      </c>
      <c r="F49" s="1" t="s">
        <v>2</v>
      </c>
      <c r="G49" s="3">
        <v>0</v>
      </c>
      <c r="H49" s="13" t="s">
        <v>72</v>
      </c>
    </row>
    <row r="50" spans="1:9" ht="15" customHeight="1" x14ac:dyDescent="0.25">
      <c r="A50" s="25" t="str">
        <f t="shared" si="0"/>
        <v xml:space="preserve">  MessagesDevelopmentAssert.QuickPutEntry_bool("SD-015", false);
  MessagesImplementationAssert.QuickPutEntry_bool("SD-015", false);
  MessagesRuntimeAssert.QuickPutEntry_bool("SD-015", true);
  MessagesDisabling.QuickPutEntry_int("SD-015", 0);
  MessagesCount.QuickPutEntry_int("SD-015", 0);
  MessagesLabel.QuickPutEntry_string("SD-015","No V1_Neuron created");</v>
      </c>
      <c r="B50" s="25" t="str">
        <f t="shared" si="1"/>
        <v xml:space="preserve">\subsection{SD-015}
\begin{itemize}
  \item Interface Message:\\[1em]\textbf{No V1\_Neuron created}
  \item Development Assertion: NO
  \item Implementation Assertion: NO
  \item Runtime Assertion: YES
\end{itemize}
</v>
      </c>
      <c r="C50" s="1" t="s">
        <v>95</v>
      </c>
      <c r="D50" s="1" t="s">
        <v>3</v>
      </c>
      <c r="E50" s="1" t="s">
        <v>3</v>
      </c>
      <c r="F50" s="1" t="s">
        <v>2</v>
      </c>
      <c r="G50" s="3">
        <v>0</v>
      </c>
      <c r="H50" s="13" t="s">
        <v>96</v>
      </c>
    </row>
    <row r="51" spans="1:9" ht="15" customHeight="1" x14ac:dyDescent="0.25">
      <c r="A51" s="25" t="str">
        <f t="shared" si="0"/>
        <v xml:space="preserve">  MessagesDevelopmentAssert.QuickPutEntry_bool("SD-016", false);
  MessagesImplementationAssert.QuickPutEntry_bool("SD-016", false);
  MessagesRuntimeAssert.QuickPutEntry_bool("SD-016", true);
  MessagesDisabling.QuickPutEntry_int("SD-016", 0);
  MessagesCount.QuickPutEntry_int("SD-016", 0);
  MessagesLabel.QuickPutEntry_string("SD-016","No MT_Neuron created");</v>
      </c>
      <c r="B51" s="25" t="str">
        <f t="shared" si="1"/>
        <v xml:space="preserve">\subsection{SD-016}
\begin{itemize}
  \item Interface Message:\\[1em]\textbf{No MT\_Neuron created}
  \item Development Assertion: NO
  \item Implementation Assertion: NO
  \item Runtime Assertion: YES
\end{itemize}
</v>
      </c>
      <c r="C51" s="1" t="s">
        <v>97</v>
      </c>
      <c r="D51" s="1" t="s">
        <v>3</v>
      </c>
      <c r="E51" s="1" t="s">
        <v>3</v>
      </c>
      <c r="F51" s="1" t="s">
        <v>2</v>
      </c>
      <c r="G51" s="3">
        <v>0</v>
      </c>
      <c r="H51" s="13" t="s">
        <v>98</v>
      </c>
    </row>
    <row r="52" spans="1:9" ht="15" customHeight="1" x14ac:dyDescent="0.25">
      <c r="A52" s="25" t="str">
        <f t="shared" si="0"/>
        <v xml:space="preserve">  MessagesDevelopmentAssert.QuickPutEntry_bool("SD-021", false);
  MessagesImplementationAssert.QuickPutEntry_bool("SD-021", false);
  MessagesRuntimeAssert.QuickPutEntry_bool("SD-021", true);
  MessagesDisabling.QuickPutEntry_int("SD-021", 0);
  MessagesCount.QuickPutEntry_int("SD-021", 0);
  MessagesLabel.QuickPutEntry_string("SD-021","Invalid timing for eternal excitation");</v>
      </c>
      <c r="B52" s="25" t="str">
        <f t="shared" si="1"/>
        <v xml:space="preserve">\subsection{SD-021}
\begin{itemize}
  \item Interface Message:\\[1em]\textbf{Invalid timing for eternal excitation}
  \item Development Assertion: NO
  \item Implementation Assertion: NO
  \item Runtime Assertion: YES
\end{itemize}
</v>
      </c>
      <c r="C52" s="1" t="s">
        <v>106</v>
      </c>
      <c r="D52" s="1" t="s">
        <v>3</v>
      </c>
      <c r="E52" s="1" t="s">
        <v>3</v>
      </c>
      <c r="F52" s="1" t="s">
        <v>2</v>
      </c>
      <c r="G52" s="3">
        <v>0</v>
      </c>
      <c r="H52" s="13" t="s">
        <v>107</v>
      </c>
    </row>
    <row r="53" spans="1:9" ht="15" customHeight="1" x14ac:dyDescent="0.25">
      <c r="A53" s="25" t="str">
        <f t="shared" si="0"/>
        <v xml:space="preserve">  MessagesDevelopmentAssert.QuickPutEntry_bool("SD-025", false);
  MessagesImplementationAssert.QuickPutEntry_bool("SD-025", false);
  MessagesRuntimeAssert.QuickPutEntry_bool("SD-025", true);
  MessagesDisabling.QuickPutEntry_int("SD-025", 0);
  MessagesCount.QuickPutEntry_int("SD-025", 0);
  MessagesLabel.QuickPutEntry_string("SD-025","Unordered external excitation phase insertion attempt");</v>
      </c>
      <c r="B53" s="25" t="str">
        <f t="shared" si="1"/>
        <v xml:space="preserve">\subsection{SD-025}
\begin{itemize}
  \item Interface Message:\\[1em]\textbf{Unordered external excitation phase insertion attempt}
  \item Development Assertion: NO
  \item Implementation Assertion: NO
  \item Runtime Assertion: YES
\end{itemize}
</v>
      </c>
      <c r="C53" s="1" t="s">
        <v>110</v>
      </c>
      <c r="D53" s="1" t="s">
        <v>3</v>
      </c>
      <c r="E53" s="1" t="s">
        <v>3</v>
      </c>
      <c r="F53" s="1" t="s">
        <v>2</v>
      </c>
      <c r="G53" s="3">
        <v>0</v>
      </c>
      <c r="H53" s="13" t="s">
        <v>111</v>
      </c>
    </row>
    <row r="54" spans="1:9" ht="15" customHeight="1" x14ac:dyDescent="0.25">
      <c r="A54" s="25" t="str">
        <f t="shared" si="0"/>
        <v xml:space="preserve">  MessagesDevelopmentAssert.QuickPutEntry_bool("SD-027", false);
  MessagesImplementationAssert.QuickPutEntry_bool("SD-027", false);
  MessagesRuntimeAssert.QuickPutEntry_bool("SD-027", true);
  MessagesDisabling.QuickPutEntry_int("SD-027", 0);
  MessagesCount.QuickPutEntry_int("SD-027", 0);
  MessagesLabel.QuickPutEntry_string("SD-027","First diffusion phase should be always zero");</v>
      </c>
      <c r="B54" s="25" t="str">
        <f t="shared" si="1"/>
        <v xml:space="preserve">\subsection{SD-027}
\begin{itemize}
  \item Interface Message:\\[1em]\textbf{First diffusion phase should be always zero}
  \item Development Assertion: NO
  \item Implementation Assertion: NO
  \item Runtime Assertion: YES
\end{itemize}
</v>
      </c>
      <c r="C54" s="1" t="s">
        <v>112</v>
      </c>
      <c r="D54" s="1" t="s">
        <v>3</v>
      </c>
      <c r="E54" s="1" t="s">
        <v>3</v>
      </c>
      <c r="F54" s="1" t="s">
        <v>2</v>
      </c>
      <c r="G54" s="3">
        <v>0</v>
      </c>
      <c r="H54" s="13" t="s">
        <v>113</v>
      </c>
    </row>
    <row r="55" spans="1:9" ht="15" customHeight="1" x14ac:dyDescent="0.25">
      <c r="A55" s="25" t="str">
        <f t="shared" si="0"/>
        <v xml:space="preserve">  MessagesDevelopmentAssert.QuickPutEntry_bool("SD-028", false);
  MessagesImplementationAssert.QuickPutEntry_bool("SD-028", false);
  MessagesRuntimeAssert.QuickPutEntry_bool("SD-028", true);
  MessagesDisabling.QuickPutEntry_int("SD-028", 0);
  MessagesCount.QuickPutEntry_int("SD-028", 0);
  MessagesLabel.QuickPutEntry_string("SD-028","The number of steps for simulate needs to be at least 1");</v>
      </c>
      <c r="B55" s="25" t="str">
        <f t="shared" si="1"/>
        <v xml:space="preserve">\subsection{SD-028}
\begin{itemize}
  \item Interface Message:\\[1em]\textbf{The number of steps for simulate needs to be at least 1}
  \item Development Assertion: NO
  \item Implementation Assertion: NO
  \item Runtime Assertion: YES
\end{itemize}
</v>
      </c>
      <c r="C55" s="1" t="s">
        <v>114</v>
      </c>
      <c r="D55" s="1" t="s">
        <v>3</v>
      </c>
      <c r="E55" s="1" t="s">
        <v>3</v>
      </c>
      <c r="F55" s="1" t="s">
        <v>2</v>
      </c>
      <c r="G55" s="3">
        <v>0</v>
      </c>
      <c r="H55" s="13" t="s">
        <v>115</v>
      </c>
    </row>
    <row r="56" spans="1:9" ht="15" customHeight="1" x14ac:dyDescent="0.25">
      <c r="A56" s="25" t="str">
        <f t="shared" si="0"/>
        <v xml:space="preserve">  MessagesDevelopmentAssert.QuickPutEntry_bool("SD-033", false);
  MessagesImplementationAssert.QuickPutEntry_bool("SD-033", false);
  MessagesRuntimeAssert.QuickPutEntry_bool("SD-033", true);
  MessagesDisabling.QuickPutEntry_int("SD-033", 0);
  MessagesCount.QuickPutEntry_int("SD-033", 0);
  MessagesLabel.QuickPutEntry_string("SD-033","Trying to access an invalid activation TimeStep");</v>
      </c>
      <c r="B56" s="25" t="str">
        <f t="shared" si="1"/>
        <v xml:space="preserve">\subsection{SD-033}
\begin{itemize}
  \item Interface Message:\\[1em]\textbf{Trying to access an invalid activation TimeStep}
  \item Development Assertion: NO
  \item Implementation Assertion: NO
  \item Runtime Assertion: YES
\end{itemize}
</v>
      </c>
      <c r="C56" s="1" t="s">
        <v>120</v>
      </c>
      <c r="D56" s="1" t="s">
        <v>3</v>
      </c>
      <c r="E56" s="1" t="s">
        <v>3</v>
      </c>
      <c r="F56" s="1" t="s">
        <v>2</v>
      </c>
      <c r="G56" s="3">
        <v>0</v>
      </c>
      <c r="H56" s="13" t="s">
        <v>121</v>
      </c>
    </row>
    <row r="57" spans="1:9" ht="15" customHeight="1" x14ac:dyDescent="0.25">
      <c r="A57" s="25" t="str">
        <f t="shared" si="0"/>
        <v xml:space="preserve">  MessagesDevelopmentAssert.QuickPutEntry_bool("SD-036", false);
  MessagesImplementationAssert.QuickPutEntry_bool("SD-036", false);
  MessagesRuntimeAssert.QuickPutEntry_bool("SD-036", true);
  MessagesDisabling.QuickPutEntry_int("SD-036", 0);
  MessagesCount.QuickPutEntry_int("SD-036", 0);
  MessagesLabel.QuickPutEntry_string("SD-036","Setting not recognized");</v>
      </c>
      <c r="B57" s="25" t="str">
        <f t="shared" si="1"/>
        <v xml:space="preserve">\subsection{SD-036}
\begin{itemize}
  \item Interface Message:\\[1em]\textbf{Setting not recognized}
  \item Development Assertion: NO
  \item Implementation Assertion: NO
  \item Runtime Assertion: YES
\end{itemize}
</v>
      </c>
      <c r="C57" s="1" t="s">
        <v>144</v>
      </c>
      <c r="D57" s="1" t="s">
        <v>3</v>
      </c>
      <c r="E57" s="1" t="s">
        <v>3</v>
      </c>
      <c r="F57" s="1" t="s">
        <v>2</v>
      </c>
      <c r="G57" s="3">
        <v>0</v>
      </c>
      <c r="H57" s="13" t="s">
        <v>145</v>
      </c>
    </row>
    <row r="58" spans="1:9" ht="15" customHeight="1" x14ac:dyDescent="0.25">
      <c r="A58" s="25" t="str">
        <f t="shared" si="0"/>
        <v xml:space="preserve">  MessagesDevelopmentAssert.QuickPutEntry_bool("SD-037", false);
  MessagesImplementationAssert.QuickPutEntry_bool("SD-037", false);
  MessagesRuntimeAssert.QuickPutEntry_bool("SD-037", true);
  MessagesDisabling.QuickPutEntry_int("SD-037", 0);
  MessagesCount.QuickPutEntry_int("SD-037", 0);
  MessagesLabel.QuickPutEntry_string("SD-037","Setting required");</v>
      </c>
      <c r="B58" s="25" t="str">
        <f t="shared" si="1"/>
        <v xml:space="preserve">\subsection{SD-037}
\begin{itemize}
  \item Interface Message:\\[1em]\textbf{Setting required}
  \item Development Assertion: NO
  \item Implementation Assertion: NO
  \item Runtime Assertion: YES
\end{itemize}
</v>
      </c>
      <c r="C58" s="1" t="s">
        <v>146</v>
      </c>
      <c r="D58" s="1" t="s">
        <v>3</v>
      </c>
      <c r="E58" s="1" t="s">
        <v>3</v>
      </c>
      <c r="F58" s="1" t="s">
        <v>2</v>
      </c>
      <c r="G58" s="3">
        <v>0</v>
      </c>
      <c r="H58" s="13" t="s">
        <v>147</v>
      </c>
    </row>
    <row r="59" spans="1:9" s="4" customFormat="1" ht="15" customHeight="1" x14ac:dyDescent="0.25">
      <c r="A59" s="24" t="str">
        <f t="shared" si="0"/>
        <v xml:space="preserve">  // Warnings</v>
      </c>
      <c r="B59" s="24" t="str">
        <f t="shared" si="1"/>
        <v xml:space="preserve">\section{Warnings}
</v>
      </c>
      <c r="C59" s="5" t="s">
        <v>0</v>
      </c>
      <c r="E59" s="5"/>
      <c r="F59" s="5"/>
      <c r="G59" s="8"/>
      <c r="H59" s="6" t="s">
        <v>126</v>
      </c>
      <c r="I59" s="5"/>
    </row>
    <row r="60" spans="1:9" ht="15" customHeight="1" x14ac:dyDescent="0.25">
      <c r="A60" s="25" t="str">
        <f t="shared" si="0"/>
        <v xml:space="preserve">  MessagesDevelopmentAssert.QuickPutEntry_bool("WN-006", false);
  MessagesImplementationAssert.QuickPutEntry_bool("WN-006", false);
  MessagesRuntimeAssert.QuickPutEntry_bool("WN-006", false);
  MessagesDisabling.QuickPutEntry_int("WN-006", 1);
  MessagesCount.QuickPutEntry_int("WN-006", 0);
  MessagesLabel.QuickPutEntry_string("WN-006","There are undocumented calculations in use");</v>
      </c>
      <c r="B60" s="25" t="str">
        <f t="shared" si="1"/>
        <v xml:space="preserve">\subsection{WN-006}
\begin{itemize}
  \item Interface Message:\\[1em]\textbf{There are undocumented calculations in use}
  \item Development Assertion: NO
  \item Implementation Assertion: NO
  \item Runtime Assertion: NO
\end{itemize}
</v>
      </c>
      <c r="C60" s="1" t="s">
        <v>143</v>
      </c>
      <c r="D60" s="1" t="s">
        <v>3</v>
      </c>
      <c r="E60" s="1" t="s">
        <v>3</v>
      </c>
      <c r="F60" s="1" t="s">
        <v>3</v>
      </c>
      <c r="G60" s="3">
        <v>1</v>
      </c>
      <c r="H60" s="14" t="s">
        <v>279</v>
      </c>
    </row>
    <row r="61" spans="1:9" s="48" customFormat="1" ht="15" customHeight="1" x14ac:dyDescent="0.25">
      <c r="A61" s="44"/>
      <c r="B61" s="44"/>
      <c r="C61" s="45"/>
      <c r="D61" s="45"/>
      <c r="E61" s="45"/>
      <c r="F61" s="45"/>
      <c r="G61" s="49"/>
      <c r="H61" s="50"/>
      <c r="I61" s="45"/>
    </row>
    <row r="62" spans="1:9" s="4" customFormat="1" ht="15" customHeight="1" x14ac:dyDescent="0.25">
      <c r="A62" s="24" t="str">
        <f t="shared" si="0"/>
        <v xml:space="preserve">  // Deprecated Messages</v>
      </c>
      <c r="B62" s="24" t="str">
        <f t="shared" si="1"/>
        <v xml:space="preserve">\section{Deprecated Messages}
</v>
      </c>
      <c r="C62" s="5" t="s">
        <v>0</v>
      </c>
      <c r="E62" s="5"/>
      <c r="F62" s="5"/>
      <c r="G62" s="8"/>
      <c r="H62" s="6" t="s">
        <v>284</v>
      </c>
      <c r="I62" s="5"/>
    </row>
    <row r="63" spans="1:9" ht="15" customHeight="1" x14ac:dyDescent="0.25">
      <c r="A63" s="25" t="str">
        <f t="shared" si="0"/>
        <v xml:space="preserve">  MessagesDevelopmentAssert.QuickPutEntry_bool("WN-001", false);
  MessagesImplementationAssert.QuickPutEntry_bool("WN-001", false);
  MessagesRuntimeAssert.QuickPutEntry_bool("WN-001", false);
  MessagesDisabling.QuickPutEntry_int("WN-001", 1);
  MessagesCount.QuickPutEntry_int("WN-001", 0);
  MessagesLabel.QuickPutEntry_string("WN-001","Undocumented RFSize Calculation");</v>
      </c>
      <c r="B63" s="25" t="str">
        <f t="shared" si="1"/>
        <v xml:space="preserve">\subsection{WN-001}
\begin{itemize}
  \item Interface Message:\\[1em]\textbf{Undocumented RFSize Calculation}
  \item Development Assertion: NO
  \item Implementation Assertion: NO
  \item Runtime Assertion: NO
\end{itemize}
</v>
      </c>
      <c r="C63" s="1" t="s">
        <v>127</v>
      </c>
      <c r="D63" s="1" t="s">
        <v>3</v>
      </c>
      <c r="E63" s="1" t="s">
        <v>3</v>
      </c>
      <c r="F63" s="1" t="s">
        <v>3</v>
      </c>
      <c r="G63" s="3">
        <v>1</v>
      </c>
      <c r="H63" s="13" t="s">
        <v>128</v>
      </c>
      <c r="I63" s="1" t="s">
        <v>138</v>
      </c>
    </row>
    <row r="64" spans="1:9" ht="15" customHeight="1" x14ac:dyDescent="0.25">
      <c r="A64" s="25" t="str">
        <f t="shared" si="0"/>
        <v xml:space="preserve">  MessagesDevelopmentAssert.QuickPutEntry_bool("WN-002", false);
  MessagesImplementationAssert.QuickPutEntry_bool("WN-002", false);
  MessagesRuntimeAssert.QuickPutEntry_bool("WN-002", false);
  MessagesDisabling.QuickPutEntry_int("WN-002", 1);
  MessagesCount.QuickPutEntry_int("WN-002", 0);
  MessagesLabel.QuickPutEntry_string("WN-002","Undocumented Sigma Calculation");</v>
      </c>
      <c r="B64" s="25" t="str">
        <f t="shared" si="1"/>
        <v xml:space="preserve">\subsection{WN-002}
\begin{itemize}
  \item Interface Message:\\[1em]\textbf{Undocumented Sigma Calculation}
  \item Development Assertion: NO
  \item Implementation Assertion: NO
  \item Runtime Assertion: NO
\end{itemize}
</v>
      </c>
      <c r="C64" s="1" t="s">
        <v>129</v>
      </c>
      <c r="D64" s="1" t="s">
        <v>3</v>
      </c>
      <c r="E64" s="1" t="s">
        <v>3</v>
      </c>
      <c r="F64" s="1" t="s">
        <v>3</v>
      </c>
      <c r="G64" s="3">
        <v>1</v>
      </c>
      <c r="H64" s="13" t="s">
        <v>130</v>
      </c>
      <c r="I64" s="1" t="s">
        <v>138</v>
      </c>
    </row>
    <row r="65" spans="1:9" ht="15" customHeight="1" x14ac:dyDescent="0.25">
      <c r="A65" s="25" t="str">
        <f t="shared" si="0"/>
        <v xml:space="preserve">  MessagesDevelopmentAssert.QuickPutEntry_bool("WN-003", false);
  MessagesImplementationAssert.QuickPutEntry_bool("WN-003", false);
  MessagesRuntimeAssert.QuickPutEntry_bool("WN-003", false);
  MessagesDisabling.QuickPutEntry_int("WN-003", 1);
  MessagesCount.QuickPutEntry_int("WN-003", 0);
  MessagesLabel.QuickPutEntry_string("WN-003","Undocumented AdaptedWeithg Calculation");</v>
      </c>
      <c r="B65" s="25" t="str">
        <f t="shared" si="1"/>
        <v xml:space="preserve">\subsection{WN-003}
\begin{itemize}
  \item Interface Message:\\[1em]\textbf{Undocumented AdaptedWeithg Calculation}
  \item Development Assertion: NO
  \item Implementation Assertion: NO
  \item Runtime Assertion: NO
\end{itemize}
</v>
      </c>
      <c r="C65" s="1" t="s">
        <v>131</v>
      </c>
      <c r="D65" s="1" t="s">
        <v>3</v>
      </c>
      <c r="E65" s="1" t="s">
        <v>3</v>
      </c>
      <c r="F65" s="1" t="s">
        <v>3</v>
      </c>
      <c r="G65" s="3">
        <v>1</v>
      </c>
      <c r="H65" s="13" t="s">
        <v>132</v>
      </c>
      <c r="I65" s="1" t="s">
        <v>138</v>
      </c>
    </row>
    <row r="66" spans="1:9" ht="15" customHeight="1" x14ac:dyDescent="0.25">
      <c r="A66" s="25" t="str">
        <f t="shared" si="0"/>
        <v xml:space="preserve">  MessagesDevelopmentAssert.QuickPutEntry_bool("WN-004", false);
  MessagesImplementationAssert.QuickPutEntry_bool("WN-004", false);
  MessagesRuntimeAssert.QuickPutEntry_bool("WN-004", false);
  MessagesDisabling.QuickPutEntry_int("WN-004", 1);
  MessagesCount.QuickPutEntry_int("WN-004", 0);
  MessagesLabel.QuickPutEntry_string("WN-004","Undocumented AdaptedWeight correction");</v>
      </c>
      <c r="B66" s="25" t="str">
        <f t="shared" si="1"/>
        <v xml:space="preserve">\subsection{WN-004}
\begin{itemize}
  \item Interface Message:\\[1em]\textbf{Undocumented AdaptedWeight correction}
  \item Development Assertion: NO
  \item Implementation Assertion: NO
  \item Runtime Assertion: NO
\end{itemize}
</v>
      </c>
      <c r="C66" s="1" t="s">
        <v>133</v>
      </c>
      <c r="D66" s="1" t="s">
        <v>3</v>
      </c>
      <c r="E66" s="1" t="s">
        <v>3</v>
      </c>
      <c r="F66" s="1" t="s">
        <v>3</v>
      </c>
      <c r="G66" s="3">
        <v>1</v>
      </c>
      <c r="H66" s="13" t="s">
        <v>134</v>
      </c>
      <c r="I66" s="1" t="s">
        <v>138</v>
      </c>
    </row>
    <row r="67" spans="1:9" ht="15" customHeight="1" x14ac:dyDescent="0.25">
      <c r="A67" s="25" t="str">
        <f t="shared" si="0"/>
        <v xml:space="preserve">  MessagesDevelopmentAssert.QuickPutEntry_bool("WN-005", false);
  MessagesImplementationAssert.QuickPutEntry_bool("WN-005", false);
  MessagesRuntimeAssert.QuickPutEntry_bool("WN-005", false);
  MessagesDisabling.QuickPutEntry_int("WN-005", 1);
  MessagesCount.QuickPutEntry_int("WN-005", 0);
  MessagesLabel.QuickPutEntry_string("WN-005","Undocumented BaseWeight correction");</v>
      </c>
      <c r="B67" s="25" t="str">
        <f t="shared" si="1"/>
        <v xml:space="preserve">\subsection{WN-005}
\begin{itemize}
  \item Interface Message:\\[1em]\textbf{Undocumented BaseWeight correction}
  \item Development Assertion: NO
  \item Implementation Assertion: NO
  \item Runtime Assertion: NO
\end{itemize}
</v>
      </c>
      <c r="C67" s="1" t="s">
        <v>135</v>
      </c>
      <c r="D67" s="1" t="s">
        <v>3</v>
      </c>
      <c r="E67" s="1" t="s">
        <v>3</v>
      </c>
      <c r="F67" s="1" t="s">
        <v>3</v>
      </c>
      <c r="G67" s="3">
        <v>1</v>
      </c>
      <c r="H67" s="13" t="s">
        <v>136</v>
      </c>
      <c r="I67" s="1" t="s">
        <v>138</v>
      </c>
    </row>
    <row r="68" spans="1:9" ht="15" customHeight="1" x14ac:dyDescent="0.25">
      <c r="A68" s="25" t="str">
        <f t="shared" si="0"/>
        <v xml:space="preserve">  MessagesDevelopmentAssert.QuickPutEntry_bool("SD-023", false);
  MessagesImplementationAssert.QuickPutEntry_bool("SD-023", false);
  MessagesRuntimeAssert.QuickPutEntry_bool("SD-023", true);
  MessagesDisabling.QuickPutEntry_int("SD-023", 0);
  MessagesCount.QuickPutEntry_int("SD-023", 0);
  MessagesLabel.QuickPutEntry_string("SD-023","Invalid Parameter");</v>
      </c>
      <c r="B68" s="25" t="str">
        <f t="shared" si="1"/>
        <v xml:space="preserve">\subsection{SD-023}
\begin{itemize}
  \item Interface Message:\\[1em]\textbf{Invalid Parameter}
  \item Development Assertion: NO
  \item Implementation Assertion: NO
  \item Runtime Assertion: YES
\end{itemize}
</v>
      </c>
      <c r="C68" s="1" t="s">
        <v>108</v>
      </c>
      <c r="D68" s="1" t="s">
        <v>3</v>
      </c>
      <c r="E68" s="1" t="s">
        <v>3</v>
      </c>
      <c r="F68" s="1" t="s">
        <v>2</v>
      </c>
      <c r="G68" s="3">
        <v>0</v>
      </c>
      <c r="H68" s="13" t="s">
        <v>109</v>
      </c>
      <c r="I68" s="1" t="s">
        <v>138</v>
      </c>
    </row>
    <row r="69" spans="1:9" s="19" customFormat="1" ht="15" customHeight="1" x14ac:dyDescent="0.25">
      <c r="A69" s="27" t="str">
        <f t="shared" si="0"/>
        <v xml:space="preserve">  MessagesDevelopmentAssert.QuickPutEntry_bool("SD-020", false);
  MessagesImplementationAssert.QuickPutEntry_bool("SD-020", false);
  MessagesRuntimeAssert.QuickPutEntry_bool("SD-020", true);
  MessagesDisabling.QuickPutEntry_int("SD-020", 0);
  MessagesCount.QuickPutEntry_int("SD-020", 0);
  MessagesLabel.QuickPutEntry_string("SD-020","V1V1_default_weight is required for calculation");</v>
      </c>
      <c r="B69" s="27" t="str">
        <f t="shared" si="1"/>
        <v xml:space="preserve">\subsection{SD-020}
\begin{itemize}
  \item Interface Message:\\[1em]\textbf{V1V1\_default\_weight is required for calculation}
  \item Development Assertion: NO
  \item Implementation Assertion: NO
  \item Runtime Assertion: YES
\end{itemize}
</v>
      </c>
      <c r="C69" s="20" t="s">
        <v>104</v>
      </c>
      <c r="D69" s="20" t="s">
        <v>3</v>
      </c>
      <c r="E69" s="20" t="s">
        <v>3</v>
      </c>
      <c r="F69" s="20" t="s">
        <v>2</v>
      </c>
      <c r="G69" s="21">
        <v>0</v>
      </c>
      <c r="H69" s="22" t="s">
        <v>105</v>
      </c>
      <c r="I69" s="20" t="s">
        <v>138</v>
      </c>
    </row>
    <row r="70" spans="1:9" s="19" customFormat="1" ht="15" customHeight="1" x14ac:dyDescent="0.25">
      <c r="A70" s="27" t="str">
        <f t="shared" si="0"/>
        <v xml:space="preserve">  MessagesDevelopmentAssert.QuickPutEntry_bool("SD-010", false);
  MessagesImplementationAssert.QuickPutEntry_bool("SD-010", false);
  MessagesRuntimeAssert.QuickPutEntry_bool("SD-010", true);
  MessagesDisabling.QuickPutEntry_int("SD-010", 0);
  MessagesCount.QuickPutEntry_int("SD-010", 0);
  MessagesLabel.QuickPutEntry_string("SD-010","V1MT_sigma is required for calculation");</v>
      </c>
      <c r="B70" s="27" t="str">
        <f t="shared" si="1"/>
        <v xml:space="preserve">\subsection{SD-010}
\begin{itemize}
  \item Interface Message:\\[1em]\textbf{V1MT\_sigma is required for calculation}
  \item Development Assertion: NO
  \item Implementation Assertion: NO
  \item Runtime Assertion: YES
\end{itemize}
</v>
      </c>
      <c r="C70" s="20" t="s">
        <v>87</v>
      </c>
      <c r="D70" s="20" t="s">
        <v>3</v>
      </c>
      <c r="E70" s="20" t="s">
        <v>3</v>
      </c>
      <c r="F70" s="20" t="s">
        <v>2</v>
      </c>
      <c r="G70" s="21">
        <v>0</v>
      </c>
      <c r="H70" s="22" t="s">
        <v>88</v>
      </c>
      <c r="I70" s="20" t="s">
        <v>138</v>
      </c>
    </row>
    <row r="71" spans="1:9" s="19" customFormat="1" ht="15" customHeight="1" x14ac:dyDescent="0.25">
      <c r="A71" s="27" t="str">
        <f t="shared" si="0"/>
        <v xml:space="preserve">  MessagesDevelopmentAssert.QuickPutEntry_bool("SD-011", false);
  MessagesImplementationAssert.QuickPutEntry_bool("SD-011", false);
  MessagesRuntimeAssert.QuickPutEntry_bool("SD-011", true);
  MessagesDisabling.QuickPutEntry_int("SD-011", 0);
  MessagesCount.QuickPutEntry_int("SD-011", 0);
  MessagesLabel.QuickPutEntry_string("SD-011","V1MT_amplification is required for calculation");</v>
      </c>
      <c r="B71" s="27" t="str">
        <f t="shared" si="1"/>
        <v xml:space="preserve">\subsection{SD-011}
\begin{itemize}
  \item Interface Message:\\[1em]\textbf{V1MT\_amplification is required for calculation}
  \item Development Assertion: NO
  \item Implementation Assertion: NO
  \item Runtime Assertion: YES
\end{itemize}
</v>
      </c>
      <c r="C71" s="20" t="s">
        <v>89</v>
      </c>
      <c r="D71" s="20" t="s">
        <v>3</v>
      </c>
      <c r="E71" s="20" t="s">
        <v>3</v>
      </c>
      <c r="F71" s="20" t="s">
        <v>2</v>
      </c>
      <c r="G71" s="21">
        <v>0</v>
      </c>
      <c r="H71" s="22" t="s">
        <v>90</v>
      </c>
      <c r="I71" s="20" t="s">
        <v>138</v>
      </c>
    </row>
    <row r="72" spans="1:9" s="19" customFormat="1" ht="15" customHeight="1" x14ac:dyDescent="0.25">
      <c r="A72" s="27" t="str">
        <f t="shared" ref="A72:A135" si="8">IF(C72&lt;&gt;"",IF(C72="#","  // "&amp;H72,
"  MessagesDevelopmentAssert.QuickPutEntry_bool("""&amp;C72&amp;""", "&amp;IF(D72="F","false",IF(D72="T","true","ERROR"))&amp;");"&amp;CHAR(10)&amp;
"  MessagesImplementationAssert.QuickPutEntry_bool("""&amp;C72&amp;""", "&amp;IF(E72="F","false",IF(E72="T","true","ERROR"))&amp;");"&amp;CHAR(10)&amp;
"  MessagesRuntimeAssert.QuickPutEntry_bool("""&amp;C72&amp;""", "&amp;IF(F72="F","false",IF(F72="T","true","ERROR"))&amp;");"&amp;CHAR(10)&amp;
"  MessagesDisabling.QuickPutEntry_int("""&amp;C72&amp;""", "&amp;G72&amp;");"&amp; CHAR(10) &amp;
"  MessagesCount.QuickPutEntry_int("""&amp;C72&amp;""", 0);"&amp;CHAR(10)&amp;
"  MessagesLabel.QuickPutEntry_string("""&amp;C72&amp;""","""&amp;H72&amp;""");"&amp;
IF(J72&lt;&gt;"",CHAR(10) &amp; "  MessagesText.QuickPutEntry_string("""&amp;C72&amp;""", """&amp;SUBSTITUTE(J72,"""","\""")&amp;""");","")
),"")</f>
        <v xml:space="preserve">  MessagesDevelopmentAssert.QuickPutEntry_bool("SD-012", false);
  MessagesImplementationAssert.QuickPutEntry_bool("SD-012", false);
  MessagesRuntimeAssert.QuickPutEntry_bool("SD-012", true);
  MessagesDisabling.QuickPutEntry_int("SD-012", 0);
  MessagesCount.QuickPutEntry_int("SD-012", 0);
  MessagesLabel.QuickPutEntry_string("SD-012","V1MT_modulation is required for calculation");</v>
      </c>
      <c r="B72" s="27" t="str">
        <f t="shared" ref="B72:B135" si="9">IF(C72&lt;&gt;"",IF(C72="#","\section{"&amp;H72&amp;"}" &amp; CHAR(10),
"\subsection{" &amp; C72 &amp; "}" &amp; CHAR(10) &amp; "\begin{itemize}" &amp; CHAR(10) &amp;
"  \item Interface Message:\\[1em]\textbf{" &amp; SUBSTITUTE(H72,"_","\_") &amp; "}" &amp; CHAR(10) &amp;
"  \item Development Assertion: " &amp; IF(D72="F","NO",IF(D72="T","YES","ERROR")) &amp; CHAR(10) &amp;
"  \item Implementation Assertion: " &amp; IF(E72="F","NO",IF(E72="T","YES","ERROR")) &amp; CHAR(10) &amp;
"  \item Runtime Assertion: " &amp; IF(F72="F","NO",IF(F72="T","YES","ERROR")) &amp; CHAR(10) &amp;
IF(J72&lt;&gt;"","  \item Message Description:\\[1em]"&amp; SUBSTITUTE(J72,"_","\_")  &amp;CHAR(10),"") &amp;
"\end{itemize}"&amp;CHAR(10)),"")</f>
        <v xml:space="preserve">\subsection{SD-012}
\begin{itemize}
  \item Interface Message:\\[1em]\textbf{V1MT\_modulation is required for calculation}
  \item Development Assertion: NO
  \item Implementation Assertion: NO
  \item Runtime Assertion: YES
\end{itemize}
</v>
      </c>
      <c r="C72" s="20" t="s">
        <v>91</v>
      </c>
      <c r="D72" s="20" t="s">
        <v>3</v>
      </c>
      <c r="E72" s="20" t="s">
        <v>3</v>
      </c>
      <c r="F72" s="20" t="s">
        <v>2</v>
      </c>
      <c r="G72" s="21">
        <v>0</v>
      </c>
      <c r="H72" s="22" t="s">
        <v>92</v>
      </c>
      <c r="I72" s="20" t="s">
        <v>138</v>
      </c>
    </row>
    <row r="73" spans="1:9" s="19" customFormat="1" ht="15" customHeight="1" x14ac:dyDescent="0.25">
      <c r="A73" s="27" t="str">
        <f t="shared" si="8"/>
        <v xml:space="preserve">  MessagesDevelopmentAssert.QuickPutEntry_bool("SD-013", false);
  MessagesImplementationAssert.QuickPutEntry_bool("SD-013", false);
  MessagesRuntimeAssert.QuickPutEntry_bool("SD-013", true);
  MessagesDisabling.QuickPutEntry_int("SD-013", 0);
  MessagesCount.QuickPutEntry_int("SD-013", 0);
  MessagesLabel.QuickPutEntry_string("SD-013","V1MT_aperture is required for calculation");</v>
      </c>
      <c r="B73" s="27" t="str">
        <f t="shared" si="9"/>
        <v xml:space="preserve">\subsection{SD-013}
\begin{itemize}
  \item Interface Message:\\[1em]\textbf{V1MT\_aperture is required for calculation}
  \item Development Assertion: NO
  \item Implementation Assertion: NO
  \item Runtime Assertion: YES
\end{itemize}
</v>
      </c>
      <c r="C73" s="20" t="s">
        <v>93</v>
      </c>
      <c r="D73" s="20" t="s">
        <v>3</v>
      </c>
      <c r="E73" s="20" t="s">
        <v>3</v>
      </c>
      <c r="F73" s="20" t="s">
        <v>2</v>
      </c>
      <c r="G73" s="21">
        <v>0</v>
      </c>
      <c r="H73" s="22" t="s">
        <v>94</v>
      </c>
      <c r="I73" s="20" t="s">
        <v>138</v>
      </c>
    </row>
    <row r="74" spans="1:9" s="19" customFormat="1" ht="15" customHeight="1" x14ac:dyDescent="0.25">
      <c r="A74" s="27" t="str">
        <f t="shared" si="8"/>
        <v xml:space="preserve">  MessagesDevelopmentAssert.QuickPutEntry_bool("SD-004", false);
  MessagesImplementationAssert.QuickPutEntry_bool("SD-004", false);
  MessagesRuntimeAssert.QuickPutEntry_bool("SD-004", true);
  MessagesDisabling.QuickPutEntry_int("SD-004", 0);
  MessagesCount.QuickPutEntry_int("SD-004", 0);
  MessagesLabel.QuickPutEntry_string("SD-004","V1_D001_excitatory_factor is required for calculation");</v>
      </c>
      <c r="B74" s="27" t="str">
        <f t="shared" si="9"/>
        <v xml:space="preserve">\subsection{SD-004}
\begin{itemize}
  \item Interface Message:\\[1em]\textbf{V1\_D001\_excitatory\_factor is required for calculation}
  \item Development Assertion: NO
  \item Implementation Assertion: NO
  \item Runtime Assertion: YES
\end{itemize}
</v>
      </c>
      <c r="C74" s="20" t="s">
        <v>77</v>
      </c>
      <c r="D74" s="20" t="s">
        <v>3</v>
      </c>
      <c r="E74" s="20" t="s">
        <v>3</v>
      </c>
      <c r="F74" s="20" t="s">
        <v>2</v>
      </c>
      <c r="G74" s="21">
        <v>0</v>
      </c>
      <c r="H74" s="22" t="s">
        <v>78</v>
      </c>
      <c r="I74" s="20" t="s">
        <v>138</v>
      </c>
    </row>
    <row r="75" spans="1:9" s="19" customFormat="1" ht="15" customHeight="1" x14ac:dyDescent="0.25">
      <c r="A75" s="27" t="str">
        <f t="shared" si="8"/>
        <v xml:space="preserve">  MessagesDevelopmentAssert.QuickPutEntry_bool("SD-005", false);
  MessagesImplementationAssert.QuickPutEntry_bool("SD-005", false);
  MessagesRuntimeAssert.QuickPutEntry_bool("SD-005", true);
  MessagesDisabling.QuickPutEntry_int("SD-005", 0);
  MessagesCount.QuickPutEntry_int("SD-005", 0);
  MessagesLabel.QuickPutEntry_string("SD-005","V1_D001_conductance_leak is required for calculation");</v>
      </c>
      <c r="B75" s="27" t="str">
        <f t="shared" si="9"/>
        <v xml:space="preserve">\subsection{SD-005}
\begin{itemize}
  \item Interface Message:\\[1em]\textbf{V1\_D001\_conductance\_leak is required for calculation}
  \item Development Assertion: NO
  \item Implementation Assertion: NO
  \item Runtime Assertion: YES
\end{itemize}
</v>
      </c>
      <c r="C75" s="20" t="s">
        <v>79</v>
      </c>
      <c r="D75" s="20" t="s">
        <v>3</v>
      </c>
      <c r="E75" s="20" t="s">
        <v>3</v>
      </c>
      <c r="F75" s="20" t="s">
        <v>2</v>
      </c>
      <c r="G75" s="21">
        <v>0</v>
      </c>
      <c r="H75" s="22" t="s">
        <v>80</v>
      </c>
      <c r="I75" s="20" t="s">
        <v>138</v>
      </c>
    </row>
    <row r="76" spans="1:9" s="19" customFormat="1" ht="15" customHeight="1" x14ac:dyDescent="0.25">
      <c r="A76" s="27" t="str">
        <f t="shared" si="8"/>
        <v xml:space="preserve">  MessagesDevelopmentAssert.QuickPutEntry_bool("SD-006", false);
  MessagesImplementationAssert.QuickPutEntry_bool("SD-006", false);
  MessagesRuntimeAssert.QuickPutEntry_bool("SD-006", true);
  MessagesDisabling.QuickPutEntry_int("SD-006", 0);
  MessagesCount.QuickPutEntry_int("SD-006", 0);
  MessagesLabel.QuickPutEntry_string("SD-006","V1_D001_inhibition_factor is required for calculation");</v>
      </c>
      <c r="B76" s="27" t="str">
        <f t="shared" si="9"/>
        <v xml:space="preserve">\subsection{SD-006}
\begin{itemize}
  \item Interface Message:\\[1em]\textbf{V1\_D001\_inhibition\_factor is required for calculation}
  \item Development Assertion: NO
  \item Implementation Assertion: NO
  \item Runtime Assertion: YES
\end{itemize}
</v>
      </c>
      <c r="C76" s="20" t="s">
        <v>81</v>
      </c>
      <c r="D76" s="20" t="s">
        <v>3</v>
      </c>
      <c r="E76" s="20" t="s">
        <v>3</v>
      </c>
      <c r="F76" s="20" t="s">
        <v>2</v>
      </c>
      <c r="G76" s="21">
        <v>0</v>
      </c>
      <c r="H76" s="22" t="s">
        <v>82</v>
      </c>
      <c r="I76" s="20" t="s">
        <v>138</v>
      </c>
    </row>
    <row r="77" spans="1:9" s="15" customFormat="1" ht="15" customHeight="1" x14ac:dyDescent="0.25">
      <c r="A77" s="26" t="str">
        <f t="shared" si="8"/>
        <v xml:space="preserve">  MessagesDevelopmentAssert.QuickPutEntry_bool("SD-019", false);
  MessagesImplementationAssert.QuickPutEntry_bool("SD-019", false);
  MessagesRuntimeAssert.QuickPutEntry_bool("SD-019", true);
  MessagesDisabling.QuickPutEntry_int("SD-019", 0);
  MessagesCount.QuickPutEntry_int("SD-019", 0);
  MessagesLabel.QuickPutEntry_string("SD-019","V1V1_base_weight_source not recognized");</v>
      </c>
      <c r="B77" s="26" t="str">
        <f t="shared" si="9"/>
        <v xml:space="preserve">\subsection{SD-019}
\begin{itemize}
  \item Interface Message:\\[1em]\textbf{V1V1\_base\_weight\_source not recognized}
  \item Development Assertion: NO
  \item Implementation Assertion: NO
  \item Runtime Assertion: YES
\end{itemize}
</v>
      </c>
      <c r="C77" s="16" t="s">
        <v>102</v>
      </c>
      <c r="D77" s="16" t="s">
        <v>3</v>
      </c>
      <c r="E77" s="16" t="s">
        <v>3</v>
      </c>
      <c r="F77" s="16" t="s">
        <v>2</v>
      </c>
      <c r="G77" s="17">
        <v>0</v>
      </c>
      <c r="H77" s="18" t="s">
        <v>103</v>
      </c>
      <c r="I77" s="16" t="s">
        <v>138</v>
      </c>
    </row>
    <row r="78" spans="1:9" s="15" customFormat="1" ht="15" customHeight="1" x14ac:dyDescent="0.25">
      <c r="A78" s="26" t="str">
        <f t="shared" si="8"/>
        <v xml:space="preserve">  MessagesDevelopmentAssert.QuickPutEntry_bool("SD-002", false);
  MessagesImplementationAssert.QuickPutEntry_bool("SD-002", false);
  MessagesRuntimeAssert.QuickPutEntry_bool("SD-002", true);
  MessagesDisabling.QuickPutEntry_int("SD-002", 0);
  MessagesCount.QuickPutEntry_int("SD-002", 0);
  MessagesLabel.QuickPutEntry_string("SD-002","V1V1_weight_adaptation not recognized");</v>
      </c>
      <c r="B78" s="26" t="str">
        <f t="shared" si="9"/>
        <v xml:space="preserve">\subsection{SD-002}
\begin{itemize}
  \item Interface Message:\\[1em]\textbf{V1V1\_weight\_adaptation not recognized}
  \item Development Assertion: NO
  \item Implementation Assertion: NO
  \item Runtime Assertion: YES
\end{itemize}
</v>
      </c>
      <c r="C78" s="16" t="s">
        <v>73</v>
      </c>
      <c r="D78" s="16" t="s">
        <v>3</v>
      </c>
      <c r="E78" s="16" t="s">
        <v>3</v>
      </c>
      <c r="F78" s="16" t="s">
        <v>2</v>
      </c>
      <c r="G78" s="17">
        <v>0</v>
      </c>
      <c r="H78" s="18" t="s">
        <v>74</v>
      </c>
      <c r="I78" s="16" t="s">
        <v>138</v>
      </c>
    </row>
    <row r="79" spans="1:9" s="15" customFormat="1" ht="15" customHeight="1" x14ac:dyDescent="0.25">
      <c r="A79" s="26" t="str">
        <f t="shared" si="8"/>
        <v xml:space="preserve">  MessagesDevelopmentAssert.QuickPutEntry_bool("SD-009", false);
  MessagesImplementationAssert.QuickPutEntry_bool("SD-009", false);
  MessagesRuntimeAssert.QuickPutEntry_bool("SD-009", true);
  MessagesDisabling.QuickPutEntry_int("SD-009", 0);
  MessagesCount.QuickPutEntry_int("SD-009", 0);
  MessagesLabel.QuickPutEntry_string("SD-009","V1_dac_method not recognized");</v>
      </c>
      <c r="B79" s="26" t="str">
        <f t="shared" si="9"/>
        <v xml:space="preserve">\subsection{SD-009}
\begin{itemize}
  \item Interface Message:\\[1em]\textbf{V1\_dac\_method not recognized}
  \item Development Assertion: NO
  \item Implementation Assertion: NO
  \item Runtime Assertion: YES
\end{itemize}
</v>
      </c>
      <c r="C79" s="16" t="s">
        <v>85</v>
      </c>
      <c r="D79" s="16" t="s">
        <v>3</v>
      </c>
      <c r="E79" s="16" t="s">
        <v>3</v>
      </c>
      <c r="F79" s="16" t="s">
        <v>2</v>
      </c>
      <c r="G79" s="17">
        <v>0</v>
      </c>
      <c r="H79" s="18" t="s">
        <v>86</v>
      </c>
      <c r="I79" s="16" t="s">
        <v>138</v>
      </c>
    </row>
    <row r="80" spans="1:9" s="15" customFormat="1" ht="15" customHeight="1" x14ac:dyDescent="0.25">
      <c r="A80" s="26" t="str">
        <f t="shared" si="8"/>
        <v xml:space="preserve">  MessagesDevelopmentAssert.QuickPutEntry_bool("SD-034", false);
  MessagesImplementationAssert.QuickPutEntry_bool("SD-034", false);
  MessagesRuntimeAssert.QuickPutEntry_bool("SD-034", true);
  MessagesDisabling.QuickPutEntry_int("SD-034", 0);
  MessagesCount.QuickPutEntry_int("SD-034", 0);
  MessagesLabel.QuickPutEntry_string("SD-034","V1_act_method not recognized");</v>
      </c>
      <c r="B80" s="26" t="str">
        <f t="shared" si="9"/>
        <v xml:space="preserve">\subsection{SD-034}
\begin{itemize}
  \item Interface Message:\\[1em]\textbf{V1\_act\_method not recognized}
  \item Development Assertion: NO
  \item Implementation Assertion: NO
  \item Runtime Assertion: YES
\end{itemize}
</v>
      </c>
      <c r="C80" s="16" t="s">
        <v>122</v>
      </c>
      <c r="D80" s="16" t="s">
        <v>3</v>
      </c>
      <c r="E80" s="16" t="s">
        <v>3</v>
      </c>
      <c r="F80" s="16" t="s">
        <v>2</v>
      </c>
      <c r="G80" s="17">
        <v>0</v>
      </c>
      <c r="H80" s="18" t="s">
        <v>123</v>
      </c>
      <c r="I80" s="16" t="s">
        <v>138</v>
      </c>
    </row>
    <row r="81" spans="1:9" s="15" customFormat="1" ht="15" customHeight="1" x14ac:dyDescent="0.25">
      <c r="A81" s="26" t="str">
        <f t="shared" si="8"/>
        <v xml:space="preserve">  MessagesDevelopmentAssert.QuickPutEntry_bool("SD-035", false);
  MessagesImplementationAssert.QuickPutEntry_bool("SD-035", false);
  MessagesRuntimeAssert.QuickPutEntry_bool("SD-035", true);
  MessagesDisabling.QuickPutEntry_int("SD-035", 0);
  MessagesCount.QuickPutEntry_int("SD-035", 0);
  MessagesLabel.QuickPutEntry_string("SD-035","V1_external_excitation_method not recognized");</v>
      </c>
      <c r="B81" s="26" t="str">
        <f t="shared" si="9"/>
        <v xml:space="preserve">\subsection{SD-035}
\begin{itemize}
  \item Interface Message:\\[1em]\textbf{V1\_external\_excitation\_method not recognized}
  \item Development Assertion: NO
  \item Implementation Assertion: NO
  \item Runtime Assertion: YES
\end{itemize}
</v>
      </c>
      <c r="C81" s="16" t="s">
        <v>124</v>
      </c>
      <c r="D81" s="16" t="s">
        <v>3</v>
      </c>
      <c r="E81" s="16" t="s">
        <v>3</v>
      </c>
      <c r="F81" s="16" t="s">
        <v>2</v>
      </c>
      <c r="G81" s="17">
        <v>0</v>
      </c>
      <c r="H81" s="18" t="s">
        <v>125</v>
      </c>
      <c r="I81" s="16" t="s">
        <v>138</v>
      </c>
    </row>
    <row r="82" spans="1:9" s="15" customFormat="1" ht="15" customHeight="1" x14ac:dyDescent="0.25">
      <c r="A82" s="26" t="str">
        <f t="shared" si="8"/>
        <v xml:space="preserve">  MessagesDevelopmentAssert.QuickPutEntry_bool("SD-003", false);
  MessagesImplementationAssert.QuickPutEntry_bool("SD-003", false);
  MessagesRuntimeAssert.QuickPutEntry_bool("SD-003", true);
  MessagesDisabling.QuickPutEntry_int("SD-003", 0);
  MessagesCount.QuickPutEntry_int("SD-003", 0);
  MessagesLabel.QuickPutEntry_string("SD-003","MT_act_method not recognized");</v>
      </c>
      <c r="B82" s="26" t="str">
        <f t="shared" si="9"/>
        <v xml:space="preserve">\subsection{SD-003}
\begin{itemize}
  \item Interface Message:\\[1em]\textbf{MT\_act\_method not recognized}
  \item Development Assertion: NO
  \item Implementation Assertion: NO
  \item Runtime Assertion: YES
\end{itemize}
</v>
      </c>
      <c r="C82" s="16" t="s">
        <v>75</v>
      </c>
      <c r="D82" s="16" t="s">
        <v>3</v>
      </c>
      <c r="E82" s="16" t="s">
        <v>3</v>
      </c>
      <c r="F82" s="16" t="s">
        <v>2</v>
      </c>
      <c r="G82" s="17">
        <v>0</v>
      </c>
      <c r="H82" s="18" t="s">
        <v>76</v>
      </c>
      <c r="I82" s="16" t="s">
        <v>138</v>
      </c>
    </row>
    <row r="83" spans="1:9" s="15" customFormat="1" ht="15" customHeight="1" x14ac:dyDescent="0.25">
      <c r="A83" s="26" t="str">
        <f t="shared" si="8"/>
        <v xml:space="preserve">  MessagesDevelopmentAssert.QuickPutEntry_bool("SD-007", false);
  MessagesImplementationAssert.QuickPutEntry_bool("SD-007", false);
  MessagesRuntimeAssert.QuickPutEntry_bool("SD-007", true);
  MessagesDisabling.QuickPutEntry_int("SD-007", 0);
  MessagesCount.QuickPutEntry_int("SD-007", 0);
  MessagesLabel.QuickPutEntry_string("SD-007","V1MT_connection_method not recognized");</v>
      </c>
      <c r="B83" s="26" t="str">
        <f t="shared" si="9"/>
        <v xml:space="preserve">\subsection{SD-007}
\begin{itemize}
  \item Interface Message:\\[1em]\textbf{V1MT\_connection\_method not recognized}
  \item Development Assertion: NO
  \item Implementation Assertion: NO
  \item Runtime Assertion: YES
\end{itemize}
</v>
      </c>
      <c r="C83" s="16" t="s">
        <v>83</v>
      </c>
      <c r="D83" s="16" t="s">
        <v>3</v>
      </c>
      <c r="E83" s="16" t="s">
        <v>3</v>
      </c>
      <c r="F83" s="16" t="s">
        <v>2</v>
      </c>
      <c r="G83" s="17">
        <v>0</v>
      </c>
      <c r="H83" s="18" t="s">
        <v>84</v>
      </c>
      <c r="I83" s="16" t="s">
        <v>138</v>
      </c>
    </row>
    <row r="84" spans="1:9" s="15" customFormat="1" ht="15" customHeight="1" x14ac:dyDescent="0.25">
      <c r="A84" s="26" t="str">
        <f t="shared" si="8"/>
        <v xml:space="preserve">  MessagesDevelopmentAssert.QuickPutEntry_bool("SD-017", false);
  MessagesImplementationAssert.QuickPutEntry_bool("SD-017", false);
  MessagesRuntimeAssert.QuickPutEntry_bool("SD-017", true);
  MessagesDisabling.QuickPutEntry_int("SD-017", 0);
  MessagesCount.QuickPutEntry_int("SD-017", 0);
  MessagesLabel.QuickPutEntry_string("SD-017","MT_act_method not recognized");</v>
      </c>
      <c r="B84" s="26" t="str">
        <f t="shared" si="9"/>
        <v xml:space="preserve">\subsection{SD-017}
\begin{itemize}
  \item Interface Message:\\[1em]\textbf{MT\_act\_method not recognized}
  \item Development Assertion: NO
  \item Implementation Assertion: NO
  \item Runtime Assertion: YES
\end{itemize}
</v>
      </c>
      <c r="C84" s="16" t="s">
        <v>99</v>
      </c>
      <c r="D84" s="16" t="s">
        <v>3</v>
      </c>
      <c r="E84" s="16" t="s">
        <v>3</v>
      </c>
      <c r="F84" s="16" t="s">
        <v>2</v>
      </c>
      <c r="G84" s="17">
        <v>0</v>
      </c>
      <c r="H84" s="18" t="s">
        <v>76</v>
      </c>
      <c r="I84" s="16" t="s">
        <v>138</v>
      </c>
    </row>
    <row r="85" spans="1:9" s="15" customFormat="1" ht="15" customHeight="1" x14ac:dyDescent="0.25">
      <c r="A85" s="26" t="str">
        <f t="shared" si="8"/>
        <v xml:space="preserve">  MessagesDevelopmentAssert.QuickPutEntry_bool("SD-018", false);
  MessagesImplementationAssert.QuickPutEntry_bool("SD-018", false);
  MessagesRuntimeAssert.QuickPutEntry_bool("SD-018", true);
  MessagesDisabling.QuickPutEntry_int("SD-018", 0);
  MessagesCount.QuickPutEntry_int("SD-018", 0);
  MessagesLabel.QuickPutEntry_string("SD-018","MT_dac_method not recognized");</v>
      </c>
      <c r="B85" s="26" t="str">
        <f t="shared" si="9"/>
        <v xml:space="preserve">\subsection{SD-018}
\begin{itemize}
  \item Interface Message:\\[1em]\textbf{MT\_dac\_method not recognized}
  \item Development Assertion: NO
  \item Implementation Assertion: NO
  \item Runtime Assertion: YES
\end{itemize}
</v>
      </c>
      <c r="C85" s="16" t="s">
        <v>100</v>
      </c>
      <c r="D85" s="16" t="s">
        <v>3</v>
      </c>
      <c r="E85" s="16" t="s">
        <v>3</v>
      </c>
      <c r="F85" s="16" t="s">
        <v>2</v>
      </c>
      <c r="G85" s="17">
        <v>0</v>
      </c>
      <c r="H85" s="18" t="s">
        <v>101</v>
      </c>
      <c r="I85" s="16" t="s">
        <v>138</v>
      </c>
    </row>
    <row r="86" spans="1:9" ht="15" customHeight="1" x14ac:dyDescent="0.25">
      <c r="A86" s="25" t="str">
        <f t="shared" si="8"/>
        <v/>
      </c>
      <c r="B86" s="25" t="str">
        <f t="shared" si="9"/>
        <v/>
      </c>
    </row>
    <row r="87" spans="1:9" ht="15" customHeight="1" x14ac:dyDescent="0.25">
      <c r="A87" s="25" t="str">
        <f t="shared" si="8"/>
        <v/>
      </c>
      <c r="B87" s="25" t="str">
        <f t="shared" si="9"/>
        <v/>
      </c>
    </row>
    <row r="88" spans="1:9" ht="15" customHeight="1" x14ac:dyDescent="0.25">
      <c r="A88" s="25" t="str">
        <f t="shared" si="8"/>
        <v/>
      </c>
      <c r="B88" s="25" t="str">
        <f t="shared" si="9"/>
        <v/>
      </c>
    </row>
    <row r="89" spans="1:9" ht="15" customHeight="1" x14ac:dyDescent="0.25">
      <c r="A89" s="25" t="str">
        <f t="shared" si="8"/>
        <v/>
      </c>
      <c r="B89" s="25" t="str">
        <f t="shared" si="9"/>
        <v/>
      </c>
    </row>
    <row r="90" spans="1:9" ht="15" customHeight="1" x14ac:dyDescent="0.25">
      <c r="A90" s="25" t="str">
        <f t="shared" si="8"/>
        <v/>
      </c>
      <c r="B90" s="25" t="str">
        <f t="shared" si="9"/>
        <v/>
      </c>
    </row>
    <row r="91" spans="1:9" ht="15" customHeight="1" x14ac:dyDescent="0.25">
      <c r="A91" s="25" t="str">
        <f t="shared" si="8"/>
        <v/>
      </c>
      <c r="B91" s="25" t="str">
        <f t="shared" si="9"/>
        <v/>
      </c>
    </row>
    <row r="92" spans="1:9" ht="15" customHeight="1" x14ac:dyDescent="0.25">
      <c r="A92" s="25" t="str">
        <f t="shared" si="8"/>
        <v/>
      </c>
      <c r="B92" s="25" t="str">
        <f t="shared" si="9"/>
        <v/>
      </c>
    </row>
    <row r="93" spans="1:9" ht="15" customHeight="1" x14ac:dyDescent="0.25">
      <c r="A93" s="25" t="str">
        <f t="shared" si="8"/>
        <v/>
      </c>
      <c r="B93" s="25" t="str">
        <f t="shared" si="9"/>
        <v/>
      </c>
    </row>
    <row r="94" spans="1:9" ht="15" customHeight="1" x14ac:dyDescent="0.25">
      <c r="A94" s="25" t="str">
        <f t="shared" si="8"/>
        <v/>
      </c>
      <c r="B94" s="25" t="str">
        <f t="shared" si="9"/>
        <v/>
      </c>
    </row>
    <row r="95" spans="1:9" ht="15" customHeight="1" x14ac:dyDescent="0.25">
      <c r="A95" s="25" t="str">
        <f t="shared" si="8"/>
        <v/>
      </c>
      <c r="B95" s="25" t="str">
        <f t="shared" si="9"/>
        <v/>
      </c>
    </row>
    <row r="96" spans="1:9" ht="15" customHeight="1" x14ac:dyDescent="0.25">
      <c r="A96" s="25" t="str">
        <f t="shared" si="8"/>
        <v/>
      </c>
      <c r="B96" s="25" t="str">
        <f t="shared" si="9"/>
        <v/>
      </c>
    </row>
    <row r="97" spans="1:2" ht="15" customHeight="1" x14ac:dyDescent="0.25">
      <c r="A97" s="25" t="str">
        <f t="shared" si="8"/>
        <v/>
      </c>
      <c r="B97" s="25" t="str">
        <f t="shared" si="9"/>
        <v/>
      </c>
    </row>
    <row r="98" spans="1:2" ht="15" customHeight="1" x14ac:dyDescent="0.25">
      <c r="A98" s="25" t="str">
        <f t="shared" si="8"/>
        <v/>
      </c>
      <c r="B98" s="25" t="str">
        <f t="shared" si="9"/>
        <v/>
      </c>
    </row>
    <row r="99" spans="1:2" ht="15" customHeight="1" x14ac:dyDescent="0.25">
      <c r="A99" s="25" t="str">
        <f t="shared" si="8"/>
        <v/>
      </c>
      <c r="B99" s="25" t="str">
        <f t="shared" si="9"/>
        <v/>
      </c>
    </row>
    <row r="100" spans="1:2" ht="15" customHeight="1" x14ac:dyDescent="0.25">
      <c r="A100" s="25" t="str">
        <f t="shared" si="8"/>
        <v/>
      </c>
      <c r="B100" s="25" t="str">
        <f t="shared" si="9"/>
        <v/>
      </c>
    </row>
    <row r="101" spans="1:2" ht="15" customHeight="1" x14ac:dyDescent="0.25">
      <c r="A101" s="25" t="str">
        <f t="shared" si="8"/>
        <v/>
      </c>
      <c r="B101" s="25" t="str">
        <f t="shared" si="9"/>
        <v/>
      </c>
    </row>
    <row r="102" spans="1:2" ht="15" customHeight="1" x14ac:dyDescent="0.25">
      <c r="A102" s="25" t="str">
        <f t="shared" si="8"/>
        <v/>
      </c>
      <c r="B102" s="25" t="str">
        <f t="shared" si="9"/>
        <v/>
      </c>
    </row>
    <row r="103" spans="1:2" ht="15" customHeight="1" x14ac:dyDescent="0.25">
      <c r="A103" s="25" t="str">
        <f t="shared" si="8"/>
        <v/>
      </c>
      <c r="B103" s="25" t="str">
        <f t="shared" si="9"/>
        <v/>
      </c>
    </row>
    <row r="104" spans="1:2" ht="15" customHeight="1" x14ac:dyDescent="0.25">
      <c r="A104" s="25" t="str">
        <f t="shared" si="8"/>
        <v/>
      </c>
      <c r="B104" s="25" t="str">
        <f t="shared" si="9"/>
        <v/>
      </c>
    </row>
    <row r="105" spans="1:2" ht="15" customHeight="1" x14ac:dyDescent="0.25">
      <c r="A105" s="25" t="str">
        <f t="shared" si="8"/>
        <v/>
      </c>
      <c r="B105" s="25" t="str">
        <f t="shared" si="9"/>
        <v/>
      </c>
    </row>
    <row r="106" spans="1:2" ht="15" customHeight="1" x14ac:dyDescent="0.25">
      <c r="A106" s="25" t="str">
        <f t="shared" si="8"/>
        <v/>
      </c>
      <c r="B106" s="25" t="str">
        <f t="shared" si="9"/>
        <v/>
      </c>
    </row>
    <row r="107" spans="1:2" ht="15" customHeight="1" x14ac:dyDescent="0.25">
      <c r="A107" s="25" t="str">
        <f t="shared" si="8"/>
        <v/>
      </c>
      <c r="B107" s="25" t="str">
        <f t="shared" si="9"/>
        <v/>
      </c>
    </row>
    <row r="108" spans="1:2" ht="15" customHeight="1" x14ac:dyDescent="0.25">
      <c r="A108" s="25" t="str">
        <f t="shared" si="8"/>
        <v/>
      </c>
      <c r="B108" s="25" t="str">
        <f t="shared" si="9"/>
        <v/>
      </c>
    </row>
    <row r="109" spans="1:2" ht="15" customHeight="1" x14ac:dyDescent="0.25">
      <c r="A109" s="25" t="str">
        <f t="shared" si="8"/>
        <v/>
      </c>
      <c r="B109" s="25" t="str">
        <f t="shared" si="9"/>
        <v/>
      </c>
    </row>
    <row r="110" spans="1:2" ht="15" customHeight="1" x14ac:dyDescent="0.25">
      <c r="A110" s="25" t="str">
        <f t="shared" si="8"/>
        <v/>
      </c>
      <c r="B110" s="25" t="str">
        <f t="shared" si="9"/>
        <v/>
      </c>
    </row>
    <row r="111" spans="1:2" ht="15" customHeight="1" x14ac:dyDescent="0.25">
      <c r="A111" s="25" t="str">
        <f t="shared" si="8"/>
        <v/>
      </c>
      <c r="B111" s="25" t="str">
        <f t="shared" si="9"/>
        <v/>
      </c>
    </row>
    <row r="112" spans="1:2" ht="15" customHeight="1" x14ac:dyDescent="0.25">
      <c r="A112" s="25" t="str">
        <f t="shared" si="8"/>
        <v/>
      </c>
      <c r="B112" s="25" t="str">
        <f t="shared" si="9"/>
        <v/>
      </c>
    </row>
    <row r="113" spans="1:2" ht="15" customHeight="1" x14ac:dyDescent="0.25">
      <c r="A113" s="25" t="str">
        <f t="shared" si="8"/>
        <v/>
      </c>
      <c r="B113" s="25" t="str">
        <f t="shared" si="9"/>
        <v/>
      </c>
    </row>
    <row r="114" spans="1:2" ht="15" customHeight="1" x14ac:dyDescent="0.25">
      <c r="A114" s="25" t="str">
        <f t="shared" si="8"/>
        <v/>
      </c>
      <c r="B114" s="25" t="str">
        <f t="shared" si="9"/>
        <v/>
      </c>
    </row>
    <row r="115" spans="1:2" ht="15" customHeight="1" x14ac:dyDescent="0.25">
      <c r="A115" s="25" t="str">
        <f t="shared" si="8"/>
        <v/>
      </c>
      <c r="B115" s="25" t="str">
        <f t="shared" si="9"/>
        <v/>
      </c>
    </row>
    <row r="116" spans="1:2" ht="15" customHeight="1" x14ac:dyDescent="0.25">
      <c r="A116" s="25" t="str">
        <f t="shared" si="8"/>
        <v/>
      </c>
      <c r="B116" s="25" t="str">
        <f t="shared" si="9"/>
        <v/>
      </c>
    </row>
    <row r="117" spans="1:2" ht="15" customHeight="1" x14ac:dyDescent="0.25">
      <c r="A117" s="25" t="str">
        <f t="shared" si="8"/>
        <v/>
      </c>
      <c r="B117" s="25" t="str">
        <f t="shared" si="9"/>
        <v/>
      </c>
    </row>
    <row r="118" spans="1:2" ht="15" customHeight="1" x14ac:dyDescent="0.25">
      <c r="A118" s="25" t="str">
        <f t="shared" si="8"/>
        <v/>
      </c>
      <c r="B118" s="25" t="str">
        <f t="shared" si="9"/>
        <v/>
      </c>
    </row>
    <row r="119" spans="1:2" ht="15" customHeight="1" x14ac:dyDescent="0.25">
      <c r="A119" s="25" t="str">
        <f t="shared" si="8"/>
        <v/>
      </c>
      <c r="B119" s="25" t="str">
        <f t="shared" si="9"/>
        <v/>
      </c>
    </row>
    <row r="120" spans="1:2" ht="15" customHeight="1" x14ac:dyDescent="0.25">
      <c r="A120" s="25" t="str">
        <f t="shared" si="8"/>
        <v/>
      </c>
      <c r="B120" s="25" t="str">
        <f t="shared" si="9"/>
        <v/>
      </c>
    </row>
    <row r="121" spans="1:2" ht="15" customHeight="1" x14ac:dyDescent="0.25">
      <c r="A121" s="25" t="str">
        <f t="shared" si="8"/>
        <v/>
      </c>
      <c r="B121" s="25" t="str">
        <f t="shared" si="9"/>
        <v/>
      </c>
    </row>
    <row r="122" spans="1:2" ht="15" customHeight="1" x14ac:dyDescent="0.25">
      <c r="A122" s="25" t="str">
        <f t="shared" si="8"/>
        <v/>
      </c>
      <c r="B122" s="25" t="str">
        <f t="shared" si="9"/>
        <v/>
      </c>
    </row>
    <row r="123" spans="1:2" ht="15" customHeight="1" x14ac:dyDescent="0.25">
      <c r="A123" s="25" t="str">
        <f t="shared" si="8"/>
        <v/>
      </c>
      <c r="B123" s="25" t="str">
        <f t="shared" si="9"/>
        <v/>
      </c>
    </row>
    <row r="124" spans="1:2" ht="15" customHeight="1" x14ac:dyDescent="0.25">
      <c r="A124" s="25" t="str">
        <f t="shared" si="8"/>
        <v/>
      </c>
      <c r="B124" s="25" t="str">
        <f t="shared" si="9"/>
        <v/>
      </c>
    </row>
    <row r="125" spans="1:2" ht="15" customHeight="1" x14ac:dyDescent="0.25">
      <c r="A125" s="25" t="str">
        <f t="shared" si="8"/>
        <v/>
      </c>
      <c r="B125" s="25" t="str">
        <f t="shared" si="9"/>
        <v/>
      </c>
    </row>
    <row r="126" spans="1:2" ht="15" customHeight="1" x14ac:dyDescent="0.25">
      <c r="A126" s="25" t="str">
        <f t="shared" si="8"/>
        <v/>
      </c>
      <c r="B126" s="25" t="str">
        <f t="shared" si="9"/>
        <v/>
      </c>
    </row>
    <row r="127" spans="1:2" ht="15" customHeight="1" x14ac:dyDescent="0.25">
      <c r="A127" s="25" t="str">
        <f t="shared" si="8"/>
        <v/>
      </c>
      <c r="B127" s="25" t="str">
        <f t="shared" si="9"/>
        <v/>
      </c>
    </row>
    <row r="128" spans="1:2" ht="15" customHeight="1" x14ac:dyDescent="0.25">
      <c r="A128" s="25" t="str">
        <f t="shared" si="8"/>
        <v/>
      </c>
      <c r="B128" s="25" t="str">
        <f t="shared" si="9"/>
        <v/>
      </c>
    </row>
    <row r="129" spans="1:2" ht="15" customHeight="1" x14ac:dyDescent="0.25">
      <c r="A129" s="25" t="str">
        <f t="shared" si="8"/>
        <v/>
      </c>
      <c r="B129" s="25" t="str">
        <f t="shared" si="9"/>
        <v/>
      </c>
    </row>
    <row r="130" spans="1:2" ht="15" customHeight="1" x14ac:dyDescent="0.25">
      <c r="A130" s="25" t="str">
        <f t="shared" si="8"/>
        <v/>
      </c>
      <c r="B130" s="25" t="str">
        <f t="shared" si="9"/>
        <v/>
      </c>
    </row>
    <row r="131" spans="1:2" ht="15" customHeight="1" x14ac:dyDescent="0.25">
      <c r="A131" s="25" t="str">
        <f t="shared" si="8"/>
        <v/>
      </c>
      <c r="B131" s="25" t="str">
        <f t="shared" si="9"/>
        <v/>
      </c>
    </row>
    <row r="132" spans="1:2" ht="15" customHeight="1" x14ac:dyDescent="0.25">
      <c r="A132" s="25" t="str">
        <f t="shared" si="8"/>
        <v/>
      </c>
      <c r="B132" s="25" t="str">
        <f t="shared" si="9"/>
        <v/>
      </c>
    </row>
    <row r="133" spans="1:2" ht="15" customHeight="1" x14ac:dyDescent="0.25">
      <c r="A133" s="25" t="str">
        <f t="shared" si="8"/>
        <v/>
      </c>
      <c r="B133" s="25" t="str">
        <f t="shared" si="9"/>
        <v/>
      </c>
    </row>
    <row r="134" spans="1:2" ht="15" customHeight="1" x14ac:dyDescent="0.25">
      <c r="A134" s="25" t="str">
        <f t="shared" si="8"/>
        <v/>
      </c>
      <c r="B134" s="25" t="str">
        <f t="shared" si="9"/>
        <v/>
      </c>
    </row>
    <row r="135" spans="1:2" ht="15" customHeight="1" x14ac:dyDescent="0.25">
      <c r="A135" s="25" t="str">
        <f t="shared" si="8"/>
        <v/>
      </c>
      <c r="B135" s="25" t="str">
        <f t="shared" si="9"/>
        <v/>
      </c>
    </row>
    <row r="136" spans="1:2" ht="15" customHeight="1" x14ac:dyDescent="0.25">
      <c r="A136" s="25" t="str">
        <f t="shared" ref="A136:A199" si="10">IF(C136&lt;&gt;"",IF(C136="#","  // "&amp;H136,
"  MessagesDevelopmentAssert.QuickPutEntry_bool("""&amp;C136&amp;""", "&amp;IF(D136="F","false",IF(D136="T","true","ERROR"))&amp;");"&amp;CHAR(10)&amp;
"  MessagesImplementationAssert.QuickPutEntry_bool("""&amp;C136&amp;""", "&amp;IF(E136="F","false",IF(E136="T","true","ERROR"))&amp;");"&amp;CHAR(10)&amp;
"  MessagesRuntimeAssert.QuickPutEntry_bool("""&amp;C136&amp;""", "&amp;IF(F136="F","false",IF(F136="T","true","ERROR"))&amp;");"&amp;CHAR(10)&amp;
"  MessagesDisabling.QuickPutEntry_int("""&amp;C136&amp;""", "&amp;G136&amp;");"&amp; CHAR(10) &amp;
"  MessagesCount.QuickPutEntry_int("""&amp;C136&amp;""", 0);"&amp;CHAR(10)&amp;
"  MessagesLabel.QuickPutEntry_string("""&amp;C136&amp;""","""&amp;H136&amp;""");"&amp;
IF(J136&lt;&gt;"",CHAR(10) &amp; "  MessagesText.QuickPutEntry_string("""&amp;C136&amp;""", """&amp;SUBSTITUTE(J136,"""","\""")&amp;""");","")
),"")</f>
        <v/>
      </c>
      <c r="B136" s="25" t="str">
        <f t="shared" ref="B136:B199" si="11">IF(C136&lt;&gt;"",IF(C136="#","\section{"&amp;H136&amp;"}" &amp; CHAR(10),
"\subsection{" &amp; C136 &amp; "}" &amp; CHAR(10) &amp; "\begin{itemize}" &amp; CHAR(10) &amp;
"  \item Interface Message:\\[1em]\textbf{" &amp; SUBSTITUTE(H136,"_","\_") &amp; "}" &amp; CHAR(10) &amp;
"  \item Development Assertion: " &amp; IF(D136="F","NO",IF(D136="T","YES","ERROR")) &amp; CHAR(10) &amp;
"  \item Implementation Assertion: " &amp; IF(E136="F","NO",IF(E136="T","YES","ERROR")) &amp; CHAR(10) &amp;
"  \item Runtime Assertion: " &amp; IF(F136="F","NO",IF(F136="T","YES","ERROR")) &amp; CHAR(10) &amp;
IF(J136&lt;&gt;"","  \item Message Description:\\[1em]"&amp; SUBSTITUTE(J136,"_","\_")  &amp;CHAR(10),"") &amp;
"\end{itemize}"&amp;CHAR(10)),"")</f>
        <v/>
      </c>
    </row>
    <row r="137" spans="1:2" ht="15" customHeight="1" x14ac:dyDescent="0.25">
      <c r="A137" s="25" t="str">
        <f t="shared" si="10"/>
        <v/>
      </c>
      <c r="B137" s="25" t="str">
        <f t="shared" si="11"/>
        <v/>
      </c>
    </row>
    <row r="138" spans="1:2" ht="15" customHeight="1" x14ac:dyDescent="0.25">
      <c r="A138" s="25" t="str">
        <f t="shared" si="10"/>
        <v/>
      </c>
      <c r="B138" s="25" t="str">
        <f t="shared" si="11"/>
        <v/>
      </c>
    </row>
    <row r="139" spans="1:2" ht="15" customHeight="1" x14ac:dyDescent="0.25">
      <c r="A139" s="25" t="str">
        <f t="shared" si="10"/>
        <v/>
      </c>
      <c r="B139" s="25" t="str">
        <f t="shared" si="11"/>
        <v/>
      </c>
    </row>
    <row r="140" spans="1:2" ht="15" customHeight="1" x14ac:dyDescent="0.25">
      <c r="A140" s="25" t="str">
        <f t="shared" si="10"/>
        <v/>
      </c>
      <c r="B140" s="25" t="str">
        <f t="shared" si="11"/>
        <v/>
      </c>
    </row>
    <row r="141" spans="1:2" ht="15" customHeight="1" x14ac:dyDescent="0.25">
      <c r="A141" s="25" t="str">
        <f t="shared" si="10"/>
        <v/>
      </c>
      <c r="B141" s="25" t="str">
        <f t="shared" si="11"/>
        <v/>
      </c>
    </row>
    <row r="142" spans="1:2" ht="15" customHeight="1" x14ac:dyDescent="0.25">
      <c r="A142" s="25" t="str">
        <f t="shared" si="10"/>
        <v/>
      </c>
      <c r="B142" s="25" t="str">
        <f t="shared" si="11"/>
        <v/>
      </c>
    </row>
    <row r="143" spans="1:2" ht="15" customHeight="1" x14ac:dyDescent="0.25">
      <c r="A143" s="25" t="str">
        <f t="shared" si="10"/>
        <v/>
      </c>
      <c r="B143" s="25" t="str">
        <f t="shared" si="11"/>
        <v/>
      </c>
    </row>
    <row r="144" spans="1:2" ht="15" customHeight="1" x14ac:dyDescent="0.25">
      <c r="A144" s="25" t="str">
        <f t="shared" si="10"/>
        <v/>
      </c>
      <c r="B144" s="25" t="str">
        <f t="shared" si="11"/>
        <v/>
      </c>
    </row>
    <row r="145" spans="1:2" ht="15" customHeight="1" x14ac:dyDescent="0.25">
      <c r="A145" s="25" t="str">
        <f t="shared" si="10"/>
        <v/>
      </c>
      <c r="B145" s="25" t="str">
        <f t="shared" si="11"/>
        <v/>
      </c>
    </row>
    <row r="146" spans="1:2" ht="15" customHeight="1" x14ac:dyDescent="0.25">
      <c r="A146" s="25" t="str">
        <f t="shared" si="10"/>
        <v/>
      </c>
      <c r="B146" s="25" t="str">
        <f t="shared" si="11"/>
        <v/>
      </c>
    </row>
    <row r="147" spans="1:2" ht="15" customHeight="1" x14ac:dyDescent="0.25">
      <c r="A147" s="25" t="str">
        <f t="shared" si="10"/>
        <v/>
      </c>
      <c r="B147" s="25" t="str">
        <f t="shared" si="11"/>
        <v/>
      </c>
    </row>
    <row r="148" spans="1:2" ht="15" customHeight="1" x14ac:dyDescent="0.25">
      <c r="A148" s="25" t="str">
        <f t="shared" si="10"/>
        <v/>
      </c>
      <c r="B148" s="25" t="str">
        <f t="shared" si="11"/>
        <v/>
      </c>
    </row>
    <row r="149" spans="1:2" ht="15" customHeight="1" x14ac:dyDescent="0.25">
      <c r="A149" s="25" t="str">
        <f t="shared" si="10"/>
        <v/>
      </c>
      <c r="B149" s="25" t="str">
        <f t="shared" si="11"/>
        <v/>
      </c>
    </row>
    <row r="150" spans="1:2" ht="15" customHeight="1" x14ac:dyDescent="0.25">
      <c r="A150" s="25" t="str">
        <f t="shared" si="10"/>
        <v/>
      </c>
      <c r="B150" s="25" t="str">
        <f t="shared" si="11"/>
        <v/>
      </c>
    </row>
    <row r="151" spans="1:2" ht="15" customHeight="1" x14ac:dyDescent="0.25">
      <c r="A151" s="25" t="str">
        <f t="shared" si="10"/>
        <v/>
      </c>
      <c r="B151" s="25" t="str">
        <f t="shared" si="11"/>
        <v/>
      </c>
    </row>
    <row r="152" spans="1:2" ht="15" customHeight="1" x14ac:dyDescent="0.25">
      <c r="A152" s="25" t="str">
        <f t="shared" si="10"/>
        <v/>
      </c>
      <c r="B152" s="25" t="str">
        <f t="shared" si="11"/>
        <v/>
      </c>
    </row>
    <row r="153" spans="1:2" ht="15" customHeight="1" x14ac:dyDescent="0.25">
      <c r="A153" s="25" t="str">
        <f t="shared" si="10"/>
        <v/>
      </c>
      <c r="B153" s="25" t="str">
        <f t="shared" si="11"/>
        <v/>
      </c>
    </row>
    <row r="154" spans="1:2" ht="15" customHeight="1" x14ac:dyDescent="0.25">
      <c r="A154" s="25" t="str">
        <f t="shared" si="10"/>
        <v/>
      </c>
      <c r="B154" s="25" t="str">
        <f t="shared" si="11"/>
        <v/>
      </c>
    </row>
    <row r="155" spans="1:2" ht="15" customHeight="1" x14ac:dyDescent="0.25">
      <c r="A155" s="25" t="str">
        <f t="shared" si="10"/>
        <v/>
      </c>
      <c r="B155" s="25" t="str">
        <f t="shared" si="11"/>
        <v/>
      </c>
    </row>
    <row r="156" spans="1:2" ht="15" customHeight="1" x14ac:dyDescent="0.25">
      <c r="A156" s="25" t="str">
        <f t="shared" si="10"/>
        <v/>
      </c>
      <c r="B156" s="25" t="str">
        <f t="shared" si="11"/>
        <v/>
      </c>
    </row>
    <row r="157" spans="1:2" ht="15" customHeight="1" x14ac:dyDescent="0.25">
      <c r="A157" s="25" t="str">
        <f t="shared" si="10"/>
        <v/>
      </c>
      <c r="B157" s="25" t="str">
        <f t="shared" si="11"/>
        <v/>
      </c>
    </row>
    <row r="158" spans="1:2" ht="15" customHeight="1" x14ac:dyDescent="0.25">
      <c r="A158" s="25" t="str">
        <f t="shared" si="10"/>
        <v/>
      </c>
      <c r="B158" s="25" t="str">
        <f t="shared" si="11"/>
        <v/>
      </c>
    </row>
    <row r="159" spans="1:2" ht="15" customHeight="1" x14ac:dyDescent="0.25">
      <c r="A159" s="25" t="str">
        <f t="shared" si="10"/>
        <v/>
      </c>
      <c r="B159" s="25" t="str">
        <f t="shared" si="11"/>
        <v/>
      </c>
    </row>
    <row r="160" spans="1:2" ht="15" customHeight="1" x14ac:dyDescent="0.25">
      <c r="A160" s="25" t="str">
        <f t="shared" si="10"/>
        <v/>
      </c>
      <c r="B160" s="25" t="str">
        <f t="shared" si="11"/>
        <v/>
      </c>
    </row>
    <row r="161" spans="1:2" ht="15" customHeight="1" x14ac:dyDescent="0.25">
      <c r="A161" s="25" t="str">
        <f t="shared" si="10"/>
        <v/>
      </c>
      <c r="B161" s="25" t="str">
        <f t="shared" si="11"/>
        <v/>
      </c>
    </row>
    <row r="162" spans="1:2" ht="15" customHeight="1" x14ac:dyDescent="0.25">
      <c r="A162" s="25" t="str">
        <f t="shared" si="10"/>
        <v/>
      </c>
      <c r="B162" s="25" t="str">
        <f t="shared" si="11"/>
        <v/>
      </c>
    </row>
    <row r="163" spans="1:2" ht="15" customHeight="1" x14ac:dyDescent="0.25">
      <c r="A163" s="25" t="str">
        <f t="shared" si="10"/>
        <v/>
      </c>
      <c r="B163" s="25" t="str">
        <f t="shared" si="11"/>
        <v/>
      </c>
    </row>
    <row r="164" spans="1:2" ht="15" customHeight="1" x14ac:dyDescent="0.25">
      <c r="A164" s="25" t="str">
        <f t="shared" si="10"/>
        <v/>
      </c>
      <c r="B164" s="25" t="str">
        <f t="shared" si="11"/>
        <v/>
      </c>
    </row>
    <row r="165" spans="1:2" ht="15" customHeight="1" x14ac:dyDescent="0.25">
      <c r="A165" s="25" t="str">
        <f t="shared" si="10"/>
        <v/>
      </c>
      <c r="B165" s="25" t="str">
        <f t="shared" si="11"/>
        <v/>
      </c>
    </row>
    <row r="166" spans="1:2" ht="15" customHeight="1" x14ac:dyDescent="0.25">
      <c r="A166" s="25" t="str">
        <f t="shared" si="10"/>
        <v/>
      </c>
      <c r="B166" s="25" t="str">
        <f t="shared" si="11"/>
        <v/>
      </c>
    </row>
    <row r="167" spans="1:2" ht="15" customHeight="1" x14ac:dyDescent="0.25">
      <c r="A167" s="25" t="str">
        <f t="shared" si="10"/>
        <v/>
      </c>
      <c r="B167" s="25" t="str">
        <f t="shared" si="11"/>
        <v/>
      </c>
    </row>
    <row r="168" spans="1:2" ht="15" customHeight="1" x14ac:dyDescent="0.25">
      <c r="A168" s="25" t="str">
        <f t="shared" si="10"/>
        <v/>
      </c>
      <c r="B168" s="25" t="str">
        <f t="shared" si="11"/>
        <v/>
      </c>
    </row>
    <row r="169" spans="1:2" ht="15" customHeight="1" x14ac:dyDescent="0.25">
      <c r="A169" s="25" t="str">
        <f t="shared" si="10"/>
        <v/>
      </c>
      <c r="B169" s="25" t="str">
        <f t="shared" si="11"/>
        <v/>
      </c>
    </row>
    <row r="170" spans="1:2" ht="15" customHeight="1" x14ac:dyDescent="0.25">
      <c r="A170" s="25" t="str">
        <f t="shared" si="10"/>
        <v/>
      </c>
      <c r="B170" s="25" t="str">
        <f t="shared" si="11"/>
        <v/>
      </c>
    </row>
    <row r="171" spans="1:2" ht="15" customHeight="1" x14ac:dyDescent="0.25">
      <c r="A171" s="25" t="str">
        <f t="shared" si="10"/>
        <v/>
      </c>
      <c r="B171" s="25" t="str">
        <f t="shared" si="11"/>
        <v/>
      </c>
    </row>
    <row r="172" spans="1:2" ht="15" customHeight="1" x14ac:dyDescent="0.25">
      <c r="A172" s="25" t="str">
        <f t="shared" si="10"/>
        <v/>
      </c>
      <c r="B172" s="25" t="str">
        <f t="shared" si="11"/>
        <v/>
      </c>
    </row>
    <row r="173" spans="1:2" ht="15" customHeight="1" x14ac:dyDescent="0.25">
      <c r="A173" s="25" t="str">
        <f t="shared" si="10"/>
        <v/>
      </c>
      <c r="B173" s="25" t="str">
        <f t="shared" si="11"/>
        <v/>
      </c>
    </row>
    <row r="174" spans="1:2" ht="15" customHeight="1" x14ac:dyDescent="0.25">
      <c r="A174" s="25" t="str">
        <f t="shared" si="10"/>
        <v/>
      </c>
      <c r="B174" s="25" t="str">
        <f t="shared" si="11"/>
        <v/>
      </c>
    </row>
    <row r="175" spans="1:2" ht="15" customHeight="1" x14ac:dyDescent="0.25">
      <c r="A175" s="25" t="str">
        <f t="shared" si="10"/>
        <v/>
      </c>
      <c r="B175" s="25" t="str">
        <f t="shared" si="11"/>
        <v/>
      </c>
    </row>
    <row r="176" spans="1:2" ht="15" customHeight="1" x14ac:dyDescent="0.25">
      <c r="A176" s="25" t="str">
        <f t="shared" si="10"/>
        <v/>
      </c>
      <c r="B176" s="25" t="str">
        <f t="shared" si="11"/>
        <v/>
      </c>
    </row>
    <row r="177" spans="1:2" ht="15" customHeight="1" x14ac:dyDescent="0.25">
      <c r="A177" s="25" t="str">
        <f t="shared" si="10"/>
        <v/>
      </c>
      <c r="B177" s="25" t="str">
        <f t="shared" si="11"/>
        <v/>
      </c>
    </row>
    <row r="178" spans="1:2" ht="15" customHeight="1" x14ac:dyDescent="0.25">
      <c r="A178" s="25" t="str">
        <f t="shared" si="10"/>
        <v/>
      </c>
      <c r="B178" s="25" t="str">
        <f t="shared" si="11"/>
        <v/>
      </c>
    </row>
    <row r="179" spans="1:2" ht="15" customHeight="1" x14ac:dyDescent="0.25">
      <c r="A179" s="25" t="str">
        <f t="shared" si="10"/>
        <v/>
      </c>
      <c r="B179" s="25" t="str">
        <f t="shared" si="11"/>
        <v/>
      </c>
    </row>
    <row r="180" spans="1:2" ht="15" customHeight="1" x14ac:dyDescent="0.25">
      <c r="A180" s="25" t="str">
        <f t="shared" si="10"/>
        <v/>
      </c>
      <c r="B180" s="25" t="str">
        <f t="shared" si="11"/>
        <v/>
      </c>
    </row>
    <row r="181" spans="1:2" ht="15" customHeight="1" x14ac:dyDescent="0.25">
      <c r="A181" s="25" t="str">
        <f t="shared" si="10"/>
        <v/>
      </c>
      <c r="B181" s="25" t="str">
        <f t="shared" si="11"/>
        <v/>
      </c>
    </row>
    <row r="182" spans="1:2" ht="15" customHeight="1" x14ac:dyDescent="0.25">
      <c r="A182" s="25" t="str">
        <f t="shared" si="10"/>
        <v/>
      </c>
      <c r="B182" s="25" t="str">
        <f t="shared" si="11"/>
        <v/>
      </c>
    </row>
    <row r="183" spans="1:2" ht="15" customHeight="1" x14ac:dyDescent="0.25">
      <c r="A183" s="25" t="str">
        <f t="shared" si="10"/>
        <v/>
      </c>
      <c r="B183" s="25" t="str">
        <f t="shared" si="11"/>
        <v/>
      </c>
    </row>
    <row r="184" spans="1:2" ht="15" customHeight="1" x14ac:dyDescent="0.25">
      <c r="A184" s="25" t="str">
        <f t="shared" si="10"/>
        <v/>
      </c>
      <c r="B184" s="25" t="str">
        <f t="shared" si="11"/>
        <v/>
      </c>
    </row>
    <row r="185" spans="1:2" ht="15" customHeight="1" x14ac:dyDescent="0.25">
      <c r="A185" s="25" t="str">
        <f t="shared" si="10"/>
        <v/>
      </c>
      <c r="B185" s="25" t="str">
        <f t="shared" si="11"/>
        <v/>
      </c>
    </row>
    <row r="186" spans="1:2" ht="15" customHeight="1" x14ac:dyDescent="0.25">
      <c r="A186" s="25" t="str">
        <f t="shared" si="10"/>
        <v/>
      </c>
      <c r="B186" s="25" t="str">
        <f t="shared" si="11"/>
        <v/>
      </c>
    </row>
    <row r="187" spans="1:2" ht="15" customHeight="1" x14ac:dyDescent="0.25">
      <c r="A187" s="25" t="str">
        <f t="shared" si="10"/>
        <v/>
      </c>
      <c r="B187" s="25" t="str">
        <f t="shared" si="11"/>
        <v/>
      </c>
    </row>
    <row r="188" spans="1:2" ht="15" customHeight="1" x14ac:dyDescent="0.25">
      <c r="A188" s="25" t="str">
        <f t="shared" si="10"/>
        <v/>
      </c>
      <c r="B188" s="25" t="str">
        <f t="shared" si="11"/>
        <v/>
      </c>
    </row>
    <row r="189" spans="1:2" ht="15" customHeight="1" x14ac:dyDescent="0.25">
      <c r="A189" s="25" t="str">
        <f t="shared" si="10"/>
        <v/>
      </c>
      <c r="B189" s="25" t="str">
        <f t="shared" si="11"/>
        <v/>
      </c>
    </row>
    <row r="190" spans="1:2" ht="15" customHeight="1" x14ac:dyDescent="0.25">
      <c r="A190" s="25" t="str">
        <f t="shared" si="10"/>
        <v/>
      </c>
      <c r="B190" s="25" t="str">
        <f t="shared" si="11"/>
        <v/>
      </c>
    </row>
    <row r="191" spans="1:2" ht="15" customHeight="1" x14ac:dyDescent="0.25">
      <c r="A191" s="25" t="str">
        <f t="shared" si="10"/>
        <v/>
      </c>
      <c r="B191" s="25" t="str">
        <f t="shared" si="11"/>
        <v/>
      </c>
    </row>
    <row r="192" spans="1:2" ht="15" customHeight="1" x14ac:dyDescent="0.25">
      <c r="A192" s="25" t="str">
        <f t="shared" si="10"/>
        <v/>
      </c>
      <c r="B192" s="25" t="str">
        <f t="shared" si="11"/>
        <v/>
      </c>
    </row>
    <row r="193" spans="1:2" ht="15" customHeight="1" x14ac:dyDescent="0.25">
      <c r="A193" s="25" t="str">
        <f t="shared" si="10"/>
        <v/>
      </c>
      <c r="B193" s="25" t="str">
        <f t="shared" si="11"/>
        <v/>
      </c>
    </row>
    <row r="194" spans="1:2" ht="15" customHeight="1" x14ac:dyDescent="0.25">
      <c r="A194" s="25" t="str">
        <f t="shared" si="10"/>
        <v/>
      </c>
      <c r="B194" s="25" t="str">
        <f t="shared" si="11"/>
        <v/>
      </c>
    </row>
    <row r="195" spans="1:2" ht="15" customHeight="1" x14ac:dyDescent="0.25">
      <c r="A195" s="25" t="str">
        <f t="shared" si="10"/>
        <v/>
      </c>
      <c r="B195" s="25" t="str">
        <f t="shared" si="11"/>
        <v/>
      </c>
    </row>
    <row r="196" spans="1:2" ht="15" customHeight="1" x14ac:dyDescent="0.25">
      <c r="A196" s="25" t="str">
        <f t="shared" si="10"/>
        <v/>
      </c>
      <c r="B196" s="25" t="str">
        <f t="shared" si="11"/>
        <v/>
      </c>
    </row>
    <row r="197" spans="1:2" ht="15" customHeight="1" x14ac:dyDescent="0.25">
      <c r="A197" s="25" t="str">
        <f t="shared" si="10"/>
        <v/>
      </c>
      <c r="B197" s="25" t="str">
        <f t="shared" si="11"/>
        <v/>
      </c>
    </row>
    <row r="198" spans="1:2" ht="15" customHeight="1" x14ac:dyDescent="0.25">
      <c r="A198" s="25" t="str">
        <f t="shared" si="10"/>
        <v/>
      </c>
      <c r="B198" s="25" t="str">
        <f t="shared" si="11"/>
        <v/>
      </c>
    </row>
    <row r="199" spans="1:2" ht="15" customHeight="1" x14ac:dyDescent="0.25">
      <c r="A199" s="25" t="str">
        <f t="shared" si="10"/>
        <v/>
      </c>
      <c r="B199" s="25" t="str">
        <f t="shared" si="11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2"/>
  <sheetViews>
    <sheetView workbookViewId="0">
      <selection activeCell="C1" sqref="C1"/>
    </sheetView>
  </sheetViews>
  <sheetFormatPr defaultRowHeight="15" x14ac:dyDescent="0.25"/>
  <cols>
    <col min="1" max="1" width="2.85546875" customWidth="1"/>
    <col min="2" max="2" width="2.85546875" style="1" customWidth="1"/>
    <col min="3" max="3" width="57.140625" customWidth="1"/>
    <col min="4" max="4" width="22.140625" bestFit="1" customWidth="1"/>
    <col min="5" max="5" width="10.85546875" bestFit="1" customWidth="1"/>
  </cols>
  <sheetData>
    <row r="1" spans="1:5" x14ac:dyDescent="0.25">
      <c r="C1" s="43" t="s">
        <v>299</v>
      </c>
    </row>
    <row r="2" spans="1:5" x14ac:dyDescent="0.25">
      <c r="B2" s="1" t="s">
        <v>2</v>
      </c>
      <c r="C2" t="s">
        <v>291</v>
      </c>
      <c r="D2" t="s">
        <v>292</v>
      </c>
      <c r="E2" t="s">
        <v>293</v>
      </c>
    </row>
    <row r="3" spans="1:5" x14ac:dyDescent="0.25">
      <c r="A3" t="str">
        <f>IF(B3="D","  Commands.QuickPutEntry_function(string("&amp;C3&amp;") + string("&amp;D3&amp;"), (void*) InterpreterManager::"&amp;E3&amp;");",IF(B3="C","  // "&amp;C3,""))</f>
        <v xml:space="preserve">  // Environment Settings</v>
      </c>
      <c r="B3" s="1" t="s">
        <v>152</v>
      </c>
      <c r="C3" t="s">
        <v>301</v>
      </c>
    </row>
    <row r="4" spans="1:5" x14ac:dyDescent="0.25">
      <c r="A4" t="str">
        <f t="shared" ref="A4:A22" si="0">IF(B4="D","  Commands.QuickPutEntry_function(string("&amp;C4&amp;") + string("&amp;D4&amp;"), (void*) InterpreterManager::"&amp;E4&amp;");",IF(B4="C","  // "&amp;C4,""))</f>
        <v xml:space="preserve">  Commands.QuickPutEntry_function(string(LABEL_ENVIRONMENT_SETTINGS) + string(), (void*) InterpreterManager::SetenvCall);</v>
      </c>
      <c r="B4" s="1" t="s">
        <v>138</v>
      </c>
      <c r="C4" t="s">
        <v>220</v>
      </c>
      <c r="E4" t="s">
        <v>294</v>
      </c>
    </row>
    <row r="5" spans="1:5" x14ac:dyDescent="0.25">
      <c r="A5" t="str">
        <f t="shared" si="0"/>
        <v xml:space="preserve">  // Simulator Settings</v>
      </c>
      <c r="B5" s="1" t="s">
        <v>152</v>
      </c>
      <c r="C5" t="s">
        <v>300</v>
      </c>
    </row>
    <row r="6" spans="1:5" x14ac:dyDescent="0.25">
      <c r="A6" t="str">
        <f t="shared" si="0"/>
        <v xml:space="preserve">  Commands.QuickPutEntry_function(string(LABEL_SIMULATOR_SETTINGS) + string(), (void*) InterpreterManager::SetsimCall);</v>
      </c>
      <c r="B6" s="1" t="s">
        <v>138</v>
      </c>
      <c r="C6" t="s">
        <v>221</v>
      </c>
      <c r="E6" t="s">
        <v>295</v>
      </c>
    </row>
    <row r="7" spans="1:5" x14ac:dyDescent="0.25">
      <c r="A7" t="str">
        <f t="shared" si="0"/>
        <v xml:space="preserve">  // Run Commands</v>
      </c>
      <c r="B7" s="1" t="s">
        <v>152</v>
      </c>
      <c r="C7" t="s">
        <v>302</v>
      </c>
    </row>
    <row r="8" spans="1:5" x14ac:dyDescent="0.25">
      <c r="A8" t="str">
        <f t="shared" si="0"/>
        <v xml:space="preserve">  Commands.QuickPutEntry_function(string(LABEL_RUN_SIMULATION) + string(SS_INITIALIZE), (void*) InterpreterManager::RunsimCall);</v>
      </c>
      <c r="B8" s="1" t="s">
        <v>138</v>
      </c>
      <c r="C8" t="s">
        <v>222</v>
      </c>
      <c r="D8" t="s">
        <v>235</v>
      </c>
      <c r="E8" t="s">
        <v>296</v>
      </c>
    </row>
    <row r="9" spans="1:5" x14ac:dyDescent="0.25">
      <c r="A9" t="str">
        <f t="shared" si="0"/>
        <v xml:space="preserve">  Commands.QuickPutEntry_function(string(LABEL_RUN_SIMULATION) + string(SS_ADD_V1_DIFFUSION), (void*) InterpreterManager::RunsimCall);</v>
      </c>
      <c r="B9" s="1" t="s">
        <v>138</v>
      </c>
      <c r="C9" t="s">
        <v>222</v>
      </c>
      <c r="D9" t="s">
        <v>236</v>
      </c>
      <c r="E9" t="s">
        <v>296</v>
      </c>
    </row>
    <row r="10" spans="1:5" x14ac:dyDescent="0.25">
      <c r="A10" t="str">
        <f t="shared" si="0"/>
        <v xml:space="preserve">  Commands.QuickPutEntry_function(string(LABEL_RUN_SIMULATION) + string(SS_SIMULATE), (void*) InterpreterManager::RunsimCall);</v>
      </c>
      <c r="B10" s="1" t="s">
        <v>138</v>
      </c>
      <c r="C10" t="s">
        <v>222</v>
      </c>
      <c r="D10" t="s">
        <v>237</v>
      </c>
      <c r="E10" t="s">
        <v>296</v>
      </c>
    </row>
    <row r="11" spans="1:5" x14ac:dyDescent="0.25">
      <c r="A11" t="str">
        <f t="shared" si="0"/>
        <v xml:space="preserve">  // Reporting Commands</v>
      </c>
      <c r="B11" s="1" t="s">
        <v>152</v>
      </c>
      <c r="C11" t="s">
        <v>303</v>
      </c>
    </row>
    <row r="12" spans="1:5" x14ac:dyDescent="0.25">
      <c r="A12" t="str">
        <f t="shared" si="0"/>
        <v xml:space="preserve">  Commands.QuickPutEntry_function(string(LABEL_REPORTING) + string(PRINT_ENV), (void*) InterpreterManager::ReportCall);</v>
      </c>
      <c r="B12" s="1" t="s">
        <v>138</v>
      </c>
      <c r="C12" t="s">
        <v>223</v>
      </c>
      <c r="D12" t="s">
        <v>239</v>
      </c>
      <c r="E12" t="s">
        <v>297</v>
      </c>
    </row>
    <row r="13" spans="1:5" x14ac:dyDescent="0.25">
      <c r="A13" t="str">
        <f t="shared" si="0"/>
        <v xml:space="preserve">  Commands.QuickPutEntry_function(string(LABEL_REPORTING) + string(PRINT_SIM), (void*) InterpreterManager::ReportCall);</v>
      </c>
      <c r="B13" s="1" t="s">
        <v>138</v>
      </c>
      <c r="C13" t="s">
        <v>223</v>
      </c>
      <c r="D13" t="s">
        <v>240</v>
      </c>
      <c r="E13" t="s">
        <v>297</v>
      </c>
    </row>
    <row r="14" spans="1:5" x14ac:dyDescent="0.25">
      <c r="A14" t="str">
        <f t="shared" si="0"/>
        <v xml:space="preserve">  Commands.QuickPutEntry_function(string(LABEL_REPORTING) + string(SS_PRINT_V1_ACTIVATION), (void*) InterpreterManager::ReportCall);</v>
      </c>
      <c r="B14" s="1" t="s">
        <v>138</v>
      </c>
      <c r="C14" t="s">
        <v>223</v>
      </c>
      <c r="D14" t="s">
        <v>241</v>
      </c>
      <c r="E14" t="s">
        <v>297</v>
      </c>
    </row>
    <row r="15" spans="1:5" x14ac:dyDescent="0.25">
      <c r="A15" t="str">
        <f t="shared" si="0"/>
        <v xml:space="preserve">  Commands.QuickPutEntry_function(string(LABEL_REPORTING) + string(SS_PRINT_V1_ACTIVATION_HORIZONTAL), (void*) InterpreterManager::ReportCall);</v>
      </c>
      <c r="B15" s="1" t="s">
        <v>138</v>
      </c>
      <c r="C15" t="s">
        <v>223</v>
      </c>
      <c r="D15" t="s">
        <v>242</v>
      </c>
      <c r="E15" t="s">
        <v>297</v>
      </c>
    </row>
    <row r="16" spans="1:5" x14ac:dyDescent="0.25">
      <c r="A16" t="str">
        <f t="shared" si="0"/>
        <v xml:space="preserve">  Commands.QuickPutEntry_function(string(LABEL_REPORTING) + string(SS_PRINT_V1_EXTERNAL_EXCITATION), (void*) InterpreterManager::ReportCall);</v>
      </c>
      <c r="B16" s="1" t="s">
        <v>138</v>
      </c>
      <c r="C16" t="s">
        <v>223</v>
      </c>
      <c r="D16" t="s">
        <v>243</v>
      </c>
      <c r="E16" t="s">
        <v>297</v>
      </c>
    </row>
    <row r="17" spans="1:5" x14ac:dyDescent="0.25">
      <c r="A17" t="str">
        <f t="shared" si="0"/>
        <v xml:space="preserve">  Commands.QuickPutEntry_function(string(LABEL_REPORTING) + string(SS_PRINT_MT_ACTIVATION), (void*) InterpreterManager::ReportCall);</v>
      </c>
      <c r="B17" s="1" t="s">
        <v>138</v>
      </c>
      <c r="C17" t="s">
        <v>223</v>
      </c>
      <c r="D17" t="s">
        <v>244</v>
      </c>
      <c r="E17" t="s">
        <v>297</v>
      </c>
    </row>
    <row r="18" spans="1:5" x14ac:dyDescent="0.25">
      <c r="A18" t="str">
        <f t="shared" si="0"/>
        <v xml:space="preserve">  Commands.QuickPutEntry_function(string(LABEL_REPORTING) + string(SS_PRINT_MT_ACTIVATION_HORIZONTAL), (void*) InterpreterManager::ReportCall);</v>
      </c>
      <c r="B18" s="1" t="s">
        <v>138</v>
      </c>
      <c r="C18" t="s">
        <v>223</v>
      </c>
      <c r="D18" t="s">
        <v>245</v>
      </c>
      <c r="E18" t="s">
        <v>297</v>
      </c>
    </row>
    <row r="19" spans="1:5" x14ac:dyDescent="0.25">
      <c r="A19" t="str">
        <f t="shared" si="0"/>
        <v xml:space="preserve">  // I/O Interaction Commands</v>
      </c>
      <c r="B19" s="1" t="s">
        <v>152</v>
      </c>
      <c r="C19" t="s">
        <v>304</v>
      </c>
    </row>
    <row r="20" spans="1:5" x14ac:dyDescent="0.25">
      <c r="A20" t="str">
        <f t="shared" si="0"/>
        <v xml:space="preserve">  Commands.QuickPutEntry_function(string(LABEL_IO_INTERACTIONS) + string(NPROC), (void*) InterpreterManager::RescueCall_NPROC);</v>
      </c>
      <c r="B20" s="1" t="s">
        <v>138</v>
      </c>
      <c r="C20" t="s">
        <v>224</v>
      </c>
      <c r="D20" t="s">
        <v>247</v>
      </c>
      <c r="E20" t="s">
        <v>326</v>
      </c>
    </row>
    <row r="21" spans="1:5" s="48" customFormat="1" x14ac:dyDescent="0.25">
      <c r="B21" s="45"/>
      <c r="C21" s="48" t="s">
        <v>307</v>
      </c>
    </row>
    <row r="22" spans="1:5" x14ac:dyDescent="0.25">
      <c r="A22" t="str">
        <f t="shared" si="0"/>
        <v xml:space="preserve">  Commands.QuickPutEntry_function(string(LABEL_IO_INTERACTIONS) + string(NPROC_SILENT), (void*) InterpreterManager::RescueCall);</v>
      </c>
      <c r="B22" s="1" t="s">
        <v>138</v>
      </c>
      <c r="C22" t="s">
        <v>224</v>
      </c>
      <c r="D22" t="s">
        <v>248</v>
      </c>
      <c r="E22" t="s">
        <v>298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24"/>
  <sheetViews>
    <sheetView tabSelected="1" workbookViewId="0">
      <pane ySplit="1" topLeftCell="A2" activePane="bottomLeft" state="frozen"/>
      <selection pane="bottomLeft"/>
    </sheetView>
  </sheetViews>
  <sheetFormatPr defaultRowHeight="15" customHeight="1" x14ac:dyDescent="0.25"/>
  <cols>
    <col min="1" max="2" width="2.85546875" style="25" customWidth="1"/>
    <col min="3" max="4" width="2.85546875" style="1" customWidth="1"/>
    <col min="5" max="5" width="57.140625" customWidth="1"/>
    <col min="6" max="6" width="30.28515625" style="13" bestFit="1" customWidth="1"/>
    <col min="7" max="7" width="12.28515625" style="13" bestFit="1" customWidth="1"/>
    <col min="8" max="8" width="12.28515625" style="13" customWidth="1"/>
    <col min="9" max="9" width="34.7109375" style="13" bestFit="1" customWidth="1"/>
    <col min="10" max="10" width="9.42578125" style="13" customWidth="1"/>
  </cols>
  <sheetData>
    <row r="1" spans="1:11" ht="15" customHeight="1" x14ac:dyDescent="0.25">
      <c r="E1" s="37" t="s">
        <v>285</v>
      </c>
    </row>
    <row r="2" spans="1:11" s="32" customFormat="1" ht="15" customHeight="1" x14ac:dyDescent="0.25">
      <c r="A2" s="29" t="str">
        <f>IF(C2="","",IF(C2="C",CHAR(10) &amp; "// " &amp; E2,IF(C2="I","#define " &amp; E2 &amp; " " &amp; I2,IF(C2="P","#define " &amp; E2 &amp; " """ &amp; F2 &amp; """" &amp; CHAR(10) &amp; "#define DEFAULT_" &amp; E2 &amp; " " &amp; I2,IF(C2="S","","ERROR")))))</f>
        <v xml:space="preserve">
// Math</v>
      </c>
      <c r="B2" s="29" t="str">
        <f>IF(C2="","",IF(C2="C","  // "&amp;E2,IF(C2="P",IF(D2="E","  Environment.",IF(D2="S","  Simulation.","ERROR"))&amp;"SetSetting("&amp;E2&amp;", "&amp;G2&amp;", "&amp;H2&amp;");",IF(C2="S",
IF(L2=1,"  for (int i = 0; i &lt; "&amp;N2&amp;"; i++) {"&amp;CHAR(10)&amp;IF(D2="E","    Environment.",IF(D2="S","    Simulation.","ERROR"))&amp;"SetSetting("&amp;M2&amp;" + "&amp;O2&amp;", "&amp;G2&amp;", "&amp;H2&amp;");"&amp;CHAR(10)&amp;"  }",
IF(L2=2,"  for (int i = 0; i &lt; "&amp;N2&amp;"; i++) {"&amp;CHAR(10)&amp;"    for (int j = 0; j &lt; "&amp;Q2&amp;"; j++) {"&amp;CHAR(10)&amp;IF(D2="E","      Environment.",IF(D2="S","      Simulation.","ERROR"))&amp;"SetSetting("&amp;M2&amp;" + "&amp;O2&amp;" + "&amp;P2&amp;" + "&amp;R2&amp;", "&amp;G2&amp;", "&amp;H2&amp;");"&amp;CHAR(10)&amp;"    }"&amp;CHAR(10)&amp;"  }","ERROR")),""))))</f>
        <v xml:space="preserve">  // Math</v>
      </c>
      <c r="C2" s="30" t="s">
        <v>152</v>
      </c>
      <c r="D2" s="30"/>
      <c r="E2" s="32" t="s">
        <v>151</v>
      </c>
      <c r="F2" s="31"/>
      <c r="G2" s="31"/>
      <c r="H2" s="31"/>
      <c r="I2" s="31"/>
      <c r="J2" s="31" t="str">
        <f>IF(OR(C2="P",C2="S"),IF(L2="",1,IF(L2=1,N2,IF(L2=2,N2&amp;" * "&amp;Q2,"ERROR"))),"")</f>
        <v/>
      </c>
    </row>
    <row r="3" spans="1:11" s="36" customFormat="1" ht="15" customHeight="1" x14ac:dyDescent="0.25">
      <c r="A3" s="33" t="str">
        <f>IF(C3="","",IF(C3="C",CHAR(10) &amp; "// " &amp; E3,IF(C3="I","#define " &amp; E3 &amp; " " &amp; I3,IF(C3="P","#define " &amp; E3 &amp; " """ &amp; F3 &amp; """" &amp; CHAR(10) &amp; "#define DEFAULT_" &amp; E3 &amp; " " &amp; I3,IF(C3="S","","ERROR")))))</f>
        <v>#define PI 3.1415926535</v>
      </c>
      <c r="B3" s="33" t="str">
        <f>IF(C3="","",IF(C3="C","  // "&amp;E3,IF(C3="P",IF(D3="E","  Environment.",IF(D3="S","  Simulation.","ERROR"))&amp;"SetSetting("&amp;E3&amp;", "&amp;G3&amp;", "&amp;H3&amp;");",IF(C3="S",
IF(L3=1,"  for (int i = 0; i &lt; "&amp;N3&amp;"; i++) {"&amp;CHAR(10)&amp;IF(D3="E","    Environment.",IF(D3="S","    Simulation.","ERROR"))&amp;"SetSetting("&amp;M3&amp;" + "&amp;O3&amp;", "&amp;G3&amp;", "&amp;H3&amp;");"&amp;CHAR(10)&amp;"  }",
IF(L3=2,"  for (int i = 0; i &lt; "&amp;N3&amp;"; i++) {"&amp;CHAR(10)&amp;"    for (int j = 0; j &lt; "&amp;Q3&amp;"; j++) {"&amp;CHAR(10)&amp;IF(D3="E","      Environment.",IF(D3="S","      Simulation.","ERROR"))&amp;"SetSetting("&amp;M3&amp;" + "&amp;O3&amp;" + "&amp;P3&amp;" + "&amp;R3&amp;", "&amp;G3&amp;", "&amp;H3&amp;");"&amp;CHAR(10)&amp;"    }"&amp;CHAR(10)&amp;"  }","ERROR")),""))))</f>
        <v/>
      </c>
      <c r="C3" s="28" t="s">
        <v>139</v>
      </c>
      <c r="D3" s="28"/>
      <c r="E3" s="36" t="s">
        <v>153</v>
      </c>
      <c r="F3" s="35"/>
      <c r="G3" s="35"/>
      <c r="H3" s="35"/>
      <c r="I3" s="41" t="s">
        <v>162</v>
      </c>
      <c r="J3" s="41" t="str">
        <f>IF(OR(C3="P",C3="S"),IF(L3="",1,IF(L3=1,N3,IF(L3=2,N3&amp;" * "&amp;Q3,"ERROR"))),"")</f>
        <v/>
      </c>
      <c r="K3" s="36" t="s">
        <v>157</v>
      </c>
    </row>
    <row r="4" spans="1:11" s="32" customFormat="1" ht="15" customHeight="1" x14ac:dyDescent="0.25">
      <c r="A4" s="29" t="str">
        <f>IF(C4="","",IF(C4="C",CHAR(10) &amp; "// " &amp; E4,IF(C4="I","#define " &amp; E4 &amp; " " &amp; I4,IF(C4="P","#define " &amp; E4 &amp; " """ &amp; F4 &amp; """" &amp; CHAR(10) &amp; "#define DEFAULT_" &amp; E4 &amp; " " &amp; I4,IF(C4="S","","ERROR")))))</f>
        <v xml:space="preserve">
// HashTable</v>
      </c>
      <c r="B4" s="29" t="str">
        <f>IF(C4="","",IF(C4="C","  // "&amp;E4,IF(C4="P",IF(D4="E","  Environment.",IF(D4="S","  Simulation.","ERROR"))&amp;"SetSetting("&amp;E4&amp;", "&amp;G4&amp;", "&amp;H4&amp;");",IF(C4="S",
IF(L4=1,"  for (int i = 0; i &lt; "&amp;N4&amp;"; i++) {"&amp;CHAR(10)&amp;IF(D4="E","    Environment.",IF(D4="S","    Simulation.","ERROR"))&amp;"SetSetting("&amp;M4&amp;" + "&amp;O4&amp;", "&amp;G4&amp;", "&amp;H4&amp;");"&amp;CHAR(10)&amp;"  }",
IF(L4=2,"  for (int i = 0; i &lt; "&amp;N4&amp;"; i++) {"&amp;CHAR(10)&amp;"    for (int j = 0; j &lt; "&amp;Q4&amp;"; j++) {"&amp;CHAR(10)&amp;IF(D4="E","      Environment.",IF(D4="S","      Simulation.","ERROR"))&amp;"SetSetting("&amp;M4&amp;" + "&amp;O4&amp;" + "&amp;P4&amp;" + "&amp;R4&amp;", "&amp;G4&amp;", "&amp;H4&amp;");"&amp;CHAR(10)&amp;"    }"&amp;CHAR(10)&amp;"  }","ERROR")),""))))</f>
        <v xml:space="preserve">  // HashTable</v>
      </c>
      <c r="C4" s="30" t="s">
        <v>152</v>
      </c>
      <c r="D4" s="30"/>
      <c r="E4" s="32" t="s">
        <v>154</v>
      </c>
      <c r="F4" s="31"/>
      <c r="G4" s="31"/>
      <c r="H4" s="31"/>
      <c r="I4" s="31"/>
      <c r="J4" s="31" t="str">
        <f>IF(OR(C4="P",C4="S"),IF(L4="",1,IF(L4=1,N4,IF(L4=2,N4&amp;" * "&amp;Q4,"ERROR"))),"")</f>
        <v/>
      </c>
    </row>
    <row r="5" spans="1:11" s="36" customFormat="1" ht="15" customHeight="1" x14ac:dyDescent="0.25">
      <c r="A5" s="33" t="str">
        <f>IF(C5="","",IF(C5="C",CHAR(10) &amp; "// " &amp; E5,IF(C5="I","#define " &amp; E5 &amp; " " &amp; I5,IF(C5="P","#define " &amp; E5 &amp; " """ &amp; F5 &amp; """" &amp; CHAR(10) &amp; "#define DEFAULT_" &amp; E5 &amp; " " &amp; I5,IF(C5="S","","ERROR")))))</f>
        <v>#define HASH_A 611057</v>
      </c>
      <c r="B5" s="33" t="str">
        <f>IF(C5="","",IF(C5="C","  // "&amp;E5,IF(C5="P",IF(D5="E","  Environment.",IF(D5="S","  Simulation.","ERROR"))&amp;"SetSetting("&amp;E5&amp;", "&amp;G5&amp;", "&amp;H5&amp;");",IF(C5="S",
IF(L5=1,"  for (int i = 0; i &lt; "&amp;N5&amp;"; i++) {"&amp;CHAR(10)&amp;IF(D5="E","    Environment.",IF(D5="S","    Simulation.","ERROR"))&amp;"SetSetting("&amp;M5&amp;" + "&amp;O5&amp;", "&amp;G5&amp;", "&amp;H5&amp;");"&amp;CHAR(10)&amp;"  }",
IF(L5=2,"  for (int i = 0; i &lt; "&amp;N5&amp;"; i++) {"&amp;CHAR(10)&amp;"    for (int j = 0; j &lt; "&amp;Q5&amp;"; j++) {"&amp;CHAR(10)&amp;IF(D5="E","      Environment.",IF(D5="S","      Simulation.","ERROR"))&amp;"SetSetting("&amp;M5&amp;" + "&amp;O5&amp;" + "&amp;P5&amp;" + "&amp;R5&amp;", "&amp;G5&amp;", "&amp;H5&amp;");"&amp;CHAR(10)&amp;"    }"&amp;CHAR(10)&amp;"  }","ERROR")),""))))</f>
        <v/>
      </c>
      <c r="C5" s="28" t="s">
        <v>139</v>
      </c>
      <c r="D5" s="28"/>
      <c r="E5" s="36" t="s">
        <v>168</v>
      </c>
      <c r="F5" s="35"/>
      <c r="G5" s="35"/>
      <c r="H5" s="35"/>
      <c r="I5" s="35">
        <v>611057</v>
      </c>
      <c r="J5" s="35" t="str">
        <f>IF(OR(C5="P",C5="S"),IF(L5="",1,IF(L5=1,N5,IF(L5=2,N5&amp;" * "&amp;Q5,"ERROR"))),"")</f>
        <v/>
      </c>
      <c r="K5" s="36" t="s">
        <v>280</v>
      </c>
    </row>
    <row r="6" spans="1:11" s="36" customFormat="1" ht="15" customHeight="1" x14ac:dyDescent="0.25">
      <c r="A6" s="33" t="str">
        <f>IF(C6="","",IF(C6="C",CHAR(10) &amp; "// " &amp; E6,IF(C6="I","#define " &amp; E6 &amp; " " &amp; I6,IF(C6="P","#define " &amp; E6 &amp; " """ &amp; F6 &amp; """" &amp; CHAR(10) &amp; "#define DEFAULT_" &amp; E6 &amp; " " &amp; I6,IF(C6="S","","ERROR")))))</f>
        <v>#define HASH_B 286421</v>
      </c>
      <c r="B6" s="33" t="str">
        <f>IF(C6="","",IF(C6="C","  // "&amp;E6,IF(C6="P",IF(D6="E","  Environment.",IF(D6="S","  Simulation.","ERROR"))&amp;"SetSetting("&amp;E6&amp;", "&amp;G6&amp;", "&amp;H6&amp;");",IF(C6="S",
IF(L6=1,"  for (int i = 0; i &lt; "&amp;N6&amp;"; i++) {"&amp;CHAR(10)&amp;IF(D6="E","    Environment.",IF(D6="S","    Simulation.","ERROR"))&amp;"SetSetting("&amp;M6&amp;" + "&amp;O6&amp;", "&amp;G6&amp;", "&amp;H6&amp;");"&amp;CHAR(10)&amp;"  }",
IF(L6=2,"  for (int i = 0; i &lt; "&amp;N6&amp;"; i++) {"&amp;CHAR(10)&amp;"    for (int j = 0; j &lt; "&amp;Q6&amp;"; j++) {"&amp;CHAR(10)&amp;IF(D6="E","      Environment.",IF(D6="S","      Simulation.","ERROR"))&amp;"SetSetting("&amp;M6&amp;" + "&amp;O6&amp;" + "&amp;P6&amp;" + "&amp;R6&amp;", "&amp;G6&amp;", "&amp;H6&amp;");"&amp;CHAR(10)&amp;"    }"&amp;CHAR(10)&amp;"  }","ERROR")),""))))</f>
        <v/>
      </c>
      <c r="C6" s="28" t="s">
        <v>139</v>
      </c>
      <c r="D6" s="28"/>
      <c r="E6" s="36" t="s">
        <v>169</v>
      </c>
      <c r="F6" s="35"/>
      <c r="G6" s="35"/>
      <c r="H6" s="35"/>
      <c r="I6" s="35">
        <v>286421</v>
      </c>
      <c r="J6" s="35" t="str">
        <f>IF(OR(C6="P",C6="S"),IF(L6="",1,IF(L6=1,N6,IF(L6=2,N6&amp;" * "&amp;Q6,"ERROR"))),"")</f>
        <v/>
      </c>
      <c r="K6" s="36" t="s">
        <v>281</v>
      </c>
    </row>
    <row r="7" spans="1:11" s="36" customFormat="1" ht="15" customHeight="1" x14ac:dyDescent="0.25">
      <c r="A7" s="33" t="str">
        <f>IF(C7="","",IF(C7="C",CHAR(10) &amp; "// " &amp; E7,IF(C7="I","#define " &amp; E7 &amp; " " &amp; I7,IF(C7="P","#define " &amp; E7 &amp; " """ &amp; F7 &amp; """" &amp; CHAR(10) &amp; "#define DEFAULT_" &amp; E7 &amp; " " &amp; I7,IF(C7="S","","ERROR")))))</f>
        <v>#define HASH_C 126989</v>
      </c>
      <c r="B7" s="33" t="str">
        <f>IF(C7="","",IF(C7="C","  // "&amp;E7,IF(C7="P",IF(D7="E","  Environment.",IF(D7="S","  Simulation.","ERROR"))&amp;"SetSetting("&amp;E7&amp;", "&amp;G7&amp;", "&amp;H7&amp;");",IF(C7="S",
IF(L7=1,"  for (int i = 0; i &lt; "&amp;N7&amp;"; i++) {"&amp;CHAR(10)&amp;IF(D7="E","    Environment.",IF(D7="S","    Simulation.","ERROR"))&amp;"SetSetting("&amp;M7&amp;" + "&amp;O7&amp;", "&amp;G7&amp;", "&amp;H7&amp;");"&amp;CHAR(10)&amp;"  }",
IF(L7=2,"  for (int i = 0; i &lt; "&amp;N7&amp;"; i++) {"&amp;CHAR(10)&amp;"    for (int j = 0; j &lt; "&amp;Q7&amp;"; j++) {"&amp;CHAR(10)&amp;IF(D7="E","      Environment.",IF(D7="S","      Simulation.","ERROR"))&amp;"SetSetting("&amp;M7&amp;" + "&amp;O7&amp;" + "&amp;P7&amp;" + "&amp;R7&amp;", "&amp;G7&amp;", "&amp;H7&amp;");"&amp;CHAR(10)&amp;"    }"&amp;CHAR(10)&amp;"  }","ERROR")),""))))</f>
        <v/>
      </c>
      <c r="C7" s="28" t="s">
        <v>139</v>
      </c>
      <c r="D7" s="28"/>
      <c r="E7" s="36" t="s">
        <v>155</v>
      </c>
      <c r="F7" s="35"/>
      <c r="G7" s="35"/>
      <c r="H7" s="35"/>
      <c r="I7" s="35">
        <v>126989</v>
      </c>
      <c r="J7" s="35" t="str">
        <f>IF(OR(C7="P",C7="S"),IF(L7="",1,IF(L7=1,N7,IF(L7=2,N7&amp;" * "&amp;Q7,"ERROR"))),"")</f>
        <v/>
      </c>
      <c r="K7" s="36" t="s">
        <v>282</v>
      </c>
    </row>
    <row r="8" spans="1:11" s="36" customFormat="1" ht="15" customHeight="1" x14ac:dyDescent="0.25">
      <c r="A8" s="33" t="str">
        <f>IF(C8="","",IF(C8="C",CHAR(10) &amp; "// " &amp; E8,IF(C8="I","#define " &amp; E8 &amp; " " &amp; I8,IF(C8="P","#define " &amp; E8 &amp; " """ &amp; F8 &amp; """" &amp; CHAR(10) &amp; "#define DEFAULT_" &amp; E8 &amp; " " &amp; I8,IF(C8="S","","ERROR")))))</f>
        <v>#define HASH_CAPACITY_MULTIPLICATOR 1.5</v>
      </c>
      <c r="B8" s="33" t="str">
        <f>IF(C8="","",IF(C8="C","  // "&amp;E8,IF(C8="P",IF(D8="E","  Environment.",IF(D8="S","  Simulation.","ERROR"))&amp;"SetSetting("&amp;E8&amp;", "&amp;G8&amp;", "&amp;H8&amp;");",IF(C8="S",
IF(L8=1,"  for (int i = 0; i &lt; "&amp;N8&amp;"; i++) {"&amp;CHAR(10)&amp;IF(D8="E","    Environment.",IF(D8="S","    Simulation.","ERROR"))&amp;"SetSetting("&amp;M8&amp;" + "&amp;O8&amp;", "&amp;G8&amp;", "&amp;H8&amp;");"&amp;CHAR(10)&amp;"  }",
IF(L8=2,"  for (int i = 0; i &lt; "&amp;N8&amp;"; i++) {"&amp;CHAR(10)&amp;"    for (int j = 0; j &lt; "&amp;Q8&amp;"; j++) {"&amp;CHAR(10)&amp;IF(D8="E","      Environment.",IF(D8="S","      Simulation.","ERROR"))&amp;"SetSetting("&amp;M8&amp;" + "&amp;O8&amp;" + "&amp;P8&amp;" + "&amp;R8&amp;", "&amp;G8&amp;", "&amp;H8&amp;");"&amp;CHAR(10)&amp;"    }"&amp;CHAR(10)&amp;"  }","ERROR")),""))))</f>
        <v/>
      </c>
      <c r="C8" s="28" t="s">
        <v>139</v>
      </c>
      <c r="D8" s="28"/>
      <c r="E8" s="36" t="s">
        <v>390</v>
      </c>
      <c r="F8" s="35"/>
      <c r="G8" s="35"/>
      <c r="H8" s="35"/>
      <c r="I8" s="35">
        <v>1.5</v>
      </c>
      <c r="J8" s="35"/>
    </row>
    <row r="9" spans="1:11" s="32" customFormat="1" ht="15" customHeight="1" x14ac:dyDescent="0.25">
      <c r="A9" s="29" t="str">
        <f>IF(C9="","",IF(C9="C",CHAR(10) &amp; "// " &amp; E9,IF(C9="I","#define " &amp; E9 &amp; " " &amp; I9,IF(C9="P","#define " &amp; E9 &amp; " """ &amp; F9 &amp; """" &amp; CHAR(10) &amp; "#define DEFAULT_" &amp; E9 &amp; " " &amp; I9,IF(C9="S","","ERROR")))))</f>
        <v xml:space="preserve">
// HashTables Sizes</v>
      </c>
      <c r="B9" s="29" t="str">
        <f>IF(C9="","",IF(C9="C","  // "&amp;E9,IF(C9="P",IF(D9="E","  Environment.",IF(D9="S","  Simulation.","ERROR"))&amp;"SetSetting("&amp;E9&amp;", "&amp;G9&amp;", "&amp;H9&amp;");",IF(C9="S",
IF(L9=1,"  for (int i = 0; i &lt; "&amp;N9&amp;"; i++) {"&amp;CHAR(10)&amp;IF(D9="E","    Environment.",IF(D9="S","    Simulation.","ERROR"))&amp;"SetSetting("&amp;M9&amp;" + "&amp;O9&amp;", "&amp;G9&amp;", "&amp;H9&amp;");"&amp;CHAR(10)&amp;"  }",
IF(L9=2,"  for (int i = 0; i &lt; "&amp;N9&amp;"; i++) {"&amp;CHAR(10)&amp;"    for (int j = 0; j &lt; "&amp;Q9&amp;"; j++) {"&amp;CHAR(10)&amp;IF(D9="E","      Environment.",IF(D9="S","      Simulation.","ERROR"))&amp;"SetSetting("&amp;M9&amp;" + "&amp;O9&amp;" + "&amp;P9&amp;" + "&amp;R9&amp;", "&amp;G9&amp;", "&amp;H9&amp;");"&amp;CHAR(10)&amp;"    }"&amp;CHAR(10)&amp;"  }","ERROR")),""))))</f>
        <v xml:space="preserve">  // HashTables Sizes</v>
      </c>
      <c r="C9" s="30" t="s">
        <v>152</v>
      </c>
      <c r="D9" s="30"/>
      <c r="E9" s="32" t="s">
        <v>383</v>
      </c>
      <c r="F9" s="31"/>
      <c r="G9" s="31"/>
      <c r="H9" s="31"/>
      <c r="I9" s="31"/>
      <c r="J9" s="31" t="str">
        <f>IF(OR(C9="P",C9="S"),IF(L9="",1,IF(L9=1,N9,IF(L9=2,N9&amp;" * "&amp;Q9,"ERROR"))),"")</f>
        <v/>
      </c>
    </row>
    <row r="10" spans="1:11" s="36" customFormat="1" ht="15" customHeight="1" x14ac:dyDescent="0.25">
      <c r="A10" s="33" t="str">
        <f>IF(C10="","",IF(C10="C",CHAR(10) &amp; "// " &amp; E10,IF(C10="I","#define " &amp; E10 &amp; " " &amp; I10,IF(C10="P","#define " &amp; E10 &amp; " """ &amp; F10 &amp; """" &amp; CHAR(10) &amp; "#define DEFAULT_" &amp; E10 &amp; " " &amp; I10,IF(C10="S","","ERROR")))))</f>
        <v>#define MAX_LINKING_NEURONS MAX_V1_NEURONS + MAX_MT_NEURONS</v>
      </c>
      <c r="B10" s="33" t="str">
        <f>IF(C10="","",IF(C10="C","  // "&amp;E10,IF(C10="P",IF(D10="E","  Environment.",IF(D10="S","  Simulation.","ERROR"))&amp;"SetSetting("&amp;E10&amp;", "&amp;G10&amp;", "&amp;H10&amp;");",IF(C10="S",
IF(L10=1,"  for (int i = 0; i &lt; "&amp;N10&amp;"; i++) {"&amp;CHAR(10)&amp;IF(D10="E","    Environment.",IF(D10="S","    Simulation.","ERROR"))&amp;"SetSetting("&amp;M10&amp;" + "&amp;O10&amp;", "&amp;G10&amp;", "&amp;H10&amp;");"&amp;CHAR(10)&amp;"  }",
IF(L10=2,"  for (int i = 0; i &lt; "&amp;N10&amp;"; i++) {"&amp;CHAR(10)&amp;"    for (int j = 0; j &lt; "&amp;Q10&amp;"; j++) {"&amp;CHAR(10)&amp;IF(D10="E","      Environment.",IF(D10="S","      Simulation.","ERROR"))&amp;"SetSetting("&amp;M10&amp;" + "&amp;O10&amp;" + "&amp;P10&amp;" + "&amp;R10&amp;", "&amp;G10&amp;", "&amp;H10&amp;");"&amp;CHAR(10)&amp;"    }"&amp;CHAR(10)&amp;"  }","ERROR")),""))))</f>
        <v/>
      </c>
      <c r="C10" s="28" t="s">
        <v>139</v>
      </c>
      <c r="D10" s="28"/>
      <c r="E10" s="36" t="s">
        <v>382</v>
      </c>
      <c r="F10" s="35"/>
      <c r="G10" s="35"/>
      <c r="H10" s="35"/>
      <c r="I10" s="35" t="str">
        <f>E30&amp;" + "&amp;E62</f>
        <v>MAX_V1_NEURONS + MAX_MT_NEURONS</v>
      </c>
      <c r="J10" s="35"/>
    </row>
    <row r="11" spans="1:11" s="36" customFormat="1" ht="15" customHeight="1" x14ac:dyDescent="0.25">
      <c r="A11" s="33" t="str">
        <f>IF(C11="","",IF(C11="C",CHAR(10) &amp; "// " &amp; E11,IF(C11="I","#define " &amp; E11 &amp; " " &amp; I11,IF(C11="P","#define " &amp; E11 &amp; " """ &amp; F11 &amp; """" &amp; CHAR(10) &amp; "#define DEFAULT_" &amp; E11 &amp; " " &amp; I11,IF(C11="S","","ERROR")))))</f>
        <v>#define INTERPRETER_MANAGER_COMMANDS_HASH_SIZE 14</v>
      </c>
      <c r="B11" s="33" t="str">
        <f>IF(C11="","",IF(C11="C","  // "&amp;E11,IF(C11="P",IF(D11="E","  Environment.",IF(D11="S","  Simulation.","ERROR"))&amp;"SetSetting("&amp;E11&amp;", "&amp;G11&amp;", "&amp;H11&amp;");",IF(C11="S",
IF(L11=1,"  for (int i = 0; i &lt; "&amp;N11&amp;"; i++) {"&amp;CHAR(10)&amp;IF(D11="E","    Environment.",IF(D11="S","    Simulation.","ERROR"))&amp;"SetSetting("&amp;M11&amp;" + "&amp;O11&amp;", "&amp;G11&amp;", "&amp;H11&amp;");"&amp;CHAR(10)&amp;"  }",
IF(L11=2,"  for (int i = 0; i &lt; "&amp;N11&amp;"; i++) {"&amp;CHAR(10)&amp;"    for (int j = 0; j &lt; "&amp;Q11&amp;"; j++) {"&amp;CHAR(10)&amp;IF(D11="E","      Environment.",IF(D11="S","      Simulation.","ERROR"))&amp;"SetSetting("&amp;M11&amp;" + "&amp;O11&amp;" + "&amp;P11&amp;" + "&amp;R11&amp;", "&amp;G11&amp;", "&amp;H11&amp;");"&amp;CHAR(10)&amp;"    }"&amp;CHAR(10)&amp;"  }","ERROR")),""))))</f>
        <v/>
      </c>
      <c r="C11" s="28" t="s">
        <v>139</v>
      </c>
      <c r="D11" s="28"/>
      <c r="E11" s="36" t="s">
        <v>379</v>
      </c>
      <c r="F11" s="35"/>
      <c r="G11" s="35"/>
      <c r="H11" s="35"/>
      <c r="I11" s="35">
        <f>COUNTIF(InterpreterManager.Initialize!B:B,"D")</f>
        <v>14</v>
      </c>
      <c r="J11" s="35" t="str">
        <f>IF(OR(C11="P",C11="S"),IF(L11="",1,IF(L11=1,N11,IF(L11=2,N11&amp;" * "&amp;Q11,"ERROR"))),"")</f>
        <v/>
      </c>
    </row>
    <row r="12" spans="1:11" s="36" customFormat="1" ht="15" customHeight="1" x14ac:dyDescent="0.25">
      <c r="A12" s="33" t="str">
        <f>IF(C12="","",IF(C12="C",CHAR(10) &amp; "// " &amp; E12,IF(C12="I","#define " &amp; E12 &amp; " " &amp; I12,IF(C12="P","#define " &amp; E12 &amp; " """ &amp; F12 &amp; """" &amp; CHAR(10) &amp; "#define DEFAULT_" &amp; E12 &amp; " " &amp; I12,IF(C12="S","","ERROR")))))</f>
        <v>#define LOG_MANAGER_MESSAGES_HASH_SIZE 74</v>
      </c>
      <c r="B12" s="33" t="str">
        <f>IF(C12="","",IF(C12="C","  // "&amp;E12,IF(C12="P",IF(D12="E","  Environment.",IF(D12="S","  Simulation.","ERROR"))&amp;"SetSetting("&amp;E12&amp;", "&amp;G12&amp;", "&amp;H12&amp;");",IF(C12="S",
IF(L12=1,"  for (int i = 0; i &lt; "&amp;N12&amp;"; i++) {"&amp;CHAR(10)&amp;IF(D12="E","    Environment.",IF(D12="S","    Simulation.","ERROR"))&amp;"SetSetting("&amp;M12&amp;" + "&amp;O12&amp;", "&amp;G12&amp;", "&amp;H12&amp;");"&amp;CHAR(10)&amp;"  }",
IF(L12=2,"  for (int i = 0; i &lt; "&amp;N12&amp;"; i++) {"&amp;CHAR(10)&amp;"    for (int j = 0; j &lt; "&amp;Q12&amp;"; j++) {"&amp;CHAR(10)&amp;IF(D12="E","      Environment.",IF(D12="S","      Simulation.","ERROR"))&amp;"SetSetting("&amp;M12&amp;" + "&amp;O12&amp;" + "&amp;P12&amp;" + "&amp;R12&amp;", "&amp;G12&amp;", "&amp;H12&amp;");"&amp;CHAR(10)&amp;"    }"&amp;CHAR(10)&amp;"  }","ERROR")),""))))</f>
        <v/>
      </c>
      <c r="C12" s="28" t="s">
        <v>139</v>
      </c>
      <c r="D12" s="28"/>
      <c r="E12" s="36" t="s">
        <v>380</v>
      </c>
      <c r="F12" s="35"/>
      <c r="G12" s="35"/>
      <c r="H12" s="35"/>
      <c r="I12" s="35">
        <f>COUNTA(LogManager.Initialize!C:C)-COUNTIF(LogManager.Initialize!C:C,"#")</f>
        <v>74</v>
      </c>
      <c r="J12" s="35" t="str">
        <f>IF(OR(C12="P",C12="S"),IF(L12="",1,IF(L12=1,N12,IF(L12=2,N12&amp;" * "&amp;Q12,"ERROR"))),"")</f>
        <v/>
      </c>
    </row>
    <row r="13" spans="1:11" s="36" customFormat="1" ht="15" customHeight="1" x14ac:dyDescent="0.25">
      <c r="A13" s="33" t="str">
        <f>IF(C13="","",IF(C13="C",CHAR(10) &amp; "// " &amp; E13,IF(C13="I","#define " &amp; E13 &amp; " " &amp; I13,IF(C13="P","#define " &amp; E13 &amp; " """ &amp; F13 &amp; """" &amp; CHAR(10) &amp; "#define DEFAULT_" &amp; E13 &amp; " " &amp; I13,IF(C13="S","","ERROR")))))</f>
        <v>#define SETTINGS_MANAGER_INT_HASH_SIZE 1</v>
      </c>
      <c r="B13" s="33" t="str">
        <f>IF(C13="","",IF(C13="C","  // "&amp;E13,IF(C13="P",IF(D13="E","  Environment.",IF(D13="S","  Simulation.","ERROR"))&amp;"SetSetting("&amp;E13&amp;", "&amp;G13&amp;", "&amp;H13&amp;");",IF(C13="S",
IF(L13=1,"  for (int i = 0; i &lt; "&amp;N13&amp;"; i++) {"&amp;CHAR(10)&amp;IF(D13="E","    Environment.",IF(D13="S","    Simulation.","ERROR"))&amp;"SetSetting("&amp;M13&amp;" + "&amp;O13&amp;", "&amp;G13&amp;", "&amp;H13&amp;");"&amp;CHAR(10)&amp;"  }",
IF(L13=2,"  for (int i = 0; i &lt; "&amp;N13&amp;"; i++) {"&amp;CHAR(10)&amp;"    for (int j = 0; j &lt; "&amp;Q13&amp;"; j++) {"&amp;CHAR(10)&amp;IF(D13="E","      Environment.",IF(D13="S","      Simulation.","ERROR"))&amp;"SetSetting("&amp;M13&amp;" + "&amp;O13&amp;" + "&amp;P13&amp;" + "&amp;R13&amp;", "&amp;G13&amp;", "&amp;H13&amp;");"&amp;CHAR(10)&amp;"    }"&amp;CHAR(10)&amp;"  }","ERROR")),""))))</f>
        <v/>
      </c>
      <c r="C13" s="28" t="s">
        <v>139</v>
      </c>
      <c r="D13" s="28"/>
      <c r="E13" s="36" t="s">
        <v>381</v>
      </c>
      <c r="F13" s="35"/>
      <c r="G13" s="35"/>
      <c r="H13" s="35"/>
      <c r="I13" s="35" t="str">
        <f>SUMIFS(J:J,G:G,"=Data_int",C:C,"=P")&amp;CONCATENATEIFS(C1:C506,"S",G1:G506,"Data_int",J1:J506)</f>
        <v>1</v>
      </c>
      <c r="J13" s="35" t="str">
        <f>IF(OR(C13="P",C13="S"),IF(L13="",1,IF(L13=1,N13,IF(L13=2,N13&amp;" * "&amp;Q13,"ERROR"))),"")</f>
        <v/>
      </c>
    </row>
    <row r="14" spans="1:11" s="36" customFormat="1" ht="15" customHeight="1" x14ac:dyDescent="0.25">
      <c r="A14" s="33" t="str">
        <f t="shared" ref="A14:A19" si="0">IF(C14="","",IF(C14="C",CHAR(10) &amp; "// " &amp; E14,IF(C14="I","#define " &amp; E14 &amp; " " &amp; I14,IF(C14="P","#define " &amp; E14 &amp; " """ &amp; F14 &amp; """" &amp; CHAR(10) &amp; "#define DEFAULT_" &amp; E14 &amp; " " &amp; I14,IF(C14="S","","ERROR")))))</f>
        <v>#define SETTINGS_MANAGER_FLOAT_HASH_SIZE 0</v>
      </c>
      <c r="B14" s="33" t="str">
        <f t="shared" ref="B14:B19" si="1">IF(C14="","",IF(C14="C","  // "&amp;E14,IF(C14="P",IF(D14="E","  Environment.",IF(D14="S","  Simulation.","ERROR"))&amp;"SetSetting("&amp;E14&amp;", "&amp;G14&amp;", "&amp;H14&amp;");",IF(C14="S",
IF(L14=1,"  for (int i = 0; i &lt; "&amp;N14&amp;"; i++) {"&amp;CHAR(10)&amp;IF(D14="E","    Environment.",IF(D14="S","    Simulation.","ERROR"))&amp;"SetSetting("&amp;M14&amp;" + "&amp;O14&amp;", "&amp;G14&amp;", "&amp;H14&amp;");"&amp;CHAR(10)&amp;"  }",
IF(L14=2,"  for (int i = 0; i &lt; "&amp;N14&amp;"; i++) {"&amp;CHAR(10)&amp;"    for (int j = 0; j &lt; "&amp;Q14&amp;"; j++) {"&amp;CHAR(10)&amp;IF(D14="E","      Environment.",IF(D14="S","      Simulation.","ERROR"))&amp;"SetSetting("&amp;M14&amp;" + "&amp;O14&amp;" + "&amp;P14&amp;" + "&amp;R14&amp;", "&amp;G14&amp;", "&amp;H14&amp;");"&amp;CHAR(10)&amp;"    }"&amp;CHAR(10)&amp;"  }","ERROR")),""))))</f>
        <v/>
      </c>
      <c r="C14" s="28" t="s">
        <v>139</v>
      </c>
      <c r="D14" s="28"/>
      <c r="E14" s="36" t="s">
        <v>385</v>
      </c>
      <c r="F14" s="35"/>
      <c r="G14" s="35"/>
      <c r="H14" s="35"/>
      <c r="I14" s="35" t="str">
        <f>SUMIFS(J:J,G:G,"=Data_float",C:C,"=P")&amp;CONCATENATEIFS(C1:C506,"S",G1:G506,"Data_float",J1:J506)</f>
        <v>0</v>
      </c>
      <c r="J14" s="35"/>
    </row>
    <row r="15" spans="1:11" s="36" customFormat="1" ht="15" customHeight="1" x14ac:dyDescent="0.25">
      <c r="A15" s="33" t="str">
        <f t="shared" si="0"/>
        <v>#define SETTINGS_MANAGER_DOUBLE_HASH_SIZE 18 + MAX_V1_NEURONS + MAX_MT_NEURONS + MAX_V1_NEURONS * MAX_V1_NEURONS</v>
      </c>
      <c r="B15" s="33" t="str">
        <f t="shared" si="1"/>
        <v/>
      </c>
      <c r="C15" s="28" t="s">
        <v>139</v>
      </c>
      <c r="D15" s="28"/>
      <c r="E15" s="36" t="s">
        <v>384</v>
      </c>
      <c r="F15" s="35"/>
      <c r="G15" s="35"/>
      <c r="H15" s="35"/>
      <c r="I15" s="35" t="str">
        <f>SUMIFS(J:J,G:G,"=Data_double",C:C,"=P")&amp;CONCATENATEIFS(C1:C506,"S",G1:G506,"Data_double",J1:J506)</f>
        <v>18 + MAX_V1_NEURONS + MAX_MT_NEURONS + MAX_V1_NEURONS * MAX_V1_NEURONS</v>
      </c>
      <c r="J15" s="35"/>
    </row>
    <row r="16" spans="1:11" s="36" customFormat="1" ht="15" customHeight="1" x14ac:dyDescent="0.25">
      <c r="A16" s="33" t="str">
        <f t="shared" si="0"/>
        <v>#define SETTINGS_MANAGER_STRING_HASH_SIZE 10</v>
      </c>
      <c r="B16" s="33" t="str">
        <f t="shared" si="1"/>
        <v/>
      </c>
      <c r="C16" s="28" t="s">
        <v>139</v>
      </c>
      <c r="D16" s="28"/>
      <c r="E16" s="36" t="s">
        <v>386</v>
      </c>
      <c r="F16" s="35"/>
      <c r="G16" s="35"/>
      <c r="H16" s="35"/>
      <c r="I16" s="35" t="str">
        <f>SUMIFS(J:J,G:G,"=Data_string",C:C,"=P")&amp;CONCATENATEIFS(C1:C506,"S",G1:G506,"Data_string",J1:J506)</f>
        <v>10</v>
      </c>
      <c r="J16" s="35"/>
    </row>
    <row r="17" spans="1:15" s="36" customFormat="1" ht="15" customHeight="1" x14ac:dyDescent="0.25">
      <c r="A17" s="33" t="str">
        <f t="shared" si="0"/>
        <v>#define SETTINGS_MANAGER_BOOL_HASH_SIZE 1</v>
      </c>
      <c r="B17" s="33" t="str">
        <f t="shared" si="1"/>
        <v/>
      </c>
      <c r="C17" s="28" t="s">
        <v>139</v>
      </c>
      <c r="D17" s="28"/>
      <c r="E17" s="36" t="s">
        <v>387</v>
      </c>
      <c r="F17" s="35"/>
      <c r="G17" s="35"/>
      <c r="H17" s="35"/>
      <c r="I17" s="35" t="str">
        <f>SUMIFS(J:J,G:G,"=Data_bool",C:C,"=P")&amp;CONCATENATEIFS(C1:C506,"S",G1:G506,"Data_bool",J1:J506)</f>
        <v>1</v>
      </c>
      <c r="J17" s="35"/>
    </row>
    <row r="18" spans="1:15" s="36" customFormat="1" ht="15" customHeight="1" x14ac:dyDescent="0.25">
      <c r="A18" s="33" t="str">
        <f t="shared" ref="A18" si="2">IF(C18="","",IF(C18="C",CHAR(10) &amp; "// " &amp; E18,IF(C18="I","#define " &amp; E18 &amp; " " &amp; I18,IF(C18="P","#define " &amp; E18 &amp; " """ &amp; F18 &amp; """" &amp; CHAR(10) &amp; "#define DEFAULT_" &amp; E18 &amp; " " &amp; I18,IF(C18="S","","ERROR")))))</f>
        <v>#define SETTINGS_MANAGER_SETTINGTYPE_HASH_SIZE SETTINGS_MANAGER_INT_HASH_SIZE + SETTINGS_MANAGER_FLOAT_HASH_SIZE + SETTINGS_MANAGER_DOUBLE_HASH_SIZE + SETTINGS_MANAGER_STRING_HASH_SIZE + SETTINGS_MANAGER_BOOL_HASH_SIZE</v>
      </c>
      <c r="B18" s="33" t="str">
        <f t="shared" ref="B18" si="3">IF(C18="","",IF(C18="C","  // "&amp;E18,IF(C18="P",IF(D18="E","  Environment.",IF(D18="S","  Simulation.","ERROR"))&amp;"SetSetting("&amp;E18&amp;", "&amp;G18&amp;", "&amp;H18&amp;");",IF(C18="S",
IF(L18=1,"  for (int i = 0; i &lt; "&amp;N18&amp;"; i++) {"&amp;CHAR(10)&amp;IF(D18="E","    Environment.",IF(D18="S","    Simulation.","ERROR"))&amp;"SetSetting("&amp;M18&amp;" + "&amp;O18&amp;", "&amp;G18&amp;", "&amp;H18&amp;");"&amp;CHAR(10)&amp;"  }",
IF(L18=2,"  for (int i = 0; i &lt; "&amp;N18&amp;"; i++) {"&amp;CHAR(10)&amp;"    for (int j = 0; j &lt; "&amp;Q18&amp;"; j++) {"&amp;CHAR(10)&amp;IF(D18="E","      Environment.",IF(D18="S","      Simulation.","ERROR"))&amp;"SetSetting("&amp;M18&amp;" + "&amp;O18&amp;" + "&amp;P18&amp;" + "&amp;R18&amp;", "&amp;G18&amp;", "&amp;H18&amp;");"&amp;CHAR(10)&amp;"    }"&amp;CHAR(10)&amp;"  }","ERROR")),""))))</f>
        <v/>
      </c>
      <c r="C18" s="28" t="s">
        <v>139</v>
      </c>
      <c r="D18" s="28"/>
      <c r="E18" s="36" t="s">
        <v>389</v>
      </c>
      <c r="F18" s="35"/>
      <c r="G18" s="35"/>
      <c r="H18" s="35"/>
      <c r="I18" s="35" t="str">
        <f>CONCATENATEDELIMETER(E13:E17," + ")</f>
        <v>SETTINGS_MANAGER_INT_HASH_SIZE + SETTINGS_MANAGER_FLOAT_HASH_SIZE + SETTINGS_MANAGER_DOUBLE_HASH_SIZE + SETTINGS_MANAGER_STRING_HASH_SIZE + SETTINGS_MANAGER_BOOL_HASH_SIZE</v>
      </c>
      <c r="J18" s="35"/>
    </row>
    <row r="19" spans="1:15" s="36" customFormat="1" ht="15" customHeight="1" x14ac:dyDescent="0.25">
      <c r="A19" s="33" t="str">
        <f t="shared" si="0"/>
        <v>#define SETTINGS_MANAGER_SETTINGSIZE_HASH_SIZE SETTINGS_MANAGER_INT_HASH_SIZE + SETTINGS_MANAGER_FLOAT_HASH_SIZE + SETTINGS_MANAGER_DOUBLE_HASH_SIZE + SETTINGS_MANAGER_STRING_HASH_SIZE + SETTINGS_MANAGER_BOOL_HASH_SIZE</v>
      </c>
      <c r="B19" s="33" t="str">
        <f t="shared" si="1"/>
        <v/>
      </c>
      <c r="C19" s="28" t="s">
        <v>139</v>
      </c>
      <c r="D19" s="28"/>
      <c r="E19" s="36" t="s">
        <v>388</v>
      </c>
      <c r="F19" s="35"/>
      <c r="G19" s="35"/>
      <c r="H19" s="35"/>
      <c r="I19" s="35" t="str">
        <f>CONCATENATEDELIMETER(E13:E17," + ")</f>
        <v>SETTINGS_MANAGER_INT_HASH_SIZE + SETTINGS_MANAGER_FLOAT_HASH_SIZE + SETTINGS_MANAGER_DOUBLE_HASH_SIZE + SETTINGS_MANAGER_STRING_HASH_SIZE + SETTINGS_MANAGER_BOOL_HASH_SIZE</v>
      </c>
      <c r="J19" s="35"/>
    </row>
    <row r="20" spans="1:15" s="32" customFormat="1" ht="15" customHeight="1" x14ac:dyDescent="0.25">
      <c r="A20" s="29" t="str">
        <f>IF(C20="","",IF(C20="C",CHAR(10) &amp; "// " &amp; E20,IF(C20="I","#define " &amp; E20 &amp; " " &amp; I20,IF(C20="P","#define " &amp; E20 &amp; " """ &amp; F20 &amp; """" &amp; CHAR(10) &amp; "#define DEFAULT_" &amp; E20 &amp; " " &amp; I20,IF(C20="S","","ERROR")))))</f>
        <v xml:space="preserve">
// Default Log Verbose Behavior</v>
      </c>
      <c r="B20" s="29" t="str">
        <f>IF(C20="","",IF(C20="C","  // "&amp;E20,IF(C20="P",IF(D20="E","  Environment.",IF(D20="S","  Simulation.","ERROR"))&amp;"SetSetting("&amp;E20&amp;", "&amp;G20&amp;", "&amp;H20&amp;");",IF(C20="S",
IF(L20=1,"  for (int i = 0; i &lt; "&amp;N20&amp;"; i++) {"&amp;CHAR(10)&amp;IF(D20="E","    Environment.",IF(D20="S","    Simulation.","ERROR"))&amp;"SetSetting("&amp;M20&amp;" + "&amp;O20&amp;", "&amp;G20&amp;", "&amp;H20&amp;");"&amp;CHAR(10)&amp;"  }",
IF(L20=2,"  for (int i = 0; i &lt; "&amp;N20&amp;"; i++) {"&amp;CHAR(10)&amp;"    for (int j = 0; j &lt; "&amp;Q20&amp;"; j++) {"&amp;CHAR(10)&amp;IF(D20="E","      Environment.",IF(D20="S","      Simulation.","ERROR"))&amp;"SetSetting("&amp;M20&amp;" + "&amp;O20&amp;" + "&amp;P20&amp;" + "&amp;R20&amp;", "&amp;G20&amp;", "&amp;H20&amp;");"&amp;CHAR(10)&amp;"    }"&amp;CHAR(10)&amp;"  }","ERROR")),""))))</f>
        <v xml:space="preserve">  // Default Log Verbose Behavior</v>
      </c>
      <c r="C20" s="30" t="s">
        <v>152</v>
      </c>
      <c r="D20" s="30"/>
      <c r="E20" s="32" t="s">
        <v>327</v>
      </c>
      <c r="F20" s="31"/>
      <c r="G20" s="31"/>
      <c r="H20" s="31"/>
      <c r="I20" s="31"/>
      <c r="J20" s="31" t="str">
        <f>IF(OR(C20="P",C20="S"),IF(L20="",1,IF(L20=1,N20,IF(L20=2,N20&amp;" * "&amp;Q20,"ERROR"))),"")</f>
        <v/>
      </c>
    </row>
    <row r="21" spans="1:15" ht="15" customHeight="1" x14ac:dyDescent="0.25">
      <c r="A21" s="25" t="str">
        <f>IF(C21="","",IF(C21="C",CHAR(10) &amp; "// " &amp; E21,IF(C21="I","#define " &amp; E21 &amp; " " &amp; I21,IF(C21="P","#define " &amp; E21 &amp; " """ &amp; F21 &amp; """" &amp; CHAR(10) &amp; "#define DEFAULT_" &amp; E21 &amp; " " &amp; I21,IF(C21="S","","ERROR")))))</f>
        <v>#define DEFAULT_MESSAGES true</v>
      </c>
      <c r="B21" s="25" t="str">
        <f>IF(C21="","",IF(C21="C","  // "&amp;E21,IF(C21="P",IF(D21="E","  Environment.",IF(D21="S","  Simulation.","ERROR"))&amp;"SetSetting("&amp;E21&amp;", "&amp;G21&amp;", "&amp;H21&amp;");",IF(C21="S",
IF(L21=1,"  for (int i = 0; i &lt; "&amp;N21&amp;"; i++) {"&amp;CHAR(10)&amp;IF(D21="E","    Environment.",IF(D21="S","    Simulation.","ERROR"))&amp;"SetSetting("&amp;M21&amp;" + "&amp;O21&amp;", "&amp;G21&amp;", "&amp;H21&amp;");"&amp;CHAR(10)&amp;"  }",
IF(L21=2,"  for (int i = 0; i &lt; "&amp;N21&amp;"; i++) {"&amp;CHAR(10)&amp;"    for (int j = 0; j &lt; "&amp;Q21&amp;"; j++) {"&amp;CHAR(10)&amp;IF(D21="E","      Environment.",IF(D21="S","      Simulation.","ERROR"))&amp;"SetSetting("&amp;M21&amp;" + "&amp;O21&amp;" + "&amp;P21&amp;" + "&amp;R21&amp;", "&amp;G21&amp;", "&amp;H21&amp;");"&amp;CHAR(10)&amp;"    }"&amp;CHAR(10)&amp;"  }","ERROR")),""))))</f>
        <v/>
      </c>
      <c r="C21" s="1" t="s">
        <v>139</v>
      </c>
      <c r="E21" t="s">
        <v>158</v>
      </c>
      <c r="I21" s="39" t="s">
        <v>160</v>
      </c>
      <c r="J21" s="39" t="str">
        <f>IF(OR(C21="P",C21="S"),IF(L21="",1,IF(L21=1,N21,IF(L21=2,N21&amp;" * "&amp;Q21,"ERROR"))),"")</f>
        <v/>
      </c>
      <c r="K21" t="s">
        <v>164</v>
      </c>
    </row>
    <row r="22" spans="1:15" ht="15" customHeight="1" x14ac:dyDescent="0.25">
      <c r="A22" s="25" t="str">
        <f>IF(C22="","",IF(C22="C",CHAR(10) &amp; "// " &amp; E22,IF(C22="I","#define " &amp; E22 &amp; " " &amp; I22,IF(C22="P","#define " &amp; E22 &amp; " """ &amp; F22 &amp; """" &amp; CHAR(10) &amp; "#define DEFAULT_" &amp; E22 &amp; " " &amp; I22,IF(C22="S","","ERROR")))))</f>
        <v>#define DEFAULT_SILENT_OUTPUT false</v>
      </c>
      <c r="B22" s="25" t="str">
        <f>IF(C22="","",IF(C22="C","  // "&amp;E22,IF(C22="P",IF(D22="E","  Environment.",IF(D22="S","  Simulation.","ERROR"))&amp;"SetSetting("&amp;E22&amp;", "&amp;G22&amp;", "&amp;H22&amp;");",IF(C22="S",
IF(L22=1,"  for (int i = 0; i &lt; "&amp;N22&amp;"; i++) {"&amp;CHAR(10)&amp;IF(D22="E","    Environment.",IF(D22="S","    Simulation.","ERROR"))&amp;"SetSetting("&amp;M22&amp;" + "&amp;O22&amp;", "&amp;G22&amp;", "&amp;H22&amp;");"&amp;CHAR(10)&amp;"  }",
IF(L22=2,"  for (int i = 0; i &lt; "&amp;N22&amp;"; i++) {"&amp;CHAR(10)&amp;"    for (int j = 0; j &lt; "&amp;Q22&amp;"; j++) {"&amp;CHAR(10)&amp;IF(D22="E","      Environment.",IF(D22="S","      Simulation.","ERROR"))&amp;"SetSetting("&amp;M22&amp;" + "&amp;O22&amp;" + "&amp;P22&amp;" + "&amp;R22&amp;", "&amp;G22&amp;", "&amp;H22&amp;");"&amp;CHAR(10)&amp;"    }"&amp;CHAR(10)&amp;"  }","ERROR")),""))))</f>
        <v/>
      </c>
      <c r="C22" s="1" t="s">
        <v>139</v>
      </c>
      <c r="E22" t="s">
        <v>159</v>
      </c>
      <c r="I22" s="39" t="s">
        <v>161</v>
      </c>
      <c r="J22" s="39" t="str">
        <f>IF(OR(C22="P",C22="S"),IF(L22="",1,IF(L22=1,N22,IF(L22=2,N22&amp;" * "&amp;Q22,"ERROR"))),"")</f>
        <v/>
      </c>
      <c r="K22" t="s">
        <v>165</v>
      </c>
    </row>
    <row r="23" spans="1:15" s="32" customFormat="1" ht="15" customHeight="1" x14ac:dyDescent="0.25">
      <c r="A23" s="29" t="str">
        <f>IF(C23="","",IF(C23="C",CHAR(10) &amp; "// " &amp; E23,IF(C23="I","#define " &amp; E23 &amp; " " &amp; I23,IF(C23="P","#define " &amp; E23 &amp; " """ &amp; F23 &amp; """" &amp; CHAR(10) &amp; "#define DEFAULT_" &amp; E23 &amp; " " &amp; I23,IF(C23="S","","ERROR")))))</f>
        <v xml:space="preserve">
// Environment Variables</v>
      </c>
      <c r="B23" s="29" t="str">
        <f>IF(C23="","",IF(C23="C","  // "&amp;E23,IF(C23="P",IF(D23="E","  Environment.",IF(D23="S","  Simulation.","ERROR"))&amp;"SetSetting("&amp;E23&amp;", "&amp;G23&amp;", "&amp;H23&amp;");",IF(C23="S",
IF(L23=1,"  for (int i = 0; i &lt; "&amp;N23&amp;"; i++) {"&amp;CHAR(10)&amp;IF(D23="E","    Environment.",IF(D23="S","    Simulation.","ERROR"))&amp;"SetSetting("&amp;M23&amp;" + "&amp;O23&amp;", "&amp;G23&amp;", "&amp;H23&amp;");"&amp;CHAR(10)&amp;"  }",
IF(L23=2,"  for (int i = 0; i &lt; "&amp;N23&amp;"; i++) {"&amp;CHAR(10)&amp;"    for (int j = 0; j &lt; "&amp;Q23&amp;"; j++) {"&amp;CHAR(10)&amp;IF(D23="E","      Environment.",IF(D23="S","      Simulation.","ERROR"))&amp;"SetSetting("&amp;M23&amp;" + "&amp;O23&amp;" + "&amp;P23&amp;" + "&amp;R23&amp;", "&amp;G23&amp;", "&amp;H23&amp;");"&amp;CHAR(10)&amp;"    }"&amp;CHAR(10)&amp;"  }","ERROR")),""))))</f>
        <v xml:space="preserve">  // Environment Variables</v>
      </c>
      <c r="C23" s="30" t="s">
        <v>152</v>
      </c>
      <c r="D23" s="30"/>
      <c r="E23" s="32" t="s">
        <v>163</v>
      </c>
      <c r="F23" s="31"/>
      <c r="G23" s="31"/>
      <c r="H23" s="31"/>
      <c r="I23" s="31"/>
      <c r="J23" s="31" t="str">
        <f>IF(OR(C23="P",C23="S"),IF(L23="",1,IF(L23=1,N23,IF(L23=2,N23&amp;" * "&amp;Q23,"ERROR"))),"")</f>
        <v/>
      </c>
    </row>
    <row r="24" spans="1:15" ht="15" customHeight="1" x14ac:dyDescent="0.25">
      <c r="A24" s="25" t="str">
        <f>IF(C24="","",IF(C24="C",CHAR(10) &amp; "// " &amp; E24,IF(C24="I","#define " &amp; E24 &amp; " " &amp; I24,IF(C24="P","#define " &amp; E24 &amp; " """ &amp; F24 &amp; """" &amp; CHAR(10) &amp; "#define DEFAULT_" &amp; E24 &amp; " " &amp; I24,IF(C24="S","","ERROR")))))</f>
        <v>#define HIDE_END "hide_end"
#define DEFAULT_HIDE_END false</v>
      </c>
      <c r="B24" s="25" t="str">
        <f>IF(C24="","",IF(C24="C","  // "&amp;E24,IF(C24="P",IF(D24="E","  Environment.",IF(D24="S","  Simulation.","ERROR"))&amp;"SetSetting("&amp;E24&amp;", "&amp;G24&amp;", "&amp;H24&amp;");",IF(C24="S",
IF(L24=1,"  for (int i = 0; i &lt; "&amp;N24&amp;"; i++) {"&amp;CHAR(10)&amp;IF(D24="E","    Environment.",IF(D24="S","    Simulation.","ERROR"))&amp;"SetSetting("&amp;M24&amp;" + "&amp;O24&amp;", "&amp;G24&amp;", "&amp;H24&amp;");"&amp;CHAR(10)&amp;"  }",
IF(L24=2,"  for (int i = 0; i &lt; "&amp;N24&amp;"; i++) {"&amp;CHAR(10)&amp;"    for (int j = 0; j &lt; "&amp;Q24&amp;"; j++) {"&amp;CHAR(10)&amp;IF(D24="E","      Environment.",IF(D24="S","      Simulation.","ERROR"))&amp;"SetSetting("&amp;M24&amp;" + "&amp;O24&amp;" + "&amp;P24&amp;" + "&amp;R24&amp;", "&amp;G24&amp;", "&amp;H24&amp;");"&amp;CHAR(10)&amp;"    }"&amp;CHAR(10)&amp;"  }","ERROR")),""))))</f>
        <v xml:space="preserve">  Environment.SetSetting(HIDE_END, Data_bool, 1);</v>
      </c>
      <c r="C24" s="1" t="s">
        <v>166</v>
      </c>
      <c r="D24" s="1" t="s">
        <v>269</v>
      </c>
      <c r="E24" s="38" t="s">
        <v>288</v>
      </c>
      <c r="F24" s="13" t="s">
        <v>289</v>
      </c>
      <c r="G24" s="13" t="s">
        <v>167</v>
      </c>
      <c r="H24" s="13">
        <v>1</v>
      </c>
      <c r="I24" s="39" t="s">
        <v>161</v>
      </c>
      <c r="J24" s="39">
        <f>IF(OR(C24="P",C24="S"),IF(L24="",1,IF(L24=1,N24,IF(L24=2,N24&amp;" * "&amp;Q24,"ERROR"))),"")</f>
        <v>1</v>
      </c>
      <c r="K24" s="13" t="s">
        <v>290</v>
      </c>
    </row>
    <row r="25" spans="1:15" ht="15" customHeight="1" x14ac:dyDescent="0.25">
      <c r="A25" s="25" t="str">
        <f>IF(C25="","",IF(C25="C",CHAR(10) &amp; "// " &amp; E25,IF(C25="I","#define " &amp; E25 &amp; " " &amp; I25,IF(C25="P","#define " &amp; E25 &amp; " """ &amp; F25 &amp; """" &amp; CHAR(10) &amp; "#define DEFAULT_" &amp; E25 &amp; " " &amp; I25,IF(C25="S","","ERROR")))))</f>
        <v>#define NEURONS_NAME_SIZE 6</v>
      </c>
      <c r="B25" s="25" t="str">
        <f>IF(C25="","",IF(C25="C","  // "&amp;E25,IF(C25="P",IF(D25="E","  Environment.",IF(D25="S","  Simulation.","ERROR"))&amp;"SetSetting("&amp;E25&amp;", "&amp;G25&amp;", "&amp;H25&amp;");",IF(C25="S",
IF(L25=1,"  for (int i = 0; i &lt; "&amp;N25&amp;"; i++) {"&amp;CHAR(10)&amp;IF(D25="E","    Environment.",IF(D25="S","    Simulation.","ERROR"))&amp;"SetSetting("&amp;M25&amp;" + "&amp;O25&amp;", "&amp;G25&amp;", "&amp;H25&amp;");"&amp;CHAR(10)&amp;"  }",
IF(L25=2,"  for (int i = 0; i &lt; "&amp;N25&amp;"; i++) {"&amp;CHAR(10)&amp;"    for (int j = 0; j &lt; "&amp;Q25&amp;"; j++) {"&amp;CHAR(10)&amp;IF(D25="E","      Environment.",IF(D25="S","      Simulation.","ERROR"))&amp;"SetSetting("&amp;M25&amp;" + "&amp;O25&amp;" + "&amp;P25&amp;" + "&amp;R25&amp;", "&amp;G25&amp;", "&amp;H25&amp;");"&amp;CHAR(10)&amp;"    }"&amp;CHAR(10)&amp;"  }","ERROR")),""))))</f>
        <v/>
      </c>
      <c r="C25" s="1" t="s">
        <v>139</v>
      </c>
      <c r="E25" s="38" t="s">
        <v>274</v>
      </c>
      <c r="I25" s="13">
        <v>6</v>
      </c>
      <c r="J25" s="13" t="str">
        <f>IF(OR(C25="P",C25="S"),IF(L25="",1,IF(L25=1,N25,IF(L25=2,N25&amp;" * "&amp;Q25,"ERROR"))),"")</f>
        <v/>
      </c>
      <c r="K25" t="s">
        <v>173</v>
      </c>
    </row>
    <row r="26" spans="1:15" s="48" customFormat="1" ht="15" customHeight="1" x14ac:dyDescent="0.25">
      <c r="A26" s="44"/>
      <c r="B26" s="44"/>
      <c r="C26" s="45" t="s">
        <v>141</v>
      </c>
      <c r="D26" s="45"/>
      <c r="E26" s="46" t="s">
        <v>305</v>
      </c>
      <c r="F26" s="47"/>
      <c r="G26" s="47"/>
      <c r="H26" s="47"/>
      <c r="I26" s="47"/>
      <c r="J26" s="47" t="str">
        <f>IF(OR(C26="P",C26="S"),IF(L26="",1,IF(L26=1,N26,IF(L26=2,N26&amp;" * "&amp;Q26,"ERROR"))),"")</f>
        <v/>
      </c>
    </row>
    <row r="27" spans="1:15" s="60" customFormat="1" ht="15" customHeight="1" x14ac:dyDescent="0.25">
      <c r="A27" s="58" t="str">
        <f>IF(C27="","",IF(C27="C",CHAR(10) &amp; "// " &amp; E27,IF(C27="I","#define " &amp; E27 &amp; " " &amp; I27,IF(C27="P","#define " &amp; E27 &amp; " """ &amp; F27 &amp; """" &amp; CHAR(10) &amp; "#define DEFAULT_" &amp; E27 &amp; " " &amp; I27,IF(C27="S","","ERROR")))))</f>
        <v xml:space="preserve">
// V1 Neuron Settings</v>
      </c>
      <c r="B27" s="58" t="str">
        <f>IF(C27="","",IF(C27="C","  // "&amp;E27,IF(C27="P",IF(D27="E","  Environment.",IF(D27="S","  Simulation.","ERROR"))&amp;"SetSetting("&amp;E27&amp;", "&amp;G27&amp;", "&amp;H27&amp;");",IF(C27="S",
IF(L27=1,"  for (int i = 0; i &lt; "&amp;N27&amp;"; i++) {"&amp;CHAR(10)&amp;IF(D27="E","    Environment.",IF(D27="S","    Simulation.","ERROR"))&amp;"SetSetting("&amp;M27&amp;" + "&amp;O27&amp;", "&amp;G27&amp;", "&amp;H27&amp;");"&amp;CHAR(10)&amp;"  }",
IF(L27=2,"  for (int i = 0; i &lt; "&amp;N27&amp;"; i++) {"&amp;CHAR(10)&amp;"    for (int j = 0; j &lt; "&amp;Q27&amp;"; j++) {"&amp;CHAR(10)&amp;IF(D27="E","      Environment.",IF(D27="S","      Simulation.","ERROR"))&amp;"SetSetting("&amp;M27&amp;" + "&amp;O27&amp;" + "&amp;P27&amp;" + "&amp;R27&amp;", "&amp;G27&amp;", "&amp;H27&amp;");"&amp;CHAR(10)&amp;"    }"&amp;CHAR(10)&amp;"  }","ERROR")),""))))</f>
        <v xml:space="preserve">  // V1 Neuron Settings</v>
      </c>
      <c r="C27" s="59" t="s">
        <v>152</v>
      </c>
      <c r="D27" s="59"/>
      <c r="E27" s="60" t="s">
        <v>340</v>
      </c>
      <c r="F27" s="61"/>
      <c r="G27" s="61"/>
      <c r="H27" s="61"/>
      <c r="I27" s="61"/>
      <c r="J27" s="61" t="str">
        <f>IF(OR(C27="P",C27="S"),IF(L27="",1,IF(L27=1,N27,IF(L27=2,N27&amp;" * "&amp;Q27,"ERROR"))),"")</f>
        <v/>
      </c>
    </row>
    <row r="28" spans="1:15" s="32" customFormat="1" ht="15" customHeight="1" x14ac:dyDescent="0.25">
      <c r="A28" s="29" t="str">
        <f>IF(C28="","",IF(C28="C",CHAR(10) &amp; "// " &amp; E28,IF(C28="I","#define " &amp; E28 &amp; " " &amp; I28,IF(C28="P","#define " &amp; E28 &amp; " """ &amp; F28 &amp; """" &amp; CHAR(10) &amp; "#define DEFAULT_" &amp; E28 &amp; " " &amp; I28,IF(C28="S","","ERROR")))))</f>
        <v xml:space="preserve">
// V1 Neuron Parameters</v>
      </c>
      <c r="B28" s="29" t="str">
        <f>IF(C28="","",IF(C28="C","  // "&amp;E28,IF(C28="P",IF(D28="E","  Environment.",IF(D28="S","  Simulation.","ERROR"))&amp;"SetSetting("&amp;E28&amp;", "&amp;G28&amp;", "&amp;H28&amp;");",IF(C28="S",
IF(L28=1,"  for (int i = 0; i &lt; "&amp;N28&amp;"; i++) {"&amp;CHAR(10)&amp;IF(D28="E","    Environment.",IF(D28="S","    Simulation.","ERROR"))&amp;"SetSetting("&amp;M28&amp;" + "&amp;O28&amp;", "&amp;G28&amp;", "&amp;H28&amp;");"&amp;CHAR(10)&amp;"  }",
IF(L28=2,"  for (int i = 0; i &lt; "&amp;N28&amp;"; i++) {"&amp;CHAR(10)&amp;"    for (int j = 0; j &lt; "&amp;Q28&amp;"; j++) {"&amp;CHAR(10)&amp;IF(D28="E","      Environment.",IF(D28="S","      Simulation.","ERROR"))&amp;"SetSetting("&amp;M28&amp;" + "&amp;O28&amp;" + "&amp;P28&amp;" + "&amp;R28&amp;", "&amp;G28&amp;", "&amp;H28&amp;");"&amp;CHAR(10)&amp;"    }"&amp;CHAR(10)&amp;"  }","ERROR")),""))))</f>
        <v xml:space="preserve">  // V1 Neuron Parameters</v>
      </c>
      <c r="C28" s="30" t="s">
        <v>152</v>
      </c>
      <c r="D28" s="30"/>
      <c r="E28" s="32" t="s">
        <v>171</v>
      </c>
      <c r="F28" s="31"/>
      <c r="G28" s="31"/>
      <c r="H28" s="31"/>
      <c r="I28" s="31"/>
      <c r="J28" s="31" t="str">
        <f>IF(OR(C28="P",C28="S"),IF(L28="",1,IF(L28=1,N28,IF(L28=2,N28&amp;" * "&amp;Q28,"ERROR"))),"")</f>
        <v/>
      </c>
    </row>
    <row r="29" spans="1:15" s="36" customFormat="1" ht="15" customHeight="1" x14ac:dyDescent="0.25">
      <c r="A29" s="33" t="str">
        <f>IF(C29="","",IF(C29="C",CHAR(10) &amp; "// " &amp; E29,IF(C29="I","#define " &amp; E29 &amp; " " &amp; I29,IF(C29="P","#define " &amp; E29 &amp; " """ &amp; F29 &amp; """" &amp; CHAR(10) &amp; "#define DEFAULT_" &amp; E29 &amp; " " &amp; I29,IF(C29="S","","ERROR")))))</f>
        <v>#define V1_LABEL "V1"</v>
      </c>
      <c r="B29" s="33" t="str">
        <f>IF(C29="","",IF(C29="C","  // "&amp;E29,IF(C29="P",IF(D29="E","  Environment.",IF(D29="S","  Simulation.","ERROR"))&amp;"SetSetting("&amp;E29&amp;", "&amp;G29&amp;", "&amp;H29&amp;");",IF(C29="S",
IF(L29=1,"  for (int i = 0; i &lt; "&amp;N29&amp;"; i++) {"&amp;CHAR(10)&amp;IF(D29="E","    Environment.",IF(D29="S","    Simulation.","ERROR"))&amp;"SetSetting("&amp;M29&amp;" + "&amp;O29&amp;", "&amp;G29&amp;", "&amp;H29&amp;");"&amp;CHAR(10)&amp;"  }",
IF(L29=2,"  for (int i = 0; i &lt; "&amp;N29&amp;"; i++) {"&amp;CHAR(10)&amp;"    for (int j = 0; j &lt; "&amp;Q29&amp;"; j++) {"&amp;CHAR(10)&amp;IF(D29="E","      Environment.",IF(D29="S","      Simulation.","ERROR"))&amp;"SetSetting("&amp;M29&amp;" + "&amp;O29&amp;" + "&amp;P29&amp;" + "&amp;R29&amp;", "&amp;G29&amp;", "&amp;H29&amp;");"&amp;CHAR(10)&amp;"    }"&amp;CHAR(10)&amp;"  }","ERROR")),""))))</f>
        <v/>
      </c>
      <c r="C29" s="28" t="s">
        <v>139</v>
      </c>
      <c r="D29" s="28"/>
      <c r="E29" s="42" t="s">
        <v>270</v>
      </c>
      <c r="F29" s="35"/>
      <c r="G29" s="35"/>
      <c r="H29" s="35"/>
      <c r="I29" s="35" t="s">
        <v>271</v>
      </c>
      <c r="J29" s="35" t="str">
        <f>IF(OR(C29="P",C29="S"),IF(L29="",1,IF(L29=1,N29,IF(L29=2,N29&amp;" * "&amp;Q29,"ERROR"))),"")</f>
        <v/>
      </c>
    </row>
    <row r="30" spans="1:15" ht="15" customHeight="1" x14ac:dyDescent="0.25">
      <c r="A30" s="25" t="str">
        <f>IF(C30="","",IF(C30="C",CHAR(10) &amp; "// " &amp; E30,IF(C30="I","#define " &amp; E30 &amp; " " &amp; I30,IF(C30="P","#define " &amp; E30 &amp; " """ &amp; F30 &amp; """" &amp; CHAR(10) &amp; "#define DEFAULT_" &amp; E30 &amp; " " &amp; I30,IF(C30="S","","ERROR")))))</f>
        <v>#define MAX_V1_NEURONS 600</v>
      </c>
      <c r="B30" s="25" t="str">
        <f>IF(C30="","",IF(C30="C","  // "&amp;E30,IF(C30="P",IF(D30="E","  Environment.",IF(D30="S","  Simulation.","ERROR"))&amp;"SetSetting("&amp;E30&amp;", "&amp;G30&amp;", "&amp;H30&amp;");",IF(C30="S",
IF(L30=1,"  for (int i = 0; i &lt; "&amp;N30&amp;"; i++) {"&amp;CHAR(10)&amp;IF(D30="E","    Environment.",IF(D30="S","    Simulation.","ERROR"))&amp;"SetSetting("&amp;M30&amp;" + "&amp;O30&amp;", "&amp;G30&amp;", "&amp;H30&amp;");"&amp;CHAR(10)&amp;"  }",
IF(L30=2,"  for (int i = 0; i &lt; "&amp;N30&amp;"; i++) {"&amp;CHAR(10)&amp;"    for (int j = 0; j &lt; "&amp;Q30&amp;"; j++) {"&amp;CHAR(10)&amp;IF(D30="E","      Environment.",IF(D30="S","      Simulation.","ERROR"))&amp;"SetSetting("&amp;M30&amp;" + "&amp;O30&amp;" + "&amp;P30&amp;" + "&amp;R30&amp;", "&amp;G30&amp;", "&amp;H30&amp;");"&amp;CHAR(10)&amp;"    }"&amp;CHAR(10)&amp;"  }","ERROR")),""))))</f>
        <v/>
      </c>
      <c r="C30" s="1" t="s">
        <v>139</v>
      </c>
      <c r="E30" s="38" t="s">
        <v>172</v>
      </c>
      <c r="I30" s="13">
        <v>600</v>
      </c>
      <c r="J30" s="13" t="str">
        <f>IF(OR(C30="P",C30="S"),IF(L30="",1,IF(L30=1,N30,IF(L30=2,N30&amp;" * "&amp;Q30,"ERROR"))),"")</f>
        <v/>
      </c>
      <c r="K30" t="s">
        <v>330</v>
      </c>
    </row>
    <row r="31" spans="1:15" ht="15" customHeight="1" x14ac:dyDescent="0.25">
      <c r="A31" s="25" t="str">
        <f>IF(C31="","",IF(C31="C",CHAR(10) &amp; "// " &amp; E31,IF(C31="I","#define " &amp; E31 &amp; " " &amp; I31,IF(C31="P","#define " &amp; E31 &amp; " """ &amp; F31 &amp; """" &amp; CHAR(10) &amp; "#define DEFAULT_" &amp; E31 &amp; " " &amp; I31,IF(C31="S","","ERROR")))))</f>
        <v/>
      </c>
      <c r="B31" s="25" t="str">
        <f>IF(C31="","",IF(C31="C","  // "&amp;E31,IF(C31="P",IF(D31="E","  Environment.",IF(D31="S","  Simulation.","ERROR"))&amp;"SetSetting("&amp;E31&amp;", "&amp;G31&amp;", "&amp;H31&amp;");",IF(C31="S",
IF(L31=1,"  for (int i = 0; i &lt; "&amp;N31&amp;"; i++) {"&amp;CHAR(10)&amp;IF(D31="E","    Environment.",IF(D31="S","    Simulation.","ERROR"))&amp;"SetSetting("&amp;M31&amp;" + "&amp;O31&amp;", "&amp;G31&amp;", "&amp;H31&amp;");"&amp;CHAR(10)&amp;"  }",
IF(L31=2,"  for (int i = 0; i &lt; "&amp;N31&amp;"; i++) {"&amp;CHAR(10)&amp;"    for (int j = 0; j &lt; "&amp;Q31&amp;"; j++) {"&amp;CHAR(10)&amp;IF(D31="E","      Environment.",IF(D31="S","      Simulation.","ERROR"))&amp;"SetSetting("&amp;M31&amp;" + "&amp;O31&amp;" + "&amp;P31&amp;" + "&amp;R31&amp;", "&amp;G31&amp;", "&amp;H31&amp;");"&amp;CHAR(10)&amp;"    }"&amp;CHAR(10)&amp;"  }","ERROR")),""))))</f>
        <v xml:space="preserve">  for (int i = 0; i &lt; MAX_V1_NEURONS; i++) {
    Simulation.SetSetting(V1_LABEL + NNumber(i), Data_double, 8);
  }</v>
      </c>
      <c r="C31" s="1" t="s">
        <v>268</v>
      </c>
      <c r="D31" s="1" t="s">
        <v>268</v>
      </c>
      <c r="E31" s="38"/>
      <c r="G31" s="13" t="s">
        <v>186</v>
      </c>
      <c r="H31" s="13">
        <v>8</v>
      </c>
      <c r="J31" s="13" t="str">
        <f>IF(OR(C31="P",C31="S"),IF(L31="",1,IF(L31=1,N31,IF(L31=2,N31&amp;" * "&amp;Q31,"ERROR"))),"")</f>
        <v>MAX_V1_NEURONS</v>
      </c>
      <c r="L31">
        <v>1</v>
      </c>
      <c r="M31" t="s">
        <v>270</v>
      </c>
      <c r="N31" t="s">
        <v>172</v>
      </c>
      <c r="O31" t="s">
        <v>275</v>
      </c>
    </row>
    <row r="32" spans="1:15" ht="15" customHeight="1" x14ac:dyDescent="0.25">
      <c r="A32" s="25" t="str">
        <f>IF(C32="","",IF(C32="C",CHAR(10) &amp; "// " &amp; E32,IF(C32="I","#define " &amp; E32 &amp; " " &amp; I32,IF(C32="P","#define " &amp; E32 &amp; " """ &amp; F32 &amp; """" &amp; CHAR(10) &amp; "#define DEFAULT_" &amp; E32 &amp; " " &amp; I32,IF(C32="S","","ERROR")))))</f>
        <v>#define V1_FIRST_CALCULATION "V1_first_calculation"
#define DEFAULT_V1_FIRST_CALCULATION "none"</v>
      </c>
      <c r="B32" s="25" t="str">
        <f>IF(C32="","",IF(C32="C","  // "&amp;E32,IF(C32="P",IF(D32="E","  Environment.",IF(D32="S","  Simulation.","ERROR"))&amp;"SetSetting("&amp;E32&amp;", "&amp;G32&amp;", "&amp;H32&amp;");",IF(C32="S",
IF(L32=1,"  for (int i = 0; i &lt; "&amp;N32&amp;"; i++) {"&amp;CHAR(10)&amp;IF(D32="E","    Environment.",IF(D32="S","    Simulation.","ERROR"))&amp;"SetSetting("&amp;M32&amp;" + "&amp;O32&amp;", "&amp;G32&amp;", "&amp;H32&amp;");"&amp;CHAR(10)&amp;"  }",
IF(L32=2,"  for (int i = 0; i &lt; "&amp;N32&amp;"; i++) {"&amp;CHAR(10)&amp;"    for (int j = 0; j &lt; "&amp;Q32&amp;"; j++) {"&amp;CHAR(10)&amp;IF(D32="E","      Environment.",IF(D32="S","      Simulation.","ERROR"))&amp;"SetSetting("&amp;M32&amp;" + "&amp;O32&amp;" + "&amp;P32&amp;" + "&amp;R32&amp;", "&amp;G32&amp;", "&amp;H32&amp;");"&amp;CHAR(10)&amp;"    }"&amp;CHAR(10)&amp;"  }","ERROR")),""))))</f>
        <v xml:space="preserve">  Simulation.SetSetting(V1_FIRST_CALCULATION, Data_string, 1);</v>
      </c>
      <c r="C32" s="1" t="s">
        <v>166</v>
      </c>
      <c r="D32" s="1" t="s">
        <v>268</v>
      </c>
      <c r="E32" s="38" t="s">
        <v>364</v>
      </c>
      <c r="F32" s="13" t="s">
        <v>365</v>
      </c>
      <c r="G32" s="13" t="s">
        <v>176</v>
      </c>
      <c r="H32" s="13">
        <v>1</v>
      </c>
      <c r="I32" s="13" t="s">
        <v>177</v>
      </c>
      <c r="J32" s="13">
        <f>IF(OR(C32="P",C32="S"),IF(L32="",1,IF(L32=1,N32,IF(L32=2,N32&amp;" * "&amp;Q32,"ERROR"))),"")</f>
        <v>1</v>
      </c>
      <c r="K32" t="s">
        <v>366</v>
      </c>
    </row>
    <row r="33" spans="1:11" ht="15" customHeight="1" x14ac:dyDescent="0.25">
      <c r="A33" s="25" t="str">
        <f>IF(C33="","",IF(C33="C",CHAR(10) &amp; "// " &amp; E33,IF(C33="I","#define " &amp; E33 &amp; " " &amp; I33,IF(C33="P","#define " &amp; E33 &amp; " """ &amp; F33 &amp; """" &amp; CHAR(10) &amp; "#define DEFAULT_" &amp; E33 &amp; " " &amp; I33,IF(C33="S","","ERROR")))))</f>
        <v>#define V1_ACTIVATION_METHOD "V1_act_method"
#define DEFAULT_V1_ACTIVATION_METHOD "none"</v>
      </c>
      <c r="B33" s="25" t="str">
        <f>IF(C33="","",IF(C33="C","  // "&amp;E33,IF(C33="P",IF(D33="E","  Environment.",IF(D33="S","  Simulation.","ERROR"))&amp;"SetSetting("&amp;E33&amp;", "&amp;G33&amp;", "&amp;H33&amp;");",IF(C33="S",
IF(L33=1,"  for (int i = 0; i &lt; "&amp;N33&amp;"; i++) {"&amp;CHAR(10)&amp;IF(D33="E","    Environment.",IF(D33="S","    Simulation.","ERROR"))&amp;"SetSetting("&amp;M33&amp;" + "&amp;O33&amp;", "&amp;G33&amp;", "&amp;H33&amp;");"&amp;CHAR(10)&amp;"  }",
IF(L33=2,"  for (int i = 0; i &lt; "&amp;N33&amp;"; i++) {"&amp;CHAR(10)&amp;"    for (int j = 0; j &lt; "&amp;Q33&amp;"; j++) {"&amp;CHAR(10)&amp;IF(D33="E","      Environment.",IF(D33="S","      Simulation.","ERROR"))&amp;"SetSetting("&amp;M33&amp;" + "&amp;O33&amp;" + "&amp;P33&amp;" + "&amp;R33&amp;", "&amp;G33&amp;", "&amp;H33&amp;");"&amp;CHAR(10)&amp;"    }"&amp;CHAR(10)&amp;"  }","ERROR")),""))))</f>
        <v xml:space="preserve">  Simulation.SetSetting(V1_ACTIVATION_METHOD, Data_string, 1);</v>
      </c>
      <c r="C33" s="1" t="s">
        <v>166</v>
      </c>
      <c r="D33" s="1" t="s">
        <v>268</v>
      </c>
      <c r="E33" s="38" t="s">
        <v>174</v>
      </c>
      <c r="F33" s="13" t="s">
        <v>175</v>
      </c>
      <c r="G33" s="13" t="s">
        <v>176</v>
      </c>
      <c r="H33" s="13">
        <v>1</v>
      </c>
      <c r="I33" s="13" t="s">
        <v>177</v>
      </c>
      <c r="J33" s="13">
        <f>IF(OR(C33="P",C33="S"),IF(L33="",1,IF(L33=1,N33,IF(L33=2,N33&amp;" * "&amp;Q33,"ERROR"))),"")</f>
        <v>1</v>
      </c>
      <c r="K33" t="s">
        <v>181</v>
      </c>
    </row>
    <row r="34" spans="1:11" ht="15" customHeight="1" x14ac:dyDescent="0.25">
      <c r="A34" s="25" t="str">
        <f>IF(C34="","",IF(C34="C",CHAR(10) &amp; "// " &amp; E34,IF(C34="I","#define " &amp; E34 &amp; " " &amp; I34,IF(C34="P","#define " &amp; E34 &amp; " """ &amp; F34 &amp; """" &amp; CHAR(10) &amp; "#define DEFAULT_" &amp; E34 &amp; " " &amp; I34,IF(C34="S","","ERROR")))))</f>
        <v>#define V1_DACTIVATION_METHOD "V1_dac_method"
#define DEFAULT_V1_DACTIVATION_METHOD "none"</v>
      </c>
      <c r="B34" s="25" t="str">
        <f>IF(C34="","",IF(C34="C","  // "&amp;E34,IF(C34="P",IF(D34="E","  Environment.",IF(D34="S","  Simulation.","ERROR"))&amp;"SetSetting("&amp;E34&amp;", "&amp;G34&amp;", "&amp;H34&amp;");",IF(C34="S",
IF(L34=1,"  for (int i = 0; i &lt; "&amp;N34&amp;"; i++) {"&amp;CHAR(10)&amp;IF(D34="E","    Environment.",IF(D34="S","    Simulation.","ERROR"))&amp;"SetSetting("&amp;M34&amp;" + "&amp;O34&amp;", "&amp;G34&amp;", "&amp;H34&amp;");"&amp;CHAR(10)&amp;"  }",
IF(L34=2,"  for (int i = 0; i &lt; "&amp;N34&amp;"; i++) {"&amp;CHAR(10)&amp;"    for (int j = 0; j &lt; "&amp;Q34&amp;"; j++) {"&amp;CHAR(10)&amp;IF(D34="E","      Environment.",IF(D34="S","      Simulation.","ERROR"))&amp;"SetSetting("&amp;M34&amp;" + "&amp;O34&amp;" + "&amp;P34&amp;" + "&amp;R34&amp;", "&amp;G34&amp;", "&amp;H34&amp;");"&amp;CHAR(10)&amp;"    }"&amp;CHAR(10)&amp;"  }","ERROR")),""))))</f>
        <v xml:space="preserve">  Simulation.SetSetting(V1_DACTIVATION_METHOD, Data_string, 1);</v>
      </c>
      <c r="C34" s="1" t="s">
        <v>166</v>
      </c>
      <c r="D34" s="1" t="s">
        <v>268</v>
      </c>
      <c r="E34" s="38" t="s">
        <v>178</v>
      </c>
      <c r="F34" s="13" t="s">
        <v>179</v>
      </c>
      <c r="G34" s="13" t="s">
        <v>176</v>
      </c>
      <c r="H34" s="13">
        <v>1</v>
      </c>
      <c r="I34" s="13" t="s">
        <v>177</v>
      </c>
      <c r="J34" s="13">
        <f>IF(OR(C34="P",C34="S"),IF(L34="",1,IF(L34=1,N34,IF(L34=2,N34&amp;" * "&amp;Q34,"ERROR"))),"")</f>
        <v>1</v>
      </c>
      <c r="K34" t="s">
        <v>180</v>
      </c>
    </row>
    <row r="35" spans="1:11" ht="15" customHeight="1" x14ac:dyDescent="0.25">
      <c r="A35" s="25" t="str">
        <f>IF(C35="","",IF(C35="C",CHAR(10) &amp; "// " &amp; E35,IF(C35="I","#define " &amp; E35 &amp; " " &amp; I35,IF(C35="P","#define " &amp; E35 &amp; " """ &amp; F35 &amp; """" &amp; CHAR(10) &amp; "#define DEFAULT_" &amp; E35 &amp; " " &amp; I35,IF(C35="S","","ERROR")))))</f>
        <v>#define V1_EXTERNAL_EXCITATION_METHOD "V1_external_excitation_method"
#define DEFAULT_V1_EXTERNAL_EXCITATION_METHOD "none"</v>
      </c>
      <c r="B35" s="25" t="str">
        <f>IF(C35="","",IF(C35="C","  // "&amp;E35,IF(C35="P",IF(D35="E","  Environment.",IF(D35="S","  Simulation.","ERROR"))&amp;"SetSetting("&amp;E35&amp;", "&amp;G35&amp;", "&amp;H35&amp;");",IF(C35="S",
IF(L35=1,"  for (int i = 0; i &lt; "&amp;N35&amp;"; i++) {"&amp;CHAR(10)&amp;IF(D35="E","    Environment.",IF(D35="S","    Simulation.","ERROR"))&amp;"SetSetting("&amp;M35&amp;" + "&amp;O35&amp;", "&amp;G35&amp;", "&amp;H35&amp;");"&amp;CHAR(10)&amp;"  }",
IF(L35=2,"  for (int i = 0; i &lt; "&amp;N35&amp;"; i++) {"&amp;CHAR(10)&amp;"    for (int j = 0; j &lt; "&amp;Q35&amp;"; j++) {"&amp;CHAR(10)&amp;IF(D35="E","      Environment.",IF(D35="S","      Simulation.","ERROR"))&amp;"SetSetting("&amp;M35&amp;" + "&amp;O35&amp;" + "&amp;P35&amp;" + "&amp;R35&amp;", "&amp;G35&amp;", "&amp;H35&amp;");"&amp;CHAR(10)&amp;"    }"&amp;CHAR(10)&amp;"  }","ERROR")),""))))</f>
        <v xml:space="preserve">  Simulation.SetSetting(V1_EXTERNAL_EXCITATION_METHOD, Data_string, 1);</v>
      </c>
      <c r="C35" s="1" t="s">
        <v>166</v>
      </c>
      <c r="D35" s="1" t="s">
        <v>268</v>
      </c>
      <c r="E35" s="38" t="s">
        <v>266</v>
      </c>
      <c r="F35" s="13" t="s">
        <v>267</v>
      </c>
      <c r="G35" s="13" t="s">
        <v>176</v>
      </c>
      <c r="H35" s="13">
        <v>1</v>
      </c>
      <c r="I35" s="13" t="s">
        <v>177</v>
      </c>
      <c r="J35" s="13">
        <f>IF(OR(C35="P",C35="S"),IF(L35="",1,IF(L35=1,N35,IF(L35=2,N35&amp;" * "&amp;Q35,"ERROR"))),"")</f>
        <v>1</v>
      </c>
    </row>
    <row r="36" spans="1:11" s="64" customFormat="1" ht="15" customHeight="1" x14ac:dyDescent="0.25">
      <c r="A36" s="62" t="str">
        <f>IF(C36="","",IF(C36="C",CHAR(10) &amp; "// " &amp; E36,IF(C36="I","#define " &amp; E36 &amp; " " &amp; I36,IF(C36="P","#define " &amp; E36 &amp; " """ &amp; F36 &amp; """" &amp; CHAR(10) &amp; "#define DEFAULT_" &amp; E36 &amp; " " &amp; I36,IF(C36="S","","ERROR")))))</f>
        <v xml:space="preserve">
// V1 Activation Methods</v>
      </c>
      <c r="B36" s="62" t="str">
        <f>IF(C36="","",IF(C36="C","  // "&amp;E36,IF(C36="P",IF(D36="E","  Environment.",IF(D36="S","  Simulation.","ERROR"))&amp;"SetSetting("&amp;E36&amp;", "&amp;G36&amp;", "&amp;H36&amp;");",IF(C36="S",
IF(L36=1,"  for (int i = 0; i &lt; "&amp;N36&amp;"; i++) {"&amp;CHAR(10)&amp;IF(D36="E","    Environment.",IF(D36="S","    Simulation.","ERROR"))&amp;"SetSetting("&amp;M36&amp;" + "&amp;O36&amp;", "&amp;G36&amp;", "&amp;H36&amp;");"&amp;CHAR(10)&amp;"  }",
IF(L36=2,"  for (int i = 0; i &lt; "&amp;N36&amp;"; i++) {"&amp;CHAR(10)&amp;"    for (int j = 0; j &lt; "&amp;Q36&amp;"; j++) {"&amp;CHAR(10)&amp;IF(D36="E","      Environment.",IF(D36="S","      Simulation.","ERROR"))&amp;"SetSetting("&amp;M36&amp;" + "&amp;O36&amp;" + "&amp;P36&amp;" + "&amp;R36&amp;", "&amp;G36&amp;", "&amp;H36&amp;");"&amp;CHAR(10)&amp;"    }"&amp;CHAR(10)&amp;"  }","ERROR")),""))))</f>
        <v xml:space="preserve">  // V1 Activation Methods</v>
      </c>
      <c r="C36" s="63" t="s">
        <v>152</v>
      </c>
      <c r="D36" s="63"/>
      <c r="E36" s="66" t="s">
        <v>331</v>
      </c>
      <c r="F36" s="65"/>
      <c r="G36" s="65"/>
      <c r="H36" s="65"/>
      <c r="I36" s="65"/>
      <c r="J36" s="65" t="str">
        <f>IF(OR(C36="P",C36="S"),IF(L36="",1,IF(L36=1,N36,IF(L36=2,N36&amp;" * "&amp;Q36,"ERROR"))),"")</f>
        <v/>
      </c>
    </row>
    <row r="37" spans="1:11" ht="15" customHeight="1" x14ac:dyDescent="0.25">
      <c r="A37" s="25" t="str">
        <f>IF(C37="","",IF(C37="C",CHAR(10) &amp; "// " &amp; E37,IF(C37="I","#define " &amp; E37 &amp; " " &amp; I37,IF(C37="P","#define " &amp; E37 &amp; " """ &amp; F37 &amp; """" &amp; CHAR(10) &amp; "#define DEFAULT_" &amp; E37 &amp; " " &amp; I37,IF(C37="S","","ERROR")))))</f>
        <v>#define V1_A001 "V1_A001"</v>
      </c>
      <c r="B37" s="25" t="str">
        <f>IF(C37="","",IF(C37="C","  // "&amp;E37,IF(C37="P",IF(D37="E","  Environment.",IF(D37="S","  Simulation.","ERROR"))&amp;"SetSetting("&amp;E37&amp;", "&amp;G37&amp;", "&amp;H37&amp;");",IF(C37="S",
IF(L37=1,"  for (int i = 0; i &lt; "&amp;N37&amp;"; i++) {"&amp;CHAR(10)&amp;IF(D37="E","    Environment.",IF(D37="S","    Simulation.","ERROR"))&amp;"SetSetting("&amp;M37&amp;" + "&amp;O37&amp;", "&amp;G37&amp;", "&amp;H37&amp;");"&amp;CHAR(10)&amp;"  }",
IF(L37=2,"  for (int i = 0; i &lt; "&amp;N37&amp;"; i++) {"&amp;CHAR(10)&amp;"    for (int j = 0; j &lt; "&amp;Q37&amp;"; j++) {"&amp;CHAR(10)&amp;IF(D37="E","      Environment.",IF(D37="S","      Simulation.","ERROR"))&amp;"SetSetting("&amp;M37&amp;" + "&amp;O37&amp;" + "&amp;P37&amp;" + "&amp;R37&amp;", "&amp;G37&amp;", "&amp;H37&amp;");"&amp;CHAR(10)&amp;"    }"&amp;CHAR(10)&amp;"  }","ERROR")),""))))</f>
        <v/>
      </c>
      <c r="C37" s="1" t="s">
        <v>139</v>
      </c>
      <c r="E37" s="38" t="s">
        <v>332</v>
      </c>
      <c r="I37" s="13" t="s">
        <v>333</v>
      </c>
      <c r="J37" s="13" t="str">
        <f>IF(OR(C37="P",C37="S"),IF(L37="",1,IF(L37=1,N37,IF(L37=2,N37&amp;" * "&amp;Q37,"ERROR"))),"")</f>
        <v/>
      </c>
      <c r="K37" t="s">
        <v>334</v>
      </c>
    </row>
    <row r="38" spans="1:11" s="32" customFormat="1" ht="15" customHeight="1" x14ac:dyDescent="0.25">
      <c r="A38" s="29" t="str">
        <f>IF(C38="","",IF(C38="C",CHAR(10) &amp; "// " &amp; E38,IF(C38="I","#define " &amp; E38 &amp; " " &amp; I38,IF(C38="P","#define " &amp; E38 &amp; " """ &amp; F38 &amp; """" &amp; CHAR(10) &amp; "#define DEFAULT_" &amp; E38 &amp; " " &amp; I38,IF(C38="S","","ERROR")))))</f>
        <v xml:space="preserve">
// V1_A001 Method Parameters</v>
      </c>
      <c r="B38" s="29" t="str">
        <f>IF(C38="","",IF(C38="C","  // "&amp;E38,IF(C38="P",IF(D38="E","  Environment.",IF(D38="S","  Simulation.","ERROR"))&amp;"SetSetting("&amp;E38&amp;", "&amp;G38&amp;", "&amp;H38&amp;");",IF(C38="S",
IF(L38=1,"  for (int i = 0; i &lt; "&amp;N38&amp;"; i++) {"&amp;CHAR(10)&amp;IF(D38="E","    Environment.",IF(D38="S","    Simulation.","ERROR"))&amp;"SetSetting("&amp;M38&amp;" + "&amp;O38&amp;", "&amp;G38&amp;", "&amp;H38&amp;");"&amp;CHAR(10)&amp;"  }",
IF(L38=2,"  for (int i = 0; i &lt; "&amp;N38&amp;"; i++) {"&amp;CHAR(10)&amp;"    for (int j = 0; j &lt; "&amp;Q38&amp;"; j++) {"&amp;CHAR(10)&amp;IF(D38="E","      Environment.",IF(D38="S","      Simulation.","ERROR"))&amp;"SetSetting("&amp;M38&amp;" + "&amp;O38&amp;" + "&amp;P38&amp;" + "&amp;R38&amp;", "&amp;G38&amp;", "&amp;H38&amp;");"&amp;CHAR(10)&amp;"    }"&amp;CHAR(10)&amp;"  }","ERROR")),""))))</f>
        <v xml:space="preserve">  // V1_A001 Method Parameters</v>
      </c>
      <c r="C38" s="30" t="s">
        <v>152</v>
      </c>
      <c r="D38" s="30"/>
      <c r="E38" s="40" t="s">
        <v>337</v>
      </c>
      <c r="F38" s="31"/>
      <c r="G38" s="31"/>
      <c r="H38" s="31"/>
      <c r="I38" s="31"/>
      <c r="J38" s="31" t="str">
        <f>IF(OR(C38="P",C38="S"),IF(L38="",1,IF(L38=1,N38,IF(L38=2,N38&amp;" * "&amp;Q38,"ERROR"))),"")</f>
        <v/>
      </c>
    </row>
    <row r="39" spans="1:11" ht="15" customHeight="1" x14ac:dyDescent="0.25">
      <c r="A39" s="25" t="str">
        <f>IF(C39="","",IF(C39="C",CHAR(10) &amp; "// " &amp; E39,IF(C39="I","#define " &amp; E39 &amp; " " &amp; I39,IF(C39="P","#define " &amp; E39 &amp; " """ &amp; F39 &amp; """" &amp; CHAR(10) &amp; "#define DEFAULT_" &amp; E39 &amp; " " &amp; I39,IF(C39="S","","ERROR")))))</f>
        <v>#define V1_A001_NL_MAX "V1_A001_nl_max"
#define DEFAULT_V1_A001_NL_MAX 1</v>
      </c>
      <c r="B39" s="25" t="str">
        <f>IF(C39="","",IF(C39="C","  // "&amp;E39,IF(C39="P",IF(D39="E","  Environment.",IF(D39="S","  Simulation.","ERROR"))&amp;"SetSetting("&amp;E39&amp;", "&amp;G39&amp;", "&amp;H39&amp;");",IF(C39="S",
IF(L39=1,"  for (int i = 0; i &lt; "&amp;N39&amp;"; i++) {"&amp;CHAR(10)&amp;IF(D39="E","    Environment.",IF(D39="S","    Simulation.","ERROR"))&amp;"SetSetting("&amp;M39&amp;" + "&amp;O39&amp;", "&amp;G39&amp;", "&amp;H39&amp;");"&amp;CHAR(10)&amp;"  }",
IF(L39=2,"  for (int i = 0; i &lt; "&amp;N39&amp;"; i++) {"&amp;CHAR(10)&amp;"    for (int j = 0; j &lt; "&amp;Q39&amp;"; j++) {"&amp;CHAR(10)&amp;IF(D39="E","      Environment.",IF(D39="S","      Simulation.","ERROR"))&amp;"SetSetting("&amp;M39&amp;" + "&amp;O39&amp;" + "&amp;P39&amp;" + "&amp;R39&amp;", "&amp;G39&amp;", "&amp;H39&amp;");"&amp;CHAR(10)&amp;"    }"&amp;CHAR(10)&amp;"  }","ERROR")),""))))</f>
        <v xml:space="preserve">  Simulation.SetSetting(V1_A001_NL_MAX, Data_double, 1);</v>
      </c>
      <c r="C39" s="1" t="s">
        <v>166</v>
      </c>
      <c r="D39" s="1" t="s">
        <v>268</v>
      </c>
      <c r="E39" s="38" t="s">
        <v>373</v>
      </c>
      <c r="F39" s="13" t="s">
        <v>376</v>
      </c>
      <c r="G39" s="13" t="s">
        <v>186</v>
      </c>
      <c r="H39" s="13">
        <v>1</v>
      </c>
      <c r="I39" s="13">
        <v>1</v>
      </c>
      <c r="J39" s="13">
        <f>IF(OR(C39="P",C39="S"),IF(L39="",1,IF(L39=1,N39,IF(L39=2,N39&amp;" * "&amp;Q39,"ERROR"))),"")</f>
        <v>1</v>
      </c>
    </row>
    <row r="40" spans="1:11" ht="15" customHeight="1" x14ac:dyDescent="0.25">
      <c r="A40" s="25" t="str">
        <f>IF(C40="","",IF(C40="C",CHAR(10) &amp; "// " &amp; E40,IF(C40="I","#define " &amp; E40 &amp; " " &amp; I40,IF(C40="P","#define " &amp; E40 &amp; " """ &amp; F40 &amp; """" &amp; CHAR(10) &amp; "#define DEFAULT_" &amp; E40 &amp; " " &amp; I40,IF(C40="S","","ERROR")))))</f>
        <v>#define V1_A001_NL_A "V1_A001_nl_a"
#define DEFAULT_V1_A001_NL_A 5</v>
      </c>
      <c r="B40" s="25" t="str">
        <f>IF(C40="","",IF(C40="C","  // "&amp;E40,IF(C40="P",IF(D40="E","  Environment.",IF(D40="S","  Simulation.","ERROR"))&amp;"SetSetting("&amp;E40&amp;", "&amp;G40&amp;", "&amp;H40&amp;");",IF(C40="S",
IF(L40=1,"  for (int i = 0; i &lt; "&amp;N40&amp;"; i++) {"&amp;CHAR(10)&amp;IF(D40="E","    Environment.",IF(D40="S","    Simulation.","ERROR"))&amp;"SetSetting("&amp;M40&amp;" + "&amp;O40&amp;", "&amp;G40&amp;", "&amp;H40&amp;");"&amp;CHAR(10)&amp;"  }",
IF(L40=2,"  for (int i = 0; i &lt; "&amp;N40&amp;"; i++) {"&amp;CHAR(10)&amp;"    for (int j = 0; j &lt; "&amp;Q40&amp;"; j++) {"&amp;CHAR(10)&amp;IF(D40="E","      Environment.",IF(D40="S","      Simulation.","ERROR"))&amp;"SetSetting("&amp;M40&amp;" + "&amp;O40&amp;" + "&amp;P40&amp;" + "&amp;R40&amp;", "&amp;G40&amp;", "&amp;H40&amp;");"&amp;CHAR(10)&amp;"    }"&amp;CHAR(10)&amp;"  }","ERROR")),""))))</f>
        <v xml:space="preserve">  Simulation.SetSetting(V1_A001_NL_A, Data_double, 1);</v>
      </c>
      <c r="C40" s="1" t="s">
        <v>166</v>
      </c>
      <c r="D40" s="1" t="s">
        <v>268</v>
      </c>
      <c r="E40" s="38" t="s">
        <v>374</v>
      </c>
      <c r="F40" s="13" t="s">
        <v>377</v>
      </c>
      <c r="G40" s="13" t="s">
        <v>186</v>
      </c>
      <c r="H40" s="13">
        <v>1</v>
      </c>
      <c r="I40" s="13">
        <v>5</v>
      </c>
      <c r="J40" s="13">
        <f>IF(OR(C40="P",C40="S"),IF(L40="",1,IF(L40=1,N40,IF(L40=2,N40&amp;" * "&amp;Q40,"ERROR"))),"")</f>
        <v>1</v>
      </c>
    </row>
    <row r="41" spans="1:11" ht="15" customHeight="1" x14ac:dyDescent="0.25">
      <c r="A41" s="25" t="str">
        <f>IF(C41="","",IF(C41="C",CHAR(10) &amp; "// " &amp; E41,IF(C41="I","#define " &amp; E41 &amp; " " &amp; I41,IF(C41="P","#define " &amp; E41 &amp; " """ &amp; F41 &amp; """" &amp; CHAR(10) &amp; "#define DEFAULT_" &amp; E41 &amp; " " &amp; I41,IF(C41="S","","ERROR")))))</f>
        <v>#define V1_A001_NL_B "V1_A001_nl_b"
#define DEFAULT_V1_A001_NL_B 0.17</v>
      </c>
      <c r="B41" s="25" t="str">
        <f>IF(C41="","",IF(C41="C","  // "&amp;E41,IF(C41="P",IF(D41="E","  Environment.",IF(D41="S","  Simulation.","ERROR"))&amp;"SetSetting("&amp;E41&amp;", "&amp;G41&amp;", "&amp;H41&amp;");",IF(C41="S",
IF(L41=1,"  for (int i = 0; i &lt; "&amp;N41&amp;"; i++) {"&amp;CHAR(10)&amp;IF(D41="E","    Environment.",IF(D41="S","    Simulation.","ERROR"))&amp;"SetSetting("&amp;M41&amp;" + "&amp;O41&amp;", "&amp;G41&amp;", "&amp;H41&amp;");"&amp;CHAR(10)&amp;"  }",
IF(L41=2,"  for (int i = 0; i &lt; "&amp;N41&amp;"; i++) {"&amp;CHAR(10)&amp;"    for (int j = 0; j &lt; "&amp;Q41&amp;"; j++) {"&amp;CHAR(10)&amp;IF(D41="E","      Environment.",IF(D41="S","      Simulation.","ERROR"))&amp;"SetSetting("&amp;M41&amp;" + "&amp;O41&amp;" + "&amp;P41&amp;" + "&amp;R41&amp;", "&amp;G41&amp;", "&amp;H41&amp;");"&amp;CHAR(10)&amp;"    }"&amp;CHAR(10)&amp;"  }","ERROR")),""))))</f>
        <v xml:space="preserve">  Simulation.SetSetting(V1_A001_NL_B, Data_double, 1);</v>
      </c>
      <c r="C41" s="1" t="s">
        <v>166</v>
      </c>
      <c r="D41" s="1" t="s">
        <v>268</v>
      </c>
      <c r="E41" s="38" t="s">
        <v>375</v>
      </c>
      <c r="F41" s="13" t="s">
        <v>378</v>
      </c>
      <c r="G41" s="13" t="s">
        <v>186</v>
      </c>
      <c r="H41" s="13">
        <v>1</v>
      </c>
      <c r="I41" s="13">
        <v>0.17</v>
      </c>
      <c r="J41" s="13">
        <f>IF(OR(C41="P",C41="S"),IF(L41="",1,IF(L41=1,N41,IF(L41=2,N41&amp;" * "&amp;Q41,"ERROR"))),"")</f>
        <v>1</v>
      </c>
    </row>
    <row r="42" spans="1:11" s="32" customFormat="1" ht="15" customHeight="1" x14ac:dyDescent="0.25">
      <c r="A42" s="29" t="str">
        <f>IF(C42="","",IF(C42="C",CHAR(10) &amp; "// " &amp; E42,IF(C42="I","#define " &amp; E42 &amp; " " &amp; I42,IF(C42="P","#define " &amp; E42 &amp; " """ &amp; F42 &amp; """" &amp; CHAR(10) &amp; "#define DEFAULT_" &amp; E42 &amp; " " &amp; I42,IF(C42="S","","ERROR")))))</f>
        <v xml:space="preserve">
// None</v>
      </c>
      <c r="B42" s="29" t="str">
        <f>IF(C42="","",IF(C42="C","  // "&amp;E42,IF(C42="P",IF(D42="E","  Environment.",IF(D42="S","  Simulation.","ERROR"))&amp;"SetSetting("&amp;E42&amp;", "&amp;G42&amp;", "&amp;H42&amp;");",IF(C42="S",
IF(L42=1,"  for (int i = 0; i &lt; "&amp;N42&amp;"; i++) {"&amp;CHAR(10)&amp;IF(D42="E","    Environment.",IF(D42="S","    Simulation.","ERROR"))&amp;"SetSetting("&amp;M42&amp;" + "&amp;O42&amp;", "&amp;G42&amp;", "&amp;H42&amp;");"&amp;CHAR(10)&amp;"  }",
IF(L42=2,"  for (int i = 0; i &lt; "&amp;N42&amp;"; i++) {"&amp;CHAR(10)&amp;"    for (int j = 0; j &lt; "&amp;Q42&amp;"; j++) {"&amp;CHAR(10)&amp;IF(D42="E","      Environment.",IF(D42="S","      Simulation.","ERROR"))&amp;"SetSetting("&amp;M42&amp;" + "&amp;O42&amp;" + "&amp;P42&amp;" + "&amp;R42&amp;", "&amp;G42&amp;", "&amp;H42&amp;");"&amp;CHAR(10)&amp;"    }"&amp;CHAR(10)&amp;"  }","ERROR")),""))))</f>
        <v xml:space="preserve">  // None</v>
      </c>
      <c r="C42" s="30" t="s">
        <v>152</v>
      </c>
      <c r="D42" s="30"/>
      <c r="E42" s="40" t="s">
        <v>343</v>
      </c>
      <c r="F42" s="31"/>
      <c r="G42" s="31"/>
      <c r="H42" s="31"/>
      <c r="I42" s="31"/>
      <c r="J42" s="31" t="str">
        <f>IF(OR(C42="P",C42="S"),IF(L42="",1,IF(L42=1,N42,IF(L42=2,N42&amp;" * "&amp;Q42,"ERROR"))),"")</f>
        <v/>
      </c>
    </row>
    <row r="43" spans="1:11" s="64" customFormat="1" ht="15" customHeight="1" x14ac:dyDescent="0.25">
      <c r="A43" s="62" t="str">
        <f>IF(C43="","",IF(C43="C",CHAR(10) &amp; "// " &amp; E43,IF(C43="I","#define " &amp; E43 &amp; " " &amp; I43,IF(C43="P","#define " &amp; E43 &amp; " """ &amp; F43 &amp; """" &amp; CHAR(10) &amp; "#define DEFAULT_" &amp; E43 &amp; " " &amp; I43,IF(C43="S","","ERROR")))))</f>
        <v xml:space="preserve">
// V1 Derivate Activation Methods</v>
      </c>
      <c r="B43" s="62" t="str">
        <f>IF(C43="","",IF(C43="C","  // "&amp;E43,IF(C43="P",IF(D43="E","  Environment.",IF(D43="S","  Simulation.","ERROR"))&amp;"SetSetting("&amp;E43&amp;", "&amp;G43&amp;", "&amp;H43&amp;");",IF(C43="S",
IF(L43=1,"  for (int i = 0; i &lt; "&amp;N43&amp;"; i++) {"&amp;CHAR(10)&amp;IF(D43="E","    Environment.",IF(D43="S","    Simulation.","ERROR"))&amp;"SetSetting("&amp;M43&amp;" + "&amp;O43&amp;", "&amp;G43&amp;", "&amp;H43&amp;");"&amp;CHAR(10)&amp;"  }",
IF(L43=2,"  for (int i = 0; i &lt; "&amp;N43&amp;"; i++) {"&amp;CHAR(10)&amp;"    for (int j = 0; j &lt; "&amp;Q43&amp;"; j++) {"&amp;CHAR(10)&amp;IF(D43="E","      Environment.",IF(D43="S","      Simulation.","ERROR"))&amp;"SetSetting("&amp;M43&amp;" + "&amp;O43&amp;" + "&amp;P43&amp;" + "&amp;R43&amp;", "&amp;G43&amp;", "&amp;H43&amp;");"&amp;CHAR(10)&amp;"    }"&amp;CHAR(10)&amp;"  }","ERROR")),""))))</f>
        <v xml:space="preserve">  // V1 Derivate Activation Methods</v>
      </c>
      <c r="C43" s="63" t="s">
        <v>152</v>
      </c>
      <c r="D43" s="63"/>
      <c r="E43" s="66" t="s">
        <v>335</v>
      </c>
      <c r="F43" s="65"/>
      <c r="G43" s="65"/>
      <c r="H43" s="65"/>
      <c r="I43" s="65"/>
      <c r="J43" s="65" t="str">
        <f>IF(OR(C43="P",C43="S"),IF(L43="",1,IF(L43=1,N43,IF(L43=2,N43&amp;" * "&amp;Q43,"ERROR"))),"")</f>
        <v/>
      </c>
    </row>
    <row r="44" spans="1:11" ht="15" customHeight="1" x14ac:dyDescent="0.25">
      <c r="A44" s="25" t="str">
        <f>IF(C44="","",IF(C44="C",CHAR(10) &amp; "// " &amp; E44,IF(C44="I","#define " &amp; E44 &amp; " " &amp; I44,IF(C44="P","#define " &amp; E44 &amp; " """ &amp; F44 &amp; """" &amp; CHAR(10) &amp; "#define DEFAULT_" &amp; E44 &amp; " " &amp; I44,IF(C44="S","","ERROR")))))</f>
        <v>#define V1_D001 "V1_D001"</v>
      </c>
      <c r="B44" s="25" t="str">
        <f>IF(C44="","",IF(C44="C","  // "&amp;E44,IF(C44="P",IF(D44="E","  Environment.",IF(D44="S","  Simulation.","ERROR"))&amp;"SetSetting("&amp;E44&amp;", "&amp;G44&amp;", "&amp;H44&amp;");",IF(C44="S",
IF(L44=1,"  for (int i = 0; i &lt; "&amp;N44&amp;"; i++) {"&amp;CHAR(10)&amp;IF(D44="E","    Environment.",IF(D44="S","    Simulation.","ERROR"))&amp;"SetSetting("&amp;M44&amp;" + "&amp;O44&amp;", "&amp;G44&amp;", "&amp;H44&amp;");"&amp;CHAR(10)&amp;"  }",
IF(L44=2,"  for (int i = 0; i &lt; "&amp;N44&amp;"; i++) {"&amp;CHAR(10)&amp;"    for (int j = 0; j &lt; "&amp;Q44&amp;"; j++) {"&amp;CHAR(10)&amp;IF(D44="E","      Environment.",IF(D44="S","      Simulation.","ERROR"))&amp;"SetSetting("&amp;M44&amp;" + "&amp;O44&amp;" + "&amp;P44&amp;" + "&amp;R44&amp;", "&amp;G44&amp;", "&amp;H44&amp;");"&amp;CHAR(10)&amp;"    }"&amp;CHAR(10)&amp;"  }","ERROR")),""))))</f>
        <v/>
      </c>
      <c r="C44" s="1" t="s">
        <v>139</v>
      </c>
      <c r="E44" s="38" t="s">
        <v>182</v>
      </c>
      <c r="I44" s="13" t="s">
        <v>250</v>
      </c>
      <c r="J44" s="13" t="str">
        <f>IF(OR(C44="P",C44="S"),IF(L44="",1,IF(L44=1,N44,IF(L44=2,N44&amp;" * "&amp;Q44,"ERROR"))),"")</f>
        <v/>
      </c>
      <c r="K44" t="s">
        <v>183</v>
      </c>
    </row>
    <row r="45" spans="1:11" s="32" customFormat="1" ht="15" customHeight="1" x14ac:dyDescent="0.25">
      <c r="A45" s="29" t="str">
        <f>IF(C45="","",IF(C45="C",CHAR(10) &amp; "// " &amp; E45,IF(C45="I","#define " &amp; E45 &amp; " " &amp; I45,IF(C45="P","#define " &amp; E45 &amp; " """ &amp; F45 &amp; """" &amp; CHAR(10) &amp; "#define DEFAULT_" &amp; E45 &amp; " " &amp; I45,IF(C45="S","","ERROR")))))</f>
        <v xml:space="preserve">
// V1_D001 Method Parameters</v>
      </c>
      <c r="B45" s="29" t="str">
        <f>IF(C45="","",IF(C45="C","  // "&amp;E45,IF(C45="P",IF(D45="E","  Environment.",IF(D45="S","  Simulation.","ERROR"))&amp;"SetSetting("&amp;E45&amp;", "&amp;G45&amp;", "&amp;H45&amp;");",IF(C45="S",
IF(L45=1,"  for (int i = 0; i &lt; "&amp;N45&amp;"; i++) {"&amp;CHAR(10)&amp;IF(D45="E","    Environment.",IF(D45="S","    Simulation.","ERROR"))&amp;"SetSetting("&amp;M45&amp;" + "&amp;O45&amp;", "&amp;G45&amp;", "&amp;H45&amp;");"&amp;CHAR(10)&amp;"  }",
IF(L45=2,"  for (int i = 0; i &lt; "&amp;N45&amp;"; i++) {"&amp;CHAR(10)&amp;"    for (int j = 0; j &lt; "&amp;Q45&amp;"; j++) {"&amp;CHAR(10)&amp;IF(D45="E","      Environment.",IF(D45="S","      Simulation.","ERROR"))&amp;"SetSetting("&amp;M45&amp;" + "&amp;O45&amp;" + "&amp;P45&amp;" + "&amp;R45&amp;", "&amp;G45&amp;", "&amp;H45&amp;");"&amp;CHAR(10)&amp;"    }"&amp;CHAR(10)&amp;"  }","ERROR")),""))))</f>
        <v xml:space="preserve">  // V1_D001 Method Parameters</v>
      </c>
      <c r="C45" s="30" t="s">
        <v>152</v>
      </c>
      <c r="D45" s="30"/>
      <c r="E45" s="40" t="s">
        <v>336</v>
      </c>
      <c r="F45" s="31"/>
      <c r="G45" s="31"/>
      <c r="H45" s="31"/>
      <c r="I45" s="31"/>
      <c r="J45" s="31" t="str">
        <f>IF(OR(C45="P",C45="S"),IF(L45="",1,IF(L45=1,N45,IF(L45=2,N45&amp;" * "&amp;Q45,"ERROR"))),"")</f>
        <v/>
      </c>
    </row>
    <row r="46" spans="1:11" ht="15" customHeight="1" x14ac:dyDescent="0.25">
      <c r="A46" s="25" t="str">
        <f>IF(C46="","",IF(C46="C",CHAR(10) &amp; "// " &amp; E46,IF(C46="I","#define " &amp; E46 &amp; " " &amp; I46,IF(C46="P","#define " &amp; E46 &amp; " """ &amp; F46 &amp; """" &amp; CHAR(10) &amp; "#define DEFAULT_" &amp; E46 &amp; " " &amp; I46,IF(C46="S","","ERROR")))))</f>
        <v>#define V1_D001_CONDUCTANCE_LEAK "V1_D001_conductance_leak"
#define DEFAULT_V1_D001_CONDUCTANCE_LEAK -0.1</v>
      </c>
      <c r="B46" s="25" t="str">
        <f>IF(C46="","",IF(C46="C","  // "&amp;E46,IF(C46="P",IF(D46="E","  Environment.",IF(D46="S","  Simulation.","ERROR"))&amp;"SetSetting("&amp;E46&amp;", "&amp;G46&amp;", "&amp;H46&amp;");",IF(C46="S",
IF(L46=1,"  for (int i = 0; i &lt; "&amp;N46&amp;"; i++) {"&amp;CHAR(10)&amp;IF(D46="E","    Environment.",IF(D46="S","    Simulation.","ERROR"))&amp;"SetSetting("&amp;M46&amp;" + "&amp;O46&amp;", "&amp;G46&amp;", "&amp;H46&amp;");"&amp;CHAR(10)&amp;"  }",
IF(L46=2,"  for (int i = 0; i &lt; "&amp;N46&amp;"; i++) {"&amp;CHAR(10)&amp;"    for (int j = 0; j &lt; "&amp;Q46&amp;"; j++) {"&amp;CHAR(10)&amp;IF(D46="E","      Environment.",IF(D46="S","      Simulation.","ERROR"))&amp;"SetSetting("&amp;M46&amp;" + "&amp;O46&amp;" + "&amp;P46&amp;" + "&amp;R46&amp;", "&amp;G46&amp;", "&amp;H46&amp;");"&amp;CHAR(10)&amp;"    }"&amp;CHAR(10)&amp;"  }","ERROR")),""))))</f>
        <v xml:space="preserve">  Simulation.SetSetting(V1_D001_CONDUCTANCE_LEAK, Data_double, 1);</v>
      </c>
      <c r="C46" s="1" t="s">
        <v>166</v>
      </c>
      <c r="D46" s="1" t="s">
        <v>268</v>
      </c>
      <c r="E46" s="38" t="s">
        <v>184</v>
      </c>
      <c r="F46" s="13" t="s">
        <v>185</v>
      </c>
      <c r="G46" s="13" t="s">
        <v>186</v>
      </c>
      <c r="H46" s="13">
        <v>1</v>
      </c>
      <c r="I46" s="13">
        <v>-0.1</v>
      </c>
      <c r="J46" s="13">
        <f>IF(OR(C46="P",C46="S"),IF(L46="",1,IF(L46=1,N46,IF(L46=2,N46&amp;" * "&amp;Q46,"ERROR"))),"")</f>
        <v>1</v>
      </c>
    </row>
    <row r="47" spans="1:11" ht="15" customHeight="1" x14ac:dyDescent="0.25">
      <c r="A47" s="25" t="str">
        <f>IF(C47="","",IF(C47="C",CHAR(10) &amp; "// " &amp; E47,IF(C47="I","#define " &amp; E47 &amp; " " &amp; I47,IF(C47="P","#define " &amp; E47 &amp; " """ &amp; F47 &amp; """" &amp; CHAR(10) &amp; "#define DEFAULT_" &amp; E47 &amp; " " &amp; I47,IF(C47="S","","ERROR")))))</f>
        <v>#define V1_D001_EXCITATORY_FACTOR "V1_D001_excitatory_factor"
#define DEFAULT_V1_D001_EXCITATORY_FACTOR 0.2</v>
      </c>
      <c r="B47" s="25" t="str">
        <f>IF(C47="","",IF(C47="C","  // "&amp;E47,IF(C47="P",IF(D47="E","  Environment.",IF(D47="S","  Simulation.","ERROR"))&amp;"SetSetting("&amp;E47&amp;", "&amp;G47&amp;", "&amp;H47&amp;");",IF(C47="S",
IF(L47=1,"  for (int i = 0; i &lt; "&amp;N47&amp;"; i++) {"&amp;CHAR(10)&amp;IF(D47="E","    Environment.",IF(D47="S","    Simulation.","ERROR"))&amp;"SetSetting("&amp;M47&amp;" + "&amp;O47&amp;", "&amp;G47&amp;", "&amp;H47&amp;");"&amp;CHAR(10)&amp;"  }",
IF(L47=2,"  for (int i = 0; i &lt; "&amp;N47&amp;"; i++) {"&amp;CHAR(10)&amp;"    for (int j = 0; j &lt; "&amp;Q47&amp;"; j++) {"&amp;CHAR(10)&amp;IF(D47="E","      Environment.",IF(D47="S","      Simulation.","ERROR"))&amp;"SetSetting("&amp;M47&amp;" + "&amp;O47&amp;" + "&amp;P47&amp;" + "&amp;R47&amp;", "&amp;G47&amp;", "&amp;H47&amp;");"&amp;CHAR(10)&amp;"    }"&amp;CHAR(10)&amp;"  }","ERROR")),""))))</f>
        <v xml:space="preserve">  Simulation.SetSetting(V1_D001_EXCITATORY_FACTOR, Data_double, 1);</v>
      </c>
      <c r="C47" s="1" t="s">
        <v>166</v>
      </c>
      <c r="D47" s="1" t="s">
        <v>268</v>
      </c>
      <c r="E47" s="38" t="s">
        <v>187</v>
      </c>
      <c r="F47" s="13" t="s">
        <v>188</v>
      </c>
      <c r="G47" s="13" t="s">
        <v>186</v>
      </c>
      <c r="H47" s="13">
        <v>1</v>
      </c>
      <c r="I47" s="13">
        <v>0.2</v>
      </c>
      <c r="J47" s="13">
        <f>IF(OR(C47="P",C47="S"),IF(L47="",1,IF(L47=1,N47,IF(L47=2,N47&amp;" * "&amp;Q47,"ERROR"))),"")</f>
        <v>1</v>
      </c>
    </row>
    <row r="48" spans="1:11" ht="15" customHeight="1" x14ac:dyDescent="0.25">
      <c r="A48" s="25" t="str">
        <f>IF(C48="","",IF(C48="C",CHAR(10) &amp; "// " &amp; E48,IF(C48="I","#define " &amp; E48 &amp; " " &amp; I48,IF(C48="P","#define " &amp; E48 &amp; " """ &amp; F48 &amp; """" &amp; CHAR(10) &amp; "#define DEFAULT_" &amp; E48 &amp; " " &amp; I48,IF(C48="S","","ERROR")))))</f>
        <v>#define V1_D001_INHIBITION_FACTOR "V1_D001_inhibition_factor"
#define DEFAULT_V1_D001_INHIBITION_FACTOR -0.8</v>
      </c>
      <c r="B48" s="25" t="str">
        <f>IF(C48="","",IF(C48="C","  // "&amp;E48,IF(C48="P",IF(D48="E","  Environment.",IF(D48="S","  Simulation.","ERROR"))&amp;"SetSetting("&amp;E48&amp;", "&amp;G48&amp;", "&amp;H48&amp;");",IF(C48="S",
IF(L48=1,"  for (int i = 0; i &lt; "&amp;N48&amp;"; i++) {"&amp;CHAR(10)&amp;IF(D48="E","    Environment.",IF(D48="S","    Simulation.","ERROR"))&amp;"SetSetting("&amp;M48&amp;" + "&amp;O48&amp;", "&amp;G48&amp;", "&amp;H48&amp;");"&amp;CHAR(10)&amp;"  }",
IF(L48=2,"  for (int i = 0; i &lt; "&amp;N48&amp;"; i++) {"&amp;CHAR(10)&amp;"    for (int j = 0; j &lt; "&amp;Q48&amp;"; j++) {"&amp;CHAR(10)&amp;IF(D48="E","      Environment.",IF(D48="S","      Simulation.","ERROR"))&amp;"SetSetting("&amp;M48&amp;" + "&amp;O48&amp;" + "&amp;P48&amp;" + "&amp;R48&amp;", "&amp;G48&amp;", "&amp;H48&amp;");"&amp;CHAR(10)&amp;"    }"&amp;CHAR(10)&amp;"  }","ERROR")),""))))</f>
        <v xml:space="preserve">  Simulation.SetSetting(V1_D001_INHIBITION_FACTOR, Data_double, 1);</v>
      </c>
      <c r="C48" s="1" t="s">
        <v>166</v>
      </c>
      <c r="D48" s="1" t="s">
        <v>268</v>
      </c>
      <c r="E48" s="38" t="s">
        <v>189</v>
      </c>
      <c r="F48" s="13" t="s">
        <v>190</v>
      </c>
      <c r="G48" s="13" t="s">
        <v>186</v>
      </c>
      <c r="H48" s="13">
        <v>1</v>
      </c>
      <c r="I48" s="13">
        <v>-0.8</v>
      </c>
      <c r="J48" s="13">
        <f>IF(OR(C48="P",C48="S"),IF(L48="",1,IF(L48=1,N48,IF(L48=2,N48&amp;" * "&amp;Q48,"ERROR"))),"")</f>
        <v>1</v>
      </c>
    </row>
    <row r="49" spans="1:15" s="64" customFormat="1" ht="15" customHeight="1" x14ac:dyDescent="0.25">
      <c r="A49" s="62" t="str">
        <f>IF(C49="","",IF(C49="C",CHAR(10) &amp; "// " &amp; E49,IF(C49="I","#define " &amp; E49 &amp; " " &amp; I49,IF(C49="P","#define " &amp; E49 &amp; " """ &amp; F49 &amp; """" &amp; CHAR(10) &amp; "#define DEFAULT_" &amp; E49 &amp; " " &amp; I49,IF(C49="S","","ERROR")))))</f>
        <v xml:space="preserve">
// V1 Diffusion Imput Methods</v>
      </c>
      <c r="B49" s="62" t="str">
        <f>IF(C49="","",IF(C49="C","  // "&amp;E49,IF(C49="P",IF(D49="E","  Environment.",IF(D49="S","  Simulation.","ERROR"))&amp;"SetSetting("&amp;E49&amp;", "&amp;G49&amp;", "&amp;H49&amp;");",IF(C49="S",
IF(L49=1,"  for (int i = 0; i &lt; "&amp;N49&amp;"; i++) {"&amp;CHAR(10)&amp;IF(D49="E","    Environment.",IF(D49="S","    Simulation.","ERROR"))&amp;"SetSetting("&amp;M49&amp;" + "&amp;O49&amp;", "&amp;G49&amp;", "&amp;H49&amp;");"&amp;CHAR(10)&amp;"  }",
IF(L49=2,"  for (int i = 0; i &lt; "&amp;N49&amp;"; i++) {"&amp;CHAR(10)&amp;"    for (int j = 0; j &lt; "&amp;Q49&amp;"; j++) {"&amp;CHAR(10)&amp;IF(D49="E","      Environment.",IF(D49="S","      Simulation.","ERROR"))&amp;"SetSetting("&amp;M49&amp;" + "&amp;O49&amp;" + "&amp;P49&amp;" + "&amp;R49&amp;", "&amp;G49&amp;", "&amp;H49&amp;");"&amp;CHAR(10)&amp;"    }"&amp;CHAR(10)&amp;"  }","ERROR")),""))))</f>
        <v xml:space="preserve">  // V1 Diffusion Imput Methods</v>
      </c>
      <c r="C49" s="63" t="s">
        <v>152</v>
      </c>
      <c r="D49" s="63"/>
      <c r="E49" s="64" t="s">
        <v>338</v>
      </c>
      <c r="F49" s="65"/>
      <c r="G49" s="65"/>
      <c r="H49" s="65"/>
      <c r="I49" s="65"/>
      <c r="J49" s="65" t="str">
        <f>IF(OR(C49="P",C49="S"),IF(L49="",1,IF(L49=1,N49,IF(L49=2,N49&amp;" * "&amp;Q49,"ERROR"))),"")</f>
        <v/>
      </c>
    </row>
    <row r="50" spans="1:15" s="36" customFormat="1" ht="15" customHeight="1" x14ac:dyDescent="0.25">
      <c r="A50" s="33" t="str">
        <f>IF(C50="","",IF(C50="C",CHAR(10) &amp; "// " &amp; E50,IF(C50="I","#define " &amp; E50 &amp; " " &amp; I50,IF(C50="P","#define " &amp; E50 &amp; " """ &amp; F50 &amp; """" &amp; CHAR(10) &amp; "#define DEFAULT_" &amp; E50 &amp; " " &amp; I50,IF(C50="S","","ERROR")))))</f>
        <v>#define V1_F001 "V1_F001"</v>
      </c>
      <c r="B50" s="33" t="str">
        <f>IF(C50="","",IF(C50="C","  // "&amp;E50,IF(C50="P",IF(D50="E","  Environment.",IF(D50="S","  Simulation.","ERROR"))&amp;"SetSetting("&amp;E50&amp;", "&amp;G50&amp;", "&amp;H50&amp;");",IF(C50="S",
IF(L50=1,"  for (int i = 0; i &lt; "&amp;N50&amp;"; i++) {"&amp;CHAR(10)&amp;IF(D50="E","    Environment.",IF(D50="S","    Simulation.","ERROR"))&amp;"SetSetting("&amp;M50&amp;" + "&amp;O50&amp;", "&amp;G50&amp;", "&amp;H50&amp;");"&amp;CHAR(10)&amp;"  }",
IF(L50=2,"  for (int i = 0; i &lt; "&amp;N50&amp;"; i++) {"&amp;CHAR(10)&amp;"    for (int j = 0; j &lt; "&amp;Q50&amp;"; j++) {"&amp;CHAR(10)&amp;IF(D50="E","      Environment.",IF(D50="S","      Simulation.","ERROR"))&amp;"SetSetting("&amp;M50&amp;" + "&amp;O50&amp;" + "&amp;P50&amp;" + "&amp;R50&amp;", "&amp;G50&amp;", "&amp;H50&amp;");"&amp;CHAR(10)&amp;"    }"&amp;CHAR(10)&amp;"  }","ERROR")),""))))</f>
        <v/>
      </c>
      <c r="C50" s="28" t="s">
        <v>139</v>
      </c>
      <c r="D50" s="28"/>
      <c r="E50" s="36" t="s">
        <v>205</v>
      </c>
      <c r="F50" s="35"/>
      <c r="G50" s="35"/>
      <c r="H50" s="35"/>
      <c r="I50" s="35" t="s">
        <v>251</v>
      </c>
      <c r="J50" s="35" t="str">
        <f>IF(OR(C50="P",C50="S"),IF(L50="",1,IF(L50=1,N50,IF(L50=2,N50&amp;" * "&amp;Q50,"ERROR"))),"")</f>
        <v/>
      </c>
    </row>
    <row r="51" spans="1:15" s="32" customFormat="1" ht="15" customHeight="1" x14ac:dyDescent="0.25">
      <c r="A51" s="29" t="str">
        <f>IF(C51="","",IF(C51="C",CHAR(10) &amp; "// " &amp; E51,IF(C51="I","#define " &amp; E51 &amp; " " &amp; I51,IF(C51="P","#define " &amp; E51 &amp; " """ &amp; F51 &amp; """" &amp; CHAR(10) &amp; "#define DEFAULT_" &amp; E51 &amp; " " &amp; I51,IF(C51="S","","ERROR")))))</f>
        <v xml:space="preserve">
// V1_F001 Method Parameters</v>
      </c>
      <c r="B51" s="29" t="str">
        <f>IF(C51="","",IF(C51="C","  // "&amp;E51,IF(C51="P",IF(D51="E","  Environment.",IF(D51="S","  Simulation.","ERROR"))&amp;"SetSetting("&amp;E51&amp;", "&amp;G51&amp;", "&amp;H51&amp;");",IF(C51="S",
IF(L51=1,"  for (int i = 0; i &lt; "&amp;N51&amp;"; i++) {"&amp;CHAR(10)&amp;IF(D51="E","    Environment.",IF(D51="S","    Simulation.","ERROR"))&amp;"SetSetting("&amp;M51&amp;" + "&amp;O51&amp;", "&amp;G51&amp;", "&amp;H51&amp;");"&amp;CHAR(10)&amp;"  }",
IF(L51=2,"  for (int i = 0; i &lt; "&amp;N51&amp;"; i++) {"&amp;CHAR(10)&amp;"    for (int j = 0; j &lt; "&amp;Q51&amp;"; j++) {"&amp;CHAR(10)&amp;IF(D51="E","      Environment.",IF(D51="S","      Simulation.","ERROR"))&amp;"SetSetting("&amp;M51&amp;" + "&amp;O51&amp;" + "&amp;P51&amp;" + "&amp;R51&amp;", "&amp;G51&amp;", "&amp;H51&amp;");"&amp;CHAR(10)&amp;"    }"&amp;CHAR(10)&amp;"  }","ERROR")),""))))</f>
        <v xml:space="preserve">  // V1_F001 Method Parameters</v>
      </c>
      <c r="C51" s="30" t="s">
        <v>152</v>
      </c>
      <c r="D51" s="30"/>
      <c r="E51" s="32" t="s">
        <v>339</v>
      </c>
      <c r="F51" s="31"/>
      <c r="G51" s="31"/>
      <c r="H51" s="31"/>
      <c r="I51" s="31"/>
      <c r="J51" s="31" t="str">
        <f>IF(OR(C51="P",C51="S"),IF(L51="",1,IF(L51=1,N51,IF(L51=2,N51&amp;" * "&amp;Q51,"ERROR"))),"")</f>
        <v/>
      </c>
    </row>
    <row r="52" spans="1:15" ht="15" customHeight="1" x14ac:dyDescent="0.25">
      <c r="A52" s="25" t="str">
        <f>IF(C52="","",IF(C52="C",CHAR(10) &amp; "// " &amp; E52,IF(C52="I","#define " &amp; E52 &amp; " " &amp; I52,IF(C52="P","#define " &amp; E52 &amp; " """ &amp; F52 &amp; """" &amp; CHAR(10) &amp; "#define DEFAULT_" &amp; E52 &amp; " " &amp; I52,IF(C52="S","","ERROR")))))</f>
        <v>#define V1_F001_A "V1_F001_a"
#define DEFAULT_V1_F001_A 0</v>
      </c>
      <c r="B52" s="25" t="str">
        <f>IF(C52="","",IF(C52="C","  // "&amp;E52,IF(C52="P",IF(D52="E","  Environment.",IF(D52="S","  Simulation.","ERROR"))&amp;"SetSetting("&amp;E52&amp;", "&amp;G52&amp;", "&amp;H52&amp;");",IF(C52="S",
IF(L52=1,"  for (int i = 0; i &lt; "&amp;N52&amp;"; i++) {"&amp;CHAR(10)&amp;IF(D52="E","    Environment.",IF(D52="S","    Simulation.","ERROR"))&amp;"SetSetting("&amp;M52&amp;" + "&amp;O52&amp;", "&amp;G52&amp;", "&amp;H52&amp;");"&amp;CHAR(10)&amp;"  }",
IF(L52=2,"  for (int i = 0; i &lt; "&amp;N52&amp;"; i++) {"&amp;CHAR(10)&amp;"    for (int j = 0; j &lt; "&amp;Q52&amp;"; j++) {"&amp;CHAR(10)&amp;IF(D52="E","      Environment.",IF(D52="S","      Simulation.","ERROR"))&amp;"SetSetting("&amp;M52&amp;" + "&amp;O52&amp;" + "&amp;P52&amp;" + "&amp;R52&amp;", "&amp;G52&amp;", "&amp;H52&amp;");"&amp;CHAR(10)&amp;"    }"&amp;CHAR(10)&amp;"  }","ERROR")),""))))</f>
        <v xml:space="preserve">  Simulation.SetSetting(V1_F001_A, Data_double, 1);</v>
      </c>
      <c r="C52" s="1" t="s">
        <v>166</v>
      </c>
      <c r="D52" s="1" t="s">
        <v>268</v>
      </c>
      <c r="E52" t="s">
        <v>191</v>
      </c>
      <c r="F52" t="s">
        <v>198</v>
      </c>
      <c r="G52" s="13" t="s">
        <v>186</v>
      </c>
      <c r="H52" s="13">
        <v>1</v>
      </c>
      <c r="I52" s="13">
        <v>0</v>
      </c>
      <c r="J52" s="13">
        <f>IF(OR(C52="P",C52="S"),IF(L52="",1,IF(L52=1,N52,IF(L52=2,N52&amp;" * "&amp;Q52,"ERROR"))),"")</f>
        <v>1</v>
      </c>
    </row>
    <row r="53" spans="1:15" ht="15" customHeight="1" x14ac:dyDescent="0.25">
      <c r="A53" s="25" t="str">
        <f>IF(C53="","",IF(C53="C",CHAR(10) &amp; "// " &amp; E53,IF(C53="I","#define " &amp; E53 &amp; " " &amp; I53,IF(C53="P","#define " &amp; E53 &amp; " """ &amp; F53 &amp; """" &amp; CHAR(10) &amp; "#define DEFAULT_" &amp; E53 &amp; " " &amp; I53,IF(C53="S","","ERROR")))))</f>
        <v>#define V1_F001_B "V1_F001_b"
#define DEFAULT_V1_F001_B 0</v>
      </c>
      <c r="B53" s="25" t="str">
        <f>IF(C53="","",IF(C53="C","  // "&amp;E53,IF(C53="P",IF(D53="E","  Environment.",IF(D53="S","  Simulation.","ERROR"))&amp;"SetSetting("&amp;E53&amp;", "&amp;G53&amp;", "&amp;H53&amp;");",IF(C53="S",
IF(L53=1,"  for (int i = 0; i &lt; "&amp;N53&amp;"; i++) {"&amp;CHAR(10)&amp;IF(D53="E","    Environment.",IF(D53="S","    Simulation.","ERROR"))&amp;"SetSetting("&amp;M53&amp;" + "&amp;O53&amp;", "&amp;G53&amp;", "&amp;H53&amp;");"&amp;CHAR(10)&amp;"  }",
IF(L53=2,"  for (int i = 0; i &lt; "&amp;N53&amp;"; i++) {"&amp;CHAR(10)&amp;"    for (int j = 0; j &lt; "&amp;Q53&amp;"; j++) {"&amp;CHAR(10)&amp;IF(D53="E","      Environment.",IF(D53="S","      Simulation.","ERROR"))&amp;"SetSetting("&amp;M53&amp;" + "&amp;O53&amp;" + "&amp;P53&amp;" + "&amp;R53&amp;", "&amp;G53&amp;", "&amp;H53&amp;");"&amp;CHAR(10)&amp;"    }"&amp;CHAR(10)&amp;"  }","ERROR")),""))))</f>
        <v xml:space="preserve">  Simulation.SetSetting(V1_F001_B, Data_double, 1);</v>
      </c>
      <c r="C53" s="1" t="s">
        <v>166</v>
      </c>
      <c r="D53" s="1" t="s">
        <v>268</v>
      </c>
      <c r="E53" t="s">
        <v>192</v>
      </c>
      <c r="F53" t="s">
        <v>199</v>
      </c>
      <c r="G53" s="13" t="s">
        <v>186</v>
      </c>
      <c r="H53" s="13">
        <v>1</v>
      </c>
      <c r="I53" s="13">
        <v>0</v>
      </c>
      <c r="J53" s="13">
        <f>IF(OR(C53="P",C53="S"),IF(L53="",1,IF(L53=1,N53,IF(L53=2,N53&amp;" * "&amp;Q53,"ERROR"))),"")</f>
        <v>1</v>
      </c>
    </row>
    <row r="54" spans="1:15" ht="15" customHeight="1" x14ac:dyDescent="0.25">
      <c r="A54" s="25" t="str">
        <f>IF(C54="","",IF(C54="C",CHAR(10) &amp; "// " &amp; E54,IF(C54="I","#define " &amp; E54 &amp; " " &amp; I54,IF(C54="P","#define " &amp; E54 &amp; " """ &amp; F54 &amp; """" &amp; CHAR(10) &amp; "#define DEFAULT_" &amp; E54 &amp; " " &amp; I54,IF(C54="S","","ERROR")))))</f>
        <v>#define V1_F001_ORIENTATION "V1_F001_orientation"
#define DEFAULT_V1_F001_ORIENTATION 0</v>
      </c>
      <c r="B54" s="25" t="str">
        <f>IF(C54="","",IF(C54="C","  // "&amp;E54,IF(C54="P",IF(D54="E","  Environment.",IF(D54="S","  Simulation.","ERROR"))&amp;"SetSetting("&amp;E54&amp;", "&amp;G54&amp;", "&amp;H54&amp;");",IF(C54="S",
IF(L54=1,"  for (int i = 0; i &lt; "&amp;N54&amp;"; i++) {"&amp;CHAR(10)&amp;IF(D54="E","    Environment.",IF(D54="S","    Simulation.","ERROR"))&amp;"SetSetting("&amp;M54&amp;" + "&amp;O54&amp;", "&amp;G54&amp;", "&amp;H54&amp;");"&amp;CHAR(10)&amp;"  }",
IF(L54=2,"  for (int i = 0; i &lt; "&amp;N54&amp;"; i++) {"&amp;CHAR(10)&amp;"    for (int j = 0; j &lt; "&amp;Q54&amp;"; j++) {"&amp;CHAR(10)&amp;IF(D54="E","      Environment.",IF(D54="S","      Simulation.","ERROR"))&amp;"SetSetting("&amp;M54&amp;" + "&amp;O54&amp;" + "&amp;P54&amp;" + "&amp;R54&amp;", "&amp;G54&amp;", "&amp;H54&amp;");"&amp;CHAR(10)&amp;"    }"&amp;CHAR(10)&amp;"  }","ERROR")),""))))</f>
        <v xml:space="preserve">  Simulation.SetSetting(V1_F001_ORIENTATION, Data_double, 1);</v>
      </c>
      <c r="C54" s="1" t="s">
        <v>166</v>
      </c>
      <c r="D54" s="1" t="s">
        <v>268</v>
      </c>
      <c r="E54" t="s">
        <v>193</v>
      </c>
      <c r="F54" t="s">
        <v>200</v>
      </c>
      <c r="G54" s="13" t="s">
        <v>186</v>
      </c>
      <c r="H54" s="13">
        <v>1</v>
      </c>
      <c r="I54" s="13">
        <v>0</v>
      </c>
      <c r="J54" s="13">
        <f>IF(OR(C54="P",C54="S"),IF(L54="",1,IF(L54=1,N54,IF(L54=2,N54&amp;" * "&amp;Q54,"ERROR"))),"")</f>
        <v>1</v>
      </c>
    </row>
    <row r="55" spans="1:15" ht="15" customHeight="1" x14ac:dyDescent="0.25">
      <c r="A55" s="25" t="str">
        <f>IF(C55="","",IF(C55="C",CHAR(10) &amp; "// " &amp; E55,IF(C55="I","#define " &amp; E55 &amp; " " &amp; I55,IF(C55="P","#define " &amp; E55 &amp; " """ &amp; F55 &amp; """" &amp; CHAR(10) &amp; "#define DEFAULT_" &amp; E55 &amp; " " &amp; I55,IF(C55="S","","ERROR")))))</f>
        <v>#define V1_F001_SPATIAL_FREQUENCY "V1_F001_spatial_frequency"
#define DEFAULT_V1_F001_SPATIAL_FREQUENCY 0</v>
      </c>
      <c r="B55" s="25" t="str">
        <f>IF(C55="","",IF(C55="C","  // "&amp;E55,IF(C55="P",IF(D55="E","  Environment.",IF(D55="S","  Simulation.","ERROR"))&amp;"SetSetting("&amp;E55&amp;", "&amp;G55&amp;", "&amp;H55&amp;");",IF(C55="S",
IF(L55=1,"  for (int i = 0; i &lt; "&amp;N55&amp;"; i++) {"&amp;CHAR(10)&amp;IF(D55="E","    Environment.",IF(D55="S","    Simulation.","ERROR"))&amp;"SetSetting("&amp;M55&amp;" + "&amp;O55&amp;", "&amp;G55&amp;", "&amp;H55&amp;");"&amp;CHAR(10)&amp;"  }",
IF(L55=2,"  for (int i = 0; i &lt; "&amp;N55&amp;"; i++) {"&amp;CHAR(10)&amp;"    for (int j = 0; j &lt; "&amp;Q55&amp;"; j++) {"&amp;CHAR(10)&amp;IF(D55="E","      Environment.",IF(D55="S","      Simulation.","ERROR"))&amp;"SetSetting("&amp;M55&amp;" + "&amp;O55&amp;" + "&amp;P55&amp;" + "&amp;R55&amp;", "&amp;G55&amp;", "&amp;H55&amp;");"&amp;CHAR(10)&amp;"    }"&amp;CHAR(10)&amp;"  }","ERROR")),""))))</f>
        <v xml:space="preserve">  Simulation.SetSetting(V1_F001_SPATIAL_FREQUENCY, Data_double, 1);</v>
      </c>
      <c r="C55" s="1" t="s">
        <v>166</v>
      </c>
      <c r="D55" s="1" t="s">
        <v>268</v>
      </c>
      <c r="E55" t="s">
        <v>194</v>
      </c>
      <c r="F55" t="s">
        <v>201</v>
      </c>
      <c r="G55" s="13" t="s">
        <v>186</v>
      </c>
      <c r="H55" s="13">
        <v>1</v>
      </c>
      <c r="I55" s="13">
        <v>0</v>
      </c>
      <c r="J55" s="13">
        <f>IF(OR(C55="P",C55="S"),IF(L55="",1,IF(L55=1,N55,IF(L55=2,N55&amp;" * "&amp;Q55,"ERROR"))),"")</f>
        <v>1</v>
      </c>
    </row>
    <row r="56" spans="1:15" ht="15" customHeight="1" x14ac:dyDescent="0.25">
      <c r="A56" s="25" t="str">
        <f>IF(C56="","",IF(C56="C",CHAR(10) &amp; "// " &amp; E56,IF(C56="I","#define " &amp; E56 &amp; " " &amp; I56,IF(C56="P","#define " &amp; E56 &amp; " """ &amp; F56 &amp; """" &amp; CHAR(10) &amp; "#define DEFAULT_" &amp; E56 &amp; " " &amp; I56,IF(C56="S","","ERROR")))))</f>
        <v>#define V1_F001_TEMPORAL_FREQUENCY "V1_F001_temporal_frequency"
#define DEFAULT_V1_F001_TEMPORAL_FREQUENCY 0</v>
      </c>
      <c r="B56" s="25" t="str">
        <f>IF(C56="","",IF(C56="C","  // "&amp;E56,IF(C56="P",IF(D56="E","  Environment.",IF(D56="S","  Simulation.","ERROR"))&amp;"SetSetting("&amp;E56&amp;", "&amp;G56&amp;", "&amp;H56&amp;");",IF(C56="S",
IF(L56=1,"  for (int i = 0; i &lt; "&amp;N56&amp;"; i++) {"&amp;CHAR(10)&amp;IF(D56="E","    Environment.",IF(D56="S","    Simulation.","ERROR"))&amp;"SetSetting("&amp;M56&amp;" + "&amp;O56&amp;", "&amp;G56&amp;", "&amp;H56&amp;");"&amp;CHAR(10)&amp;"  }",
IF(L56=2,"  for (int i = 0; i &lt; "&amp;N56&amp;"; i++) {"&amp;CHAR(10)&amp;"    for (int j = 0; j &lt; "&amp;Q56&amp;"; j++) {"&amp;CHAR(10)&amp;IF(D56="E","      Environment.",IF(D56="S","      Simulation.","ERROR"))&amp;"SetSetting("&amp;M56&amp;" + "&amp;O56&amp;" + "&amp;P56&amp;" + "&amp;R56&amp;", "&amp;G56&amp;", "&amp;H56&amp;");"&amp;CHAR(10)&amp;"    }"&amp;CHAR(10)&amp;"  }","ERROR")),""))))</f>
        <v xml:space="preserve">  Simulation.SetSetting(V1_F001_TEMPORAL_FREQUENCY, Data_double, 1);</v>
      </c>
      <c r="C56" s="1" t="s">
        <v>166</v>
      </c>
      <c r="D56" s="1" t="s">
        <v>268</v>
      </c>
      <c r="E56" t="s">
        <v>195</v>
      </c>
      <c r="F56" t="s">
        <v>202</v>
      </c>
      <c r="G56" s="13" t="s">
        <v>186</v>
      </c>
      <c r="H56" s="13">
        <v>1</v>
      </c>
      <c r="I56" s="13">
        <v>0</v>
      </c>
      <c r="J56" s="13">
        <f>IF(OR(C56="P",C56="S"),IF(L56="",1,IF(L56=1,N56,IF(L56=2,N56&amp;" * "&amp;Q56,"ERROR"))),"")</f>
        <v>1</v>
      </c>
    </row>
    <row r="57" spans="1:15" ht="15" customHeight="1" x14ac:dyDescent="0.25">
      <c r="A57" s="25" t="str">
        <f>IF(C57="","",IF(C57="C",CHAR(10) &amp; "// " &amp; E57,IF(C57="I","#define " &amp; E57 &amp; " " &amp; I57,IF(C57="P","#define " &amp; E57 &amp; " """ &amp; F57 &amp; """" &amp; CHAR(10) &amp; "#define DEFAULT_" &amp; E57 &amp; " " &amp; I57,IF(C57="S","","ERROR")))))</f>
        <v>#define V1_F001_MAGNITUDE "V1_F001_magnitude"
#define DEFAULT_V1_F001_MAGNITUDE 0</v>
      </c>
      <c r="B57" s="25" t="str">
        <f>IF(C57="","",IF(C57="C","  // "&amp;E57,IF(C57="P",IF(D57="E","  Environment.",IF(D57="S","  Simulation.","ERROR"))&amp;"SetSetting("&amp;E57&amp;", "&amp;G57&amp;", "&amp;H57&amp;");",IF(C57="S",
IF(L57=1,"  for (int i = 0; i &lt; "&amp;N57&amp;"; i++) {"&amp;CHAR(10)&amp;IF(D57="E","    Environment.",IF(D57="S","    Simulation.","ERROR"))&amp;"SetSetting("&amp;M57&amp;" + "&amp;O57&amp;", "&amp;G57&amp;", "&amp;H57&amp;");"&amp;CHAR(10)&amp;"  }",
IF(L57=2,"  for (int i = 0; i &lt; "&amp;N57&amp;"; i++) {"&amp;CHAR(10)&amp;"    for (int j = 0; j &lt; "&amp;Q57&amp;"; j++) {"&amp;CHAR(10)&amp;IF(D57="E","      Environment.",IF(D57="S","      Simulation.","ERROR"))&amp;"SetSetting("&amp;M57&amp;" + "&amp;O57&amp;" + "&amp;P57&amp;" + "&amp;R57&amp;", "&amp;G57&amp;", "&amp;H57&amp;");"&amp;CHAR(10)&amp;"    }"&amp;CHAR(10)&amp;"  }","ERROR")),""))))</f>
        <v xml:space="preserve">  Simulation.SetSetting(V1_F001_MAGNITUDE, Data_double, 1);</v>
      </c>
      <c r="C57" s="1" t="s">
        <v>166</v>
      </c>
      <c r="D57" s="1" t="s">
        <v>268</v>
      </c>
      <c r="E57" t="s">
        <v>196</v>
      </c>
      <c r="F57" t="s">
        <v>203</v>
      </c>
      <c r="G57" s="13" t="s">
        <v>186</v>
      </c>
      <c r="H57" s="13">
        <v>1</v>
      </c>
      <c r="I57" s="13">
        <v>0</v>
      </c>
      <c r="J57" s="13">
        <f>IF(OR(C57="P",C57="S"),IF(L57="",1,IF(L57=1,N57,IF(L57=2,N57&amp;" * "&amp;Q57,"ERROR"))),"")</f>
        <v>1</v>
      </c>
    </row>
    <row r="58" spans="1:15" ht="15" customHeight="1" x14ac:dyDescent="0.25">
      <c r="A58" s="25" t="str">
        <f>IF(C58="","",IF(C58="C",CHAR(10) &amp; "// " &amp; E58,IF(C58="I","#define " &amp; E58 &amp; " " &amp; I58,IF(C58="P","#define " &amp; E58 &amp; " """ &amp; F58 &amp; """" &amp; CHAR(10) &amp; "#define DEFAULT_" &amp; E58 &amp; " " &amp; I58,IF(C58="S","","ERROR")))))</f>
        <v>#define V1_F001_PHASE "V1_F001_phase"
#define DEFAULT_V1_F001_PHASE 0</v>
      </c>
      <c r="B58" s="25" t="str">
        <f>IF(C58="","",IF(C58="C","  // "&amp;E58,IF(C58="P",IF(D58="E","  Environment.",IF(D58="S","  Simulation.","ERROR"))&amp;"SetSetting("&amp;E58&amp;", "&amp;G58&amp;", "&amp;H58&amp;");",IF(C58="S",
IF(L58=1,"  for (int i = 0; i &lt; "&amp;N58&amp;"; i++) {"&amp;CHAR(10)&amp;IF(D58="E","    Environment.",IF(D58="S","    Simulation.","ERROR"))&amp;"SetSetting("&amp;M58&amp;" + "&amp;O58&amp;", "&amp;G58&amp;", "&amp;H58&amp;");"&amp;CHAR(10)&amp;"  }",
IF(L58=2,"  for (int i = 0; i &lt; "&amp;N58&amp;"; i++) {"&amp;CHAR(10)&amp;"    for (int j = 0; j &lt; "&amp;Q58&amp;"; j++) {"&amp;CHAR(10)&amp;IF(D58="E","      Environment.",IF(D58="S","      Simulation.","ERROR"))&amp;"SetSetting("&amp;M58&amp;" + "&amp;O58&amp;" + "&amp;P58&amp;" + "&amp;R58&amp;", "&amp;G58&amp;", "&amp;H58&amp;");"&amp;CHAR(10)&amp;"    }"&amp;CHAR(10)&amp;"  }","ERROR")),""))))</f>
        <v xml:space="preserve">  Simulation.SetSetting(V1_F001_PHASE, Data_int, 1);</v>
      </c>
      <c r="C58" s="1" t="s">
        <v>166</v>
      </c>
      <c r="D58" s="1" t="s">
        <v>268</v>
      </c>
      <c r="E58" t="s">
        <v>197</v>
      </c>
      <c r="F58" t="s">
        <v>204</v>
      </c>
      <c r="G58" s="13" t="s">
        <v>278</v>
      </c>
      <c r="H58" s="13">
        <v>1</v>
      </c>
      <c r="I58" s="13">
        <v>0</v>
      </c>
      <c r="J58" s="13">
        <f>IF(OR(C58="P",C58="S"),IF(L58="",1,IF(L58=1,N58,IF(L58=2,N58&amp;" * "&amp;Q58,"ERROR"))),"")</f>
        <v>1</v>
      </c>
    </row>
    <row r="59" spans="1:15" s="60" customFormat="1" ht="15" customHeight="1" x14ac:dyDescent="0.25">
      <c r="A59" s="58" t="str">
        <f>IF(C59="","",IF(C59="C",CHAR(10) &amp; "// " &amp; E59,IF(C59="I","#define " &amp; E59 &amp; " " &amp; I59,IF(C59="P","#define " &amp; E59 &amp; " """ &amp; F59 &amp; """" &amp; CHAR(10) &amp; "#define DEFAULT_" &amp; E59 &amp; " " &amp; I59,IF(C59="S","","ERROR")))))</f>
        <v xml:space="preserve">
// MT Neuron Settings</v>
      </c>
      <c r="B59" s="58" t="str">
        <f>IF(C59="","",IF(C59="C","  // "&amp;E59,IF(C59="P",IF(D59="E","  Environment.",IF(D59="S","  Simulation.","ERROR"))&amp;"SetSetting("&amp;E59&amp;", "&amp;G59&amp;", "&amp;H59&amp;");",IF(C59="S",
IF(L59=1,"  for (int i = 0; i &lt; "&amp;N59&amp;"; i++) {"&amp;CHAR(10)&amp;IF(D59="E","    Environment.",IF(D59="S","    Simulation.","ERROR"))&amp;"SetSetting("&amp;M59&amp;" + "&amp;O59&amp;", "&amp;G59&amp;", "&amp;H59&amp;");"&amp;CHAR(10)&amp;"  }",
IF(L59=2,"  for (int i = 0; i &lt; "&amp;N59&amp;"; i++) {"&amp;CHAR(10)&amp;"    for (int j = 0; j &lt; "&amp;Q59&amp;"; j++) {"&amp;CHAR(10)&amp;IF(D59="E","      Environment.",IF(D59="S","      Simulation.","ERROR"))&amp;"SetSetting("&amp;M59&amp;" + "&amp;O59&amp;" + "&amp;P59&amp;" + "&amp;R59&amp;", "&amp;G59&amp;", "&amp;H59&amp;");"&amp;CHAR(10)&amp;"    }"&amp;CHAR(10)&amp;"  }","ERROR")),""))))</f>
        <v xml:space="preserve">  // MT Neuron Settings</v>
      </c>
      <c r="C59" s="59" t="s">
        <v>152</v>
      </c>
      <c r="D59" s="59"/>
      <c r="E59" s="60" t="s">
        <v>341</v>
      </c>
      <c r="F59" s="61"/>
      <c r="G59" s="61"/>
      <c r="H59" s="61"/>
      <c r="I59" s="61"/>
      <c r="J59" s="61" t="str">
        <f>IF(OR(C59="P",C59="S"),IF(L59="",1,IF(L59=1,N59,IF(L59=2,N59&amp;" * "&amp;Q59,"ERROR"))),"")</f>
        <v/>
      </c>
    </row>
    <row r="60" spans="1:15" s="32" customFormat="1" ht="15" customHeight="1" x14ac:dyDescent="0.25">
      <c r="A60" s="29" t="str">
        <f>IF(C60="","",IF(C60="C",CHAR(10) &amp; "// " &amp; E60,IF(C60="I","#define " &amp; E60 &amp; " " &amp; I60,IF(C60="P","#define " &amp; E60 &amp; " """ &amp; F60 &amp; """" &amp; CHAR(10) &amp; "#define DEFAULT_" &amp; E60 &amp; " " &amp; I60,IF(C60="S","","ERROR")))))</f>
        <v xml:space="preserve">
// MT Neuron Parameters</v>
      </c>
      <c r="B60" s="29" t="str">
        <f>IF(C60="","",IF(C60="C","  // "&amp;E60,IF(C60="P",IF(D60="E","  Environment.",IF(D60="S","  Simulation.","ERROR"))&amp;"SetSetting("&amp;E60&amp;", "&amp;G60&amp;", "&amp;H60&amp;");",IF(C60="S",
IF(L60=1,"  for (int i = 0; i &lt; "&amp;N60&amp;"; i++) {"&amp;CHAR(10)&amp;IF(D60="E","    Environment.",IF(D60="S","    Simulation.","ERROR"))&amp;"SetSetting("&amp;M60&amp;" + "&amp;O60&amp;", "&amp;G60&amp;", "&amp;H60&amp;");"&amp;CHAR(10)&amp;"  }",
IF(L60=2,"  for (int i = 0; i &lt; "&amp;N60&amp;"; i++) {"&amp;CHAR(10)&amp;"    for (int j = 0; j &lt; "&amp;Q60&amp;"; j++) {"&amp;CHAR(10)&amp;IF(D60="E","      Environment.",IF(D60="S","      Simulation.","ERROR"))&amp;"SetSetting("&amp;M60&amp;" + "&amp;O60&amp;" + "&amp;P60&amp;" + "&amp;R60&amp;", "&amp;G60&amp;", "&amp;H60&amp;");"&amp;CHAR(10)&amp;"    }"&amp;CHAR(10)&amp;"  }","ERROR")),""))))</f>
        <v xml:space="preserve">  // MT Neuron Parameters</v>
      </c>
      <c r="C60" s="30" t="s">
        <v>152</v>
      </c>
      <c r="D60" s="30"/>
      <c r="E60" s="32" t="s">
        <v>206</v>
      </c>
      <c r="F60" s="31"/>
      <c r="G60" s="31"/>
      <c r="H60" s="31"/>
      <c r="I60" s="31"/>
      <c r="J60" s="31" t="str">
        <f>IF(OR(C60="P",C60="S"),IF(L60="",1,IF(L60=1,N60,IF(L60=2,N60&amp;" * "&amp;Q60,"ERROR"))),"")</f>
        <v/>
      </c>
    </row>
    <row r="61" spans="1:15" s="36" customFormat="1" ht="15" customHeight="1" x14ac:dyDescent="0.25">
      <c r="A61" s="33" t="str">
        <f>IF(C61="","",IF(C61="C",CHAR(10) &amp; "// " &amp; E61,IF(C61="I","#define " &amp; E61 &amp; " " &amp; I61,IF(C61="P","#define " &amp; E61 &amp; " """ &amp; F61 &amp; """" &amp; CHAR(10) &amp; "#define DEFAULT_" &amp; E61 &amp; " " &amp; I61,IF(C61="S","","ERROR")))))</f>
        <v>#define MT_LABEL "MT"</v>
      </c>
      <c r="B61" s="33" t="str">
        <f>IF(C61="","",IF(C61="C","  // "&amp;E61,IF(C61="P",IF(D61="E","  Environment.",IF(D61="S","  Simulation.","ERROR"))&amp;"SetSetting("&amp;E61&amp;", "&amp;G61&amp;", "&amp;H61&amp;");",IF(C61="S",
IF(L61=1,"  for (int i = 0; i &lt; "&amp;N61&amp;"; i++) {"&amp;CHAR(10)&amp;IF(D61="E","    Environment.",IF(D61="S","    Simulation.","ERROR"))&amp;"SetSetting("&amp;M61&amp;" + "&amp;O61&amp;", "&amp;G61&amp;", "&amp;H61&amp;");"&amp;CHAR(10)&amp;"  }",
IF(L61=2,"  for (int i = 0; i &lt; "&amp;N61&amp;"; i++) {"&amp;CHAR(10)&amp;"    for (int j = 0; j &lt; "&amp;Q61&amp;"; j++) {"&amp;CHAR(10)&amp;IF(D61="E","      Environment.",IF(D61="S","      Simulation.","ERROR"))&amp;"SetSetting("&amp;M61&amp;" + "&amp;O61&amp;" + "&amp;P61&amp;" + "&amp;R61&amp;", "&amp;G61&amp;", "&amp;H61&amp;");"&amp;CHAR(10)&amp;"    }"&amp;CHAR(10)&amp;"  }","ERROR")),""))))</f>
        <v/>
      </c>
      <c r="C61" s="28" t="s">
        <v>139</v>
      </c>
      <c r="D61" s="28"/>
      <c r="E61" s="42" t="s">
        <v>272</v>
      </c>
      <c r="F61" s="35"/>
      <c r="G61" s="35"/>
      <c r="H61" s="35"/>
      <c r="I61" s="35" t="s">
        <v>273</v>
      </c>
      <c r="J61" s="35" t="str">
        <f>IF(OR(C61="P",C61="S"),IF(L61="",1,IF(L61=1,N61,IF(L61=2,N61&amp;" * "&amp;Q61,"ERROR"))),"")</f>
        <v/>
      </c>
    </row>
    <row r="62" spans="1:15" ht="15" customHeight="1" x14ac:dyDescent="0.25">
      <c r="A62" s="25" t="str">
        <f>IF(C62="","",IF(C62="C",CHAR(10) &amp; "// " &amp; E62,IF(C62="I","#define " &amp; E62 &amp; " " &amp; I62,IF(C62="P","#define " &amp; E62 &amp; " """ &amp; F62 &amp; """" &amp; CHAR(10) &amp; "#define DEFAULT_" &amp; E62 &amp; " " &amp; I62,IF(C62="S","","ERROR")))))</f>
        <v>#define MAX_MT_NEURONS 10</v>
      </c>
      <c r="B62" s="25" t="str">
        <f>IF(C62="","",IF(C62="C","  // "&amp;E62,IF(C62="P",IF(D62="E","  Environment.",IF(D62="S","  Simulation.","ERROR"))&amp;"SetSetting("&amp;E62&amp;", "&amp;G62&amp;", "&amp;H62&amp;");",IF(C62="S",
IF(L62=1,"  for (int i = 0; i &lt; "&amp;N62&amp;"; i++) {"&amp;CHAR(10)&amp;IF(D62="E","    Environment.",IF(D62="S","    Simulation.","ERROR"))&amp;"SetSetting("&amp;M62&amp;" + "&amp;O62&amp;", "&amp;G62&amp;", "&amp;H62&amp;");"&amp;CHAR(10)&amp;"  }",
IF(L62=2,"  for (int i = 0; i &lt; "&amp;N62&amp;"; i++) {"&amp;CHAR(10)&amp;"    for (int j = 0; j &lt; "&amp;Q62&amp;"; j++) {"&amp;CHAR(10)&amp;IF(D62="E","      Environment.",IF(D62="S","      Simulation.","ERROR"))&amp;"SetSetting("&amp;M62&amp;" + "&amp;O62&amp;" + "&amp;P62&amp;" + "&amp;R62&amp;", "&amp;G62&amp;", "&amp;H62&amp;");"&amp;CHAR(10)&amp;"    }"&amp;CHAR(10)&amp;"  }","ERROR")),""))))</f>
        <v/>
      </c>
      <c r="C62" s="1" t="s">
        <v>139</v>
      </c>
      <c r="E62" t="s">
        <v>207</v>
      </c>
      <c r="I62" s="13">
        <v>10</v>
      </c>
      <c r="J62" s="13" t="str">
        <f>IF(OR(C62="P",C62="S"),IF(L62="",1,IF(L62=1,N62,IF(L62=2,N62&amp;" * "&amp;Q62,"ERROR"))),"")</f>
        <v/>
      </c>
    </row>
    <row r="63" spans="1:15" ht="15" customHeight="1" x14ac:dyDescent="0.25">
      <c r="A63" s="25" t="str">
        <f>IF(C63="","",IF(C63="C",CHAR(10) &amp; "// " &amp; E63,IF(C63="I","#define " &amp; E63 &amp; " " &amp; I63,IF(C63="P","#define " &amp; E63 &amp; " """ &amp; F63 &amp; """" &amp; CHAR(10) &amp; "#define DEFAULT_" &amp; E63 &amp; " " &amp; I63,IF(C63="S","","ERROR")))))</f>
        <v/>
      </c>
      <c r="B63" s="25" t="str">
        <f>IF(C63="","",IF(C63="C","  // "&amp;E63,IF(C63="P",IF(D63="E","  Environment.",IF(D63="S","  Simulation.","ERROR"))&amp;"SetSetting("&amp;E63&amp;", "&amp;G63&amp;", "&amp;H63&amp;");",IF(C63="S",
IF(L63=1,"  for (int i = 0; i &lt; "&amp;N63&amp;"; i++) {"&amp;CHAR(10)&amp;IF(D63="E","    Environment.",IF(D63="S","    Simulation.","ERROR"))&amp;"SetSetting("&amp;M63&amp;" + "&amp;O63&amp;", "&amp;G63&amp;", "&amp;H63&amp;");"&amp;CHAR(10)&amp;"  }",
IF(L63=2,"  for (int i = 0; i &lt; "&amp;N63&amp;"; i++) {"&amp;CHAR(10)&amp;"    for (int j = 0; j &lt; "&amp;Q63&amp;"; j++) {"&amp;CHAR(10)&amp;IF(D63="E","      Environment.",IF(D63="S","      Simulation.","ERROR"))&amp;"SetSetting("&amp;M63&amp;" + "&amp;O63&amp;" + "&amp;P63&amp;" + "&amp;R63&amp;", "&amp;G63&amp;", "&amp;H63&amp;");"&amp;CHAR(10)&amp;"    }"&amp;CHAR(10)&amp;"  }","ERROR")),""))))</f>
        <v xml:space="preserve">  for (int i = 0; i &lt; MAX_MT_NEURONS; i++) {
    Simulation.SetSetting(MT_LABEL + NNumber(i), Data_double, 6);
  }</v>
      </c>
      <c r="C63" s="1" t="s">
        <v>268</v>
      </c>
      <c r="D63" s="1" t="s">
        <v>268</v>
      </c>
      <c r="E63" s="38"/>
      <c r="G63" s="13" t="s">
        <v>186</v>
      </c>
      <c r="H63" s="13">
        <v>6</v>
      </c>
      <c r="J63" s="13" t="str">
        <f>IF(OR(C63="P",C63="S"),IF(L63="",1,IF(L63=1,N63,IF(L63=2,N63&amp;" * "&amp;Q63,"ERROR"))),"")</f>
        <v>MAX_MT_NEURONS</v>
      </c>
      <c r="L63">
        <v>1</v>
      </c>
      <c r="M63" t="s">
        <v>272</v>
      </c>
      <c r="N63" t="s">
        <v>207</v>
      </c>
      <c r="O63" t="s">
        <v>275</v>
      </c>
    </row>
    <row r="64" spans="1:15" ht="15" customHeight="1" x14ac:dyDescent="0.25">
      <c r="A64" s="25" t="str">
        <f>IF(C64="","",IF(C64="C",CHAR(10) &amp; "// " &amp; E64,IF(C64="I","#define " &amp; E64 &amp; " " &amp; I64,IF(C64="P","#define " &amp; E64 &amp; " """ &amp; F64 &amp; """" &amp; CHAR(10) &amp; "#define DEFAULT_" &amp; E64 &amp; " " &amp; I64,IF(C64="S","","ERROR")))))</f>
        <v>#define MT_FIRST_CALCULATION "MT_first_calculation"
#define DEFAULT_MT_FIRST_CALCULATION "none"</v>
      </c>
      <c r="B64" s="25" t="str">
        <f>IF(C64="","",IF(C64="C","  // "&amp;E64,IF(C64="P",IF(D64="E","  Environment.",IF(D64="S","  Simulation.","ERROR"))&amp;"SetSetting("&amp;E64&amp;", "&amp;G64&amp;", "&amp;H64&amp;");",IF(C64="S",
IF(L64=1,"  for (int i = 0; i &lt; "&amp;N64&amp;"; i++) {"&amp;CHAR(10)&amp;IF(D64="E","    Environment.",IF(D64="S","    Simulation.","ERROR"))&amp;"SetSetting("&amp;M64&amp;" + "&amp;O64&amp;", "&amp;G64&amp;", "&amp;H64&amp;");"&amp;CHAR(10)&amp;"  }",
IF(L64=2,"  for (int i = 0; i &lt; "&amp;N64&amp;"; i++) {"&amp;CHAR(10)&amp;"    for (int j = 0; j &lt; "&amp;Q64&amp;"; j++) {"&amp;CHAR(10)&amp;IF(D64="E","      Environment.",IF(D64="S","      Simulation.","ERROR"))&amp;"SetSetting("&amp;M64&amp;" + "&amp;O64&amp;" + "&amp;P64&amp;" + "&amp;R64&amp;", "&amp;G64&amp;", "&amp;H64&amp;");"&amp;CHAR(10)&amp;"    }"&amp;CHAR(10)&amp;"  }","ERROR")),""))))</f>
        <v xml:space="preserve">  Simulation.SetSetting(MT_FIRST_CALCULATION, Data_string, 1);</v>
      </c>
      <c r="C64" s="1" t="s">
        <v>166</v>
      </c>
      <c r="D64" s="1" t="s">
        <v>268</v>
      </c>
      <c r="E64" s="38" t="s">
        <v>367</v>
      </c>
      <c r="F64" s="13" t="s">
        <v>368</v>
      </c>
      <c r="G64" s="13" t="s">
        <v>176</v>
      </c>
      <c r="H64" s="13">
        <v>1</v>
      </c>
      <c r="I64" s="13" t="s">
        <v>177</v>
      </c>
      <c r="J64" s="13">
        <f>IF(OR(C64="P",C64="S"),IF(L64="",1,IF(L64=1,N64,IF(L64=2,N64&amp;" * "&amp;Q64,"ERROR"))),"")</f>
        <v>1</v>
      </c>
      <c r="K64" t="s">
        <v>366</v>
      </c>
    </row>
    <row r="65" spans="1:10" ht="15" customHeight="1" x14ac:dyDescent="0.25">
      <c r="A65" s="25" t="str">
        <f>IF(C65="","",IF(C65="C",CHAR(10) &amp; "// " &amp; E65,IF(C65="I","#define " &amp; E65 &amp; " " &amp; I65,IF(C65="P","#define " &amp; E65 &amp; " """ &amp; F65 &amp; """" &amp; CHAR(10) &amp; "#define DEFAULT_" &amp; E65 &amp; " " &amp; I65,IF(C65="S","","ERROR")))))</f>
        <v>#define MT_ACTIVATION_METHOD "MT_act_method"
#define DEFAULT_MT_ACTIVATION_METHOD "none"</v>
      </c>
      <c r="B65" s="25" t="str">
        <f>IF(C65="","",IF(C65="C","  // "&amp;E65,IF(C65="P",IF(D65="E","  Environment.",IF(D65="S","  Simulation.","ERROR"))&amp;"SetSetting("&amp;E65&amp;", "&amp;G65&amp;", "&amp;H65&amp;");",IF(C65="S",
IF(L65=1,"  for (int i = 0; i &lt; "&amp;N65&amp;"; i++) {"&amp;CHAR(10)&amp;IF(D65="E","    Environment.",IF(D65="S","    Simulation.","ERROR"))&amp;"SetSetting("&amp;M65&amp;" + "&amp;O65&amp;", "&amp;G65&amp;", "&amp;H65&amp;");"&amp;CHAR(10)&amp;"  }",
IF(L65=2,"  for (int i = 0; i &lt; "&amp;N65&amp;"; i++) {"&amp;CHAR(10)&amp;"    for (int j = 0; j &lt; "&amp;Q65&amp;"; j++) {"&amp;CHAR(10)&amp;IF(D65="E","      Environment.",IF(D65="S","      Simulation.","ERROR"))&amp;"SetSetting("&amp;M65&amp;" + "&amp;O65&amp;" + "&amp;P65&amp;" + "&amp;R65&amp;", "&amp;G65&amp;", "&amp;H65&amp;");"&amp;CHAR(10)&amp;"    }"&amp;CHAR(10)&amp;"  }","ERROR")),""))))</f>
        <v xml:space="preserve">  Simulation.SetSetting(MT_ACTIVATION_METHOD, Data_string, 1);</v>
      </c>
      <c r="C65" s="1" t="s">
        <v>166</v>
      </c>
      <c r="D65" s="1" t="s">
        <v>268</v>
      </c>
      <c r="E65" t="s">
        <v>208</v>
      </c>
      <c r="F65" s="13" t="s">
        <v>209</v>
      </c>
      <c r="G65" s="13" t="s">
        <v>176</v>
      </c>
      <c r="H65" s="13">
        <v>1</v>
      </c>
      <c r="I65" s="13" t="s">
        <v>177</v>
      </c>
      <c r="J65" s="13">
        <f>IF(OR(C65="P",C65="S"),IF(L65="",1,IF(L65=1,N65,IF(L65=2,N65&amp;" * "&amp;Q65,"ERROR"))),"")</f>
        <v>1</v>
      </c>
    </row>
    <row r="66" spans="1:10" ht="15" customHeight="1" x14ac:dyDescent="0.25">
      <c r="A66" s="25" t="str">
        <f>IF(C66="","",IF(C66="C",CHAR(10) &amp; "// " &amp; E66,IF(C66="I","#define " &amp; E66 &amp; " " &amp; I66,IF(C66="P","#define " &amp; E66 &amp; " """ &amp; F66 &amp; """" &amp; CHAR(10) &amp; "#define DEFAULT_" &amp; E66 &amp; " " &amp; I66,IF(C66="S","","ERROR")))))</f>
        <v>#define MT_DACTIVATION_METHOD "MT_dac_method"
#define DEFAULT_MT_DACTIVATION_METHOD "none"</v>
      </c>
      <c r="B66" s="25" t="str">
        <f>IF(C66="","",IF(C66="C","  // "&amp;E66,IF(C66="P",IF(D66="E","  Environment.",IF(D66="S","  Simulation.","ERROR"))&amp;"SetSetting("&amp;E66&amp;", "&amp;G66&amp;", "&amp;H66&amp;");",IF(C66="S",
IF(L66=1,"  for (int i = 0; i &lt; "&amp;N66&amp;"; i++) {"&amp;CHAR(10)&amp;IF(D66="E","    Environment.",IF(D66="S","    Simulation.","ERROR"))&amp;"SetSetting("&amp;M66&amp;" + "&amp;O66&amp;", "&amp;G66&amp;", "&amp;H66&amp;");"&amp;CHAR(10)&amp;"  }",
IF(L66=2,"  for (int i = 0; i &lt; "&amp;N66&amp;"; i++) {"&amp;CHAR(10)&amp;"    for (int j = 0; j &lt; "&amp;Q66&amp;"; j++) {"&amp;CHAR(10)&amp;IF(D66="E","      Environment.",IF(D66="S","      Simulation.","ERROR"))&amp;"SetSetting("&amp;M66&amp;" + "&amp;O66&amp;" + "&amp;P66&amp;" + "&amp;R66&amp;", "&amp;G66&amp;", "&amp;H66&amp;");"&amp;CHAR(10)&amp;"    }"&amp;CHAR(10)&amp;"  }","ERROR")),""))))</f>
        <v xml:space="preserve">  Simulation.SetSetting(MT_DACTIVATION_METHOD, Data_string, 1);</v>
      </c>
      <c r="C66" s="1" t="s">
        <v>166</v>
      </c>
      <c r="D66" s="1" t="s">
        <v>268</v>
      </c>
      <c r="E66" t="s">
        <v>210</v>
      </c>
      <c r="F66" s="13" t="s">
        <v>211</v>
      </c>
      <c r="G66" s="13" t="s">
        <v>176</v>
      </c>
      <c r="H66" s="13">
        <v>1</v>
      </c>
      <c r="I66" s="13" t="s">
        <v>177</v>
      </c>
      <c r="J66" s="13">
        <f>IF(OR(C66="P",C66="S"),IF(L66="",1,IF(L66=1,N66,IF(L66=2,N66&amp;" * "&amp;Q66,"ERROR"))),"")</f>
        <v>1</v>
      </c>
    </row>
    <row r="67" spans="1:10" s="64" customFormat="1" ht="15" customHeight="1" x14ac:dyDescent="0.25">
      <c r="A67" s="62" t="str">
        <f>IF(C67="","",IF(C67="C",CHAR(10) &amp; "// " &amp; E67,IF(C67="I","#define " &amp; E67 &amp; " " &amp; I67,IF(C67="P","#define " &amp; E67 &amp; " """ &amp; F67 &amp; """" &amp; CHAR(10) &amp; "#define DEFAULT_" &amp; E67 &amp; " " &amp; I67,IF(C67="S","","ERROR")))))</f>
        <v xml:space="preserve">
// MT Activation Methods</v>
      </c>
      <c r="B67" s="62" t="str">
        <f>IF(C67="","",IF(C67="C","  // "&amp;E67,IF(C67="P",IF(D67="E","  Environment.",IF(D67="S","  Simulation.","ERROR"))&amp;"SetSetting("&amp;E67&amp;", "&amp;G67&amp;", "&amp;H67&amp;");",IF(C67="S",
IF(L67=1,"  for (int i = 0; i &lt; "&amp;N67&amp;"; i++) {"&amp;CHAR(10)&amp;IF(D67="E","    Environment.",IF(D67="S","    Simulation.","ERROR"))&amp;"SetSetting("&amp;M67&amp;" + "&amp;O67&amp;", "&amp;G67&amp;", "&amp;H67&amp;");"&amp;CHAR(10)&amp;"  }",
IF(L67=2,"  for (int i = 0; i &lt; "&amp;N67&amp;"; i++) {"&amp;CHAR(10)&amp;"    for (int j = 0; j &lt; "&amp;Q67&amp;"; j++) {"&amp;CHAR(10)&amp;IF(D67="E","      Environment.",IF(D67="S","      Simulation.","ERROR"))&amp;"SetSetting("&amp;M67&amp;" + "&amp;O67&amp;" + "&amp;P67&amp;" + "&amp;R67&amp;", "&amp;G67&amp;", "&amp;H67&amp;");"&amp;CHAR(10)&amp;"    }"&amp;CHAR(10)&amp;"  }","ERROR")),""))))</f>
        <v xml:space="preserve">  // MT Activation Methods</v>
      </c>
      <c r="C67" s="63" t="s">
        <v>152</v>
      </c>
      <c r="D67" s="63"/>
      <c r="E67" s="64" t="s">
        <v>344</v>
      </c>
      <c r="F67" s="65"/>
      <c r="G67" s="65"/>
      <c r="H67" s="65"/>
      <c r="I67" s="65"/>
      <c r="J67" s="65" t="str">
        <f>IF(OR(C67="P",C67="S"),IF(L67="",1,IF(L67=1,N67,IF(L67=2,N67&amp;" * "&amp;Q67,"ERROR"))),"")</f>
        <v/>
      </c>
    </row>
    <row r="68" spans="1:10" ht="15" customHeight="1" x14ac:dyDescent="0.25">
      <c r="A68" s="25" t="str">
        <f>IF(C68="","",IF(C68="C",CHAR(10) &amp; "// " &amp; E68,IF(C68="I","#define " &amp; E68 &amp; " " &amp; I68,IF(C68="P","#define " &amp; E68 &amp; " """ &amp; F68 &amp; """" &amp; CHAR(10) &amp; "#define DEFAULT_" &amp; E68 &amp; " " &amp; I68,IF(C68="S","","ERROR")))))</f>
        <v>#define MT_A001 "MT_A001"</v>
      </c>
      <c r="B68" s="25" t="str">
        <f>IF(C68="","",IF(C68="C","  // "&amp;E68,IF(C68="P",IF(D68="E","  Environment.",IF(D68="S","  Simulation.","ERROR"))&amp;"SetSetting("&amp;E68&amp;", "&amp;G68&amp;", "&amp;H68&amp;");",IF(C68="S",
IF(L68=1,"  for (int i = 0; i &lt; "&amp;N68&amp;"; i++) {"&amp;CHAR(10)&amp;IF(D68="E","    Environment.",IF(D68="S","    Simulation.","ERROR"))&amp;"SetSetting("&amp;M68&amp;" + "&amp;O68&amp;", "&amp;G68&amp;", "&amp;H68&amp;");"&amp;CHAR(10)&amp;"  }",
IF(L68=2,"  for (int i = 0; i &lt; "&amp;N68&amp;"; i++) {"&amp;CHAR(10)&amp;"    for (int j = 0; j &lt; "&amp;Q68&amp;"; j++) {"&amp;CHAR(10)&amp;IF(D68="E","      Environment.",IF(D68="S","      Simulation.","ERROR"))&amp;"SetSetting("&amp;M68&amp;" + "&amp;O68&amp;" + "&amp;P68&amp;" + "&amp;R68&amp;", "&amp;G68&amp;", "&amp;H68&amp;");"&amp;CHAR(10)&amp;"    }"&amp;CHAR(10)&amp;"  }","ERROR")),""))))</f>
        <v/>
      </c>
      <c r="C68" s="1" t="s">
        <v>139</v>
      </c>
      <c r="E68" t="s">
        <v>212</v>
      </c>
      <c r="I68" s="13" t="s">
        <v>252</v>
      </c>
      <c r="J68" s="13" t="str">
        <f>IF(OR(C68="P",C68="S"),IF(L68="",1,IF(L68=1,N68,IF(L68=2,N68&amp;" * "&amp;Q68,"ERROR"))),"")</f>
        <v/>
      </c>
    </row>
    <row r="69" spans="1:10" s="32" customFormat="1" ht="15" customHeight="1" x14ac:dyDescent="0.25">
      <c r="A69" s="29" t="str">
        <f>IF(C69="","",IF(C69="C",CHAR(10) &amp; "// " &amp; E69,IF(C69="I","#define " &amp; E69 &amp; " " &amp; I69,IF(C69="P","#define " &amp; E69 &amp; " """ &amp; F69 &amp; """" &amp; CHAR(10) &amp; "#define DEFAULT_" &amp; E69 &amp; " " &amp; I69,IF(C69="S","","ERROR")))))</f>
        <v xml:space="preserve">
// MT_A001 Parameters</v>
      </c>
      <c r="B69" s="29" t="str">
        <f>IF(C69="","",IF(C69="C","  // "&amp;E69,IF(C69="P",IF(D69="E","  Environment.",IF(D69="S","  Simulation.","ERROR"))&amp;"SetSetting("&amp;E69&amp;", "&amp;G69&amp;", "&amp;H69&amp;");",IF(C69="S",
IF(L69=1,"  for (int i = 0; i &lt; "&amp;N69&amp;"; i++) {"&amp;CHAR(10)&amp;IF(D69="E","    Environment.",IF(D69="S","    Simulation.","ERROR"))&amp;"SetSetting("&amp;M69&amp;" + "&amp;O69&amp;", "&amp;G69&amp;", "&amp;H69&amp;");"&amp;CHAR(10)&amp;"  }",
IF(L69=2,"  for (int i = 0; i &lt; "&amp;N69&amp;"; i++) {"&amp;CHAR(10)&amp;"    for (int j = 0; j &lt; "&amp;Q69&amp;"; j++) {"&amp;CHAR(10)&amp;IF(D69="E","      Environment.",IF(D69="S","      Simulation.","ERROR"))&amp;"SetSetting("&amp;M69&amp;" + "&amp;O69&amp;" + "&amp;P69&amp;" + "&amp;R69&amp;", "&amp;G69&amp;", "&amp;H69&amp;");"&amp;CHAR(10)&amp;"    }"&amp;CHAR(10)&amp;"  }","ERROR")),""))))</f>
        <v xml:space="preserve">  // MT_A001 Parameters</v>
      </c>
      <c r="C69" s="30" t="s">
        <v>152</v>
      </c>
      <c r="D69" s="30"/>
      <c r="E69" s="32" t="s">
        <v>342</v>
      </c>
      <c r="F69" s="31"/>
      <c r="G69" s="31"/>
      <c r="H69" s="31"/>
      <c r="I69" s="31"/>
      <c r="J69" s="31" t="str">
        <f>IF(OR(C69="P",C69="S"),IF(L69="",1,IF(L69=1,N69,IF(L69=2,N69&amp;" * "&amp;Q69,"ERROR"))),"")</f>
        <v/>
      </c>
    </row>
    <row r="70" spans="1:10" s="32" customFormat="1" ht="15" customHeight="1" x14ac:dyDescent="0.25">
      <c r="A70" s="29" t="str">
        <f>IF(C70="","",IF(C70="C",CHAR(10) &amp; "// " &amp; E70,IF(C70="I","#define " &amp; E70 &amp; " " &amp; I70,IF(C70="P","#define " &amp; E70 &amp; " """ &amp; F70 &amp; """" &amp; CHAR(10) &amp; "#define DEFAULT_" &amp; E70 &amp; " " &amp; I70,IF(C70="S","","ERROR")))))</f>
        <v xml:space="preserve">
// None</v>
      </c>
      <c r="B70" s="29" t="str">
        <f>IF(C70="","",IF(C70="C","  // "&amp;E70,IF(C70="P",IF(D70="E","  Environment.",IF(D70="S","  Simulation.","ERROR"))&amp;"SetSetting("&amp;E70&amp;", "&amp;G70&amp;", "&amp;H70&amp;");",IF(C70="S",
IF(L70=1,"  for (int i = 0; i &lt; "&amp;N70&amp;"; i++) {"&amp;CHAR(10)&amp;IF(D70="E","    Environment.",IF(D70="S","    Simulation.","ERROR"))&amp;"SetSetting("&amp;M70&amp;" + "&amp;O70&amp;", "&amp;G70&amp;", "&amp;H70&amp;");"&amp;CHAR(10)&amp;"  }",
IF(L70=2,"  for (int i = 0; i &lt; "&amp;N70&amp;"; i++) {"&amp;CHAR(10)&amp;"    for (int j = 0; j &lt; "&amp;Q70&amp;"; j++) {"&amp;CHAR(10)&amp;IF(D70="E","      Environment.",IF(D70="S","      Simulation.","ERROR"))&amp;"SetSetting("&amp;M70&amp;" + "&amp;O70&amp;" + "&amp;P70&amp;" + "&amp;R70&amp;", "&amp;G70&amp;", "&amp;H70&amp;");"&amp;CHAR(10)&amp;"    }"&amp;CHAR(10)&amp;"  }","ERROR")),""))))</f>
        <v xml:space="preserve">  // None</v>
      </c>
      <c r="C70" s="30" t="s">
        <v>152</v>
      </c>
      <c r="D70" s="30"/>
      <c r="E70" s="32" t="s">
        <v>343</v>
      </c>
      <c r="F70" s="31"/>
      <c r="G70" s="31"/>
      <c r="H70" s="31"/>
      <c r="I70" s="31"/>
      <c r="J70" s="31" t="str">
        <f>IF(OR(C70="P",C70="S"),IF(L70="",1,IF(L70=1,N70,IF(L70=2,N70&amp;" * "&amp;Q70,"ERROR"))),"")</f>
        <v/>
      </c>
    </row>
    <row r="71" spans="1:10" s="64" customFormat="1" ht="15" customHeight="1" x14ac:dyDescent="0.25">
      <c r="A71" s="62" t="str">
        <f>IF(C71="","",IF(C71="C",CHAR(10) &amp; "// " &amp; E71,IF(C71="I","#define " &amp; E71 &amp; " " &amp; I71,IF(C71="P","#define " &amp; E71 &amp; " """ &amp; F71 &amp; """" &amp; CHAR(10) &amp; "#define DEFAULT_" &amp; E71 &amp; " " &amp; I71,IF(C71="S","","ERROR")))))</f>
        <v xml:space="preserve">
// MT Derivate Activation Methods</v>
      </c>
      <c r="B71" s="62" t="str">
        <f>IF(C71="","",IF(C71="C","  // "&amp;E71,IF(C71="P",IF(D71="E","  Environment.",IF(D71="S","  Simulation.","ERROR"))&amp;"SetSetting("&amp;E71&amp;", "&amp;G71&amp;", "&amp;H71&amp;");",IF(C71="S",
IF(L71=1,"  for (int i = 0; i &lt; "&amp;N71&amp;"; i++) {"&amp;CHAR(10)&amp;IF(D71="E","    Environment.",IF(D71="S","    Simulation.","ERROR"))&amp;"SetSetting("&amp;M71&amp;" + "&amp;O71&amp;", "&amp;G71&amp;", "&amp;H71&amp;");"&amp;CHAR(10)&amp;"  }",
IF(L71=2,"  for (int i = 0; i &lt; "&amp;N71&amp;"; i++) {"&amp;CHAR(10)&amp;"    for (int j = 0; j &lt; "&amp;Q71&amp;"; j++) {"&amp;CHAR(10)&amp;IF(D71="E","      Environment.",IF(D71="S","      Simulation.","ERROR"))&amp;"SetSetting("&amp;M71&amp;" + "&amp;O71&amp;" + "&amp;P71&amp;" + "&amp;R71&amp;", "&amp;G71&amp;", "&amp;H71&amp;");"&amp;CHAR(10)&amp;"    }"&amp;CHAR(10)&amp;"  }","ERROR")),""))))</f>
        <v xml:space="preserve">  // MT Derivate Activation Methods</v>
      </c>
      <c r="C71" s="63" t="s">
        <v>152</v>
      </c>
      <c r="D71" s="63"/>
      <c r="E71" s="64" t="s">
        <v>345</v>
      </c>
      <c r="F71" s="65"/>
      <c r="G71" s="65"/>
      <c r="H71" s="65"/>
      <c r="I71" s="65"/>
      <c r="J71" s="65" t="str">
        <f>IF(OR(C71="P",C71="S"),IF(L71="",1,IF(L71=1,N71,IF(L71=2,N71&amp;" * "&amp;Q71,"ERROR"))),"")</f>
        <v/>
      </c>
    </row>
    <row r="72" spans="1:10" ht="15" customHeight="1" x14ac:dyDescent="0.25">
      <c r="A72" s="25" t="str">
        <f>IF(C72="","",IF(C72="C",CHAR(10) &amp; "// " &amp; E72,IF(C72="I","#define " &amp; E72 &amp; " " &amp; I72,IF(C72="P","#define " &amp; E72 &amp; " """ &amp; F72 &amp; """" &amp; CHAR(10) &amp; "#define DEFAULT_" &amp; E72 &amp; " " &amp; I72,IF(C72="S","","ERROR")))))</f>
        <v>#define MT_D001 "MT_D001"</v>
      </c>
      <c r="B72" s="25" t="str">
        <f>IF(C72="","",IF(C72="C","  // "&amp;E72,IF(C72="P",IF(D72="E","  Environment.",IF(D72="S","  Simulation.","ERROR"))&amp;"SetSetting("&amp;E72&amp;", "&amp;G72&amp;", "&amp;H72&amp;");",IF(C72="S",
IF(L72=1,"  for (int i = 0; i &lt; "&amp;N72&amp;"; i++) {"&amp;CHAR(10)&amp;IF(D72="E","    Environment.",IF(D72="S","    Simulation.","ERROR"))&amp;"SetSetting("&amp;M72&amp;" + "&amp;O72&amp;", "&amp;G72&amp;", "&amp;H72&amp;");"&amp;CHAR(10)&amp;"  }",
IF(L72=2,"  for (int i = 0; i &lt; "&amp;N72&amp;"; i++) {"&amp;CHAR(10)&amp;"    for (int j = 0; j &lt; "&amp;Q72&amp;"; j++) {"&amp;CHAR(10)&amp;IF(D72="E","      Environment.",IF(D72="S","      Simulation.","ERROR"))&amp;"SetSetting("&amp;M72&amp;" + "&amp;O72&amp;" + "&amp;P72&amp;" + "&amp;R72&amp;", "&amp;G72&amp;", "&amp;H72&amp;");"&amp;CHAR(10)&amp;"    }"&amp;CHAR(10)&amp;"  }","ERROR")),""))))</f>
        <v/>
      </c>
      <c r="C72" s="1" t="s">
        <v>139</v>
      </c>
      <c r="E72" t="s">
        <v>346</v>
      </c>
      <c r="I72" s="13" t="s">
        <v>347</v>
      </c>
      <c r="J72" s="13" t="str">
        <f>IF(OR(C72="P",C72="S"),IF(L72="",1,IF(L72=1,N72,IF(L72=2,N72&amp;" * "&amp;Q72,"ERROR"))),"")</f>
        <v/>
      </c>
    </row>
    <row r="73" spans="1:10" s="32" customFormat="1" ht="15" customHeight="1" x14ac:dyDescent="0.25">
      <c r="A73" s="29" t="str">
        <f>IF(C73="","",IF(C73="C",CHAR(10) &amp; "// " &amp; E73,IF(C73="I","#define " &amp; E73 &amp; " " &amp; I73,IF(C73="P","#define " &amp; E73 &amp; " """ &amp; F73 &amp; """" &amp; CHAR(10) &amp; "#define DEFAULT_" &amp; E73 &amp; " " &amp; I73,IF(C73="S","","ERROR")))))</f>
        <v xml:space="preserve">
// MT_D001 Parameters</v>
      </c>
      <c r="B73" s="29" t="str">
        <f>IF(C73="","",IF(C73="C","  // "&amp;E73,IF(C73="P",IF(D73="E","  Environment.",IF(D73="S","  Simulation.","ERROR"))&amp;"SetSetting("&amp;E73&amp;", "&amp;G73&amp;", "&amp;H73&amp;");",IF(C73="S",
IF(L73=1,"  for (int i = 0; i &lt; "&amp;N73&amp;"; i++) {"&amp;CHAR(10)&amp;IF(D73="E","    Environment.",IF(D73="S","    Simulation.","ERROR"))&amp;"SetSetting("&amp;M73&amp;" + "&amp;O73&amp;", "&amp;G73&amp;", "&amp;H73&amp;");"&amp;CHAR(10)&amp;"  }",
IF(L73=2,"  for (int i = 0; i &lt; "&amp;N73&amp;"; i++) {"&amp;CHAR(10)&amp;"    for (int j = 0; j &lt; "&amp;Q73&amp;"; j++) {"&amp;CHAR(10)&amp;IF(D73="E","      Environment.",IF(D73="S","      Simulation.","ERROR"))&amp;"SetSetting("&amp;M73&amp;" + "&amp;O73&amp;" + "&amp;P73&amp;" + "&amp;R73&amp;", "&amp;G73&amp;", "&amp;H73&amp;");"&amp;CHAR(10)&amp;"    }"&amp;CHAR(10)&amp;"  }","ERROR")),""))))</f>
        <v xml:space="preserve">  // MT_D001 Parameters</v>
      </c>
      <c r="C73" s="30" t="s">
        <v>152</v>
      </c>
      <c r="D73" s="30"/>
      <c r="E73" s="32" t="s">
        <v>348</v>
      </c>
      <c r="F73" s="31"/>
      <c r="G73" s="31"/>
      <c r="H73" s="31"/>
      <c r="I73" s="31"/>
      <c r="J73" s="31" t="str">
        <f>IF(OR(C73="P",C73="S"),IF(L73="",1,IF(L73=1,N73,IF(L73=2,N73&amp;" * "&amp;Q73,"ERROR"))),"")</f>
        <v/>
      </c>
    </row>
    <row r="74" spans="1:10" s="32" customFormat="1" ht="15" customHeight="1" x14ac:dyDescent="0.25">
      <c r="A74" s="29" t="str">
        <f>IF(C74="","",IF(C74="C",CHAR(10) &amp; "// " &amp; E74,IF(C74="I","#define " &amp; E74 &amp; " " &amp; I74,IF(C74="P","#define " &amp; E74 &amp; " """ &amp; F74 &amp; """" &amp; CHAR(10) &amp; "#define DEFAULT_" &amp; E74 &amp; " " &amp; I74,IF(C74="S","","ERROR")))))</f>
        <v xml:space="preserve">
// None</v>
      </c>
      <c r="B74" s="29" t="str">
        <f>IF(C74="","",IF(C74="C","  // "&amp;E74,IF(C74="P",IF(D74="E","  Environment.",IF(D74="S","  Simulation.","ERROR"))&amp;"SetSetting("&amp;E74&amp;", "&amp;G74&amp;", "&amp;H74&amp;");",IF(C74="S",
IF(L74=1,"  for (int i = 0; i &lt; "&amp;N74&amp;"; i++) {"&amp;CHAR(10)&amp;IF(D74="E","    Environment.",IF(D74="S","    Simulation.","ERROR"))&amp;"SetSetting("&amp;M74&amp;" + "&amp;O74&amp;", "&amp;G74&amp;", "&amp;H74&amp;");"&amp;CHAR(10)&amp;"  }",
IF(L74=2,"  for (int i = 0; i &lt; "&amp;N74&amp;"; i++) {"&amp;CHAR(10)&amp;"    for (int j = 0; j &lt; "&amp;Q74&amp;"; j++) {"&amp;CHAR(10)&amp;IF(D74="E","      Environment.",IF(D74="S","      Simulation.","ERROR"))&amp;"SetSetting("&amp;M74&amp;" + "&amp;O74&amp;" + "&amp;P74&amp;" + "&amp;R74&amp;", "&amp;G74&amp;", "&amp;H74&amp;");"&amp;CHAR(10)&amp;"    }"&amp;CHAR(10)&amp;"  }","ERROR")),""))))</f>
        <v xml:space="preserve">  // None</v>
      </c>
      <c r="C74" s="30" t="s">
        <v>152</v>
      </c>
      <c r="D74" s="30"/>
      <c r="E74" s="32" t="s">
        <v>343</v>
      </c>
      <c r="F74" s="31"/>
      <c r="G74" s="31"/>
      <c r="H74" s="31"/>
      <c r="I74" s="31"/>
      <c r="J74" s="31" t="str">
        <f>IF(OR(C74="P",C74="S"),IF(L74="",1,IF(L74=1,N74,IF(L74=2,N74&amp;" * "&amp;Q74,"ERROR"))),"")</f>
        <v/>
      </c>
    </row>
    <row r="75" spans="1:10" s="60" customFormat="1" ht="15" customHeight="1" x14ac:dyDescent="0.25">
      <c r="A75" s="58" t="str">
        <f>IF(C75="","",IF(C75="C",CHAR(10) &amp; "// " &amp; E75,IF(C75="I","#define " &amp; E75 &amp; " " &amp; I75,IF(C75="P","#define " &amp; E75 &amp; " """ &amp; F75 &amp; """" &amp; CHAR(10) &amp; "#define DEFAULT_" &amp; E75 &amp; " " &amp; I75,IF(C75="S","","ERROR")))))</f>
        <v xml:space="preserve">
// Neuron Linking</v>
      </c>
      <c r="B75" s="58" t="str">
        <f>IF(C75="","",IF(C75="C","  // "&amp;E75,IF(C75="P",IF(D75="E","  Environment.",IF(D75="S","  Simulation.","ERROR"))&amp;"SetSetting("&amp;E75&amp;", "&amp;G75&amp;", "&amp;H75&amp;");",IF(C75="S",
IF(L75=1,"  for (int i = 0; i &lt; "&amp;N75&amp;"; i++) {"&amp;CHAR(10)&amp;IF(D75="E","    Environment.",IF(D75="S","    Simulation.","ERROR"))&amp;"SetSetting("&amp;M75&amp;" + "&amp;O75&amp;", "&amp;G75&amp;", "&amp;H75&amp;");"&amp;CHAR(10)&amp;"  }",
IF(L75=2,"  for (int i = 0; i &lt; "&amp;N75&amp;"; i++) {"&amp;CHAR(10)&amp;"    for (int j = 0; j &lt; "&amp;Q75&amp;"; j++) {"&amp;CHAR(10)&amp;IF(D75="E","      Environment.",IF(D75="S","      Simulation.","ERROR"))&amp;"SetSetting("&amp;M75&amp;" + "&amp;O75&amp;" + "&amp;P75&amp;" + "&amp;R75&amp;", "&amp;G75&amp;", "&amp;H75&amp;");"&amp;CHAR(10)&amp;"    }"&amp;CHAR(10)&amp;"  }","ERROR")),""))))</f>
        <v xml:space="preserve">  // Neuron Linking</v>
      </c>
      <c r="C75" s="59" t="s">
        <v>152</v>
      </c>
      <c r="D75" s="59"/>
      <c r="E75" s="60" t="s">
        <v>349</v>
      </c>
      <c r="F75" s="61"/>
      <c r="G75" s="61"/>
      <c r="H75" s="61"/>
      <c r="I75" s="61"/>
      <c r="J75" s="61" t="str">
        <f>IF(OR(C75="P",C75="S"),IF(L75="",1,IF(L75=1,N75,IF(L75=2,N75&amp;" * "&amp;Q75,"ERROR"))),"")</f>
        <v/>
      </c>
    </row>
    <row r="76" spans="1:10" s="64" customFormat="1" ht="15" customHeight="1" x14ac:dyDescent="0.25">
      <c r="A76" s="62" t="str">
        <f>IF(C76="","",IF(C76="C",CHAR(10) &amp; "// " &amp; E76,IF(C76="I","#define " &amp; E76 &amp; " " &amp; I76,IF(C76="P","#define " &amp; E76 &amp; " """ &amp; F76 &amp; """" &amp; CHAR(10) &amp; "#define DEFAULT_" &amp; E76 &amp; " " &amp; I76,IF(C76="S","","ERROR")))))</f>
        <v xml:space="preserve">
// V1V1 Linking Methods</v>
      </c>
      <c r="B76" s="62" t="str">
        <f>IF(C76="","",IF(C76="C","  // "&amp;E76,IF(C76="P",IF(D76="E","  Environment.",IF(D76="S","  Simulation.","ERROR"))&amp;"SetSetting("&amp;E76&amp;", "&amp;G76&amp;", "&amp;H76&amp;");",IF(C76="S",
IF(L76=1,"  for (int i = 0; i &lt; "&amp;N76&amp;"; i++) {"&amp;CHAR(10)&amp;IF(D76="E","    Environment.",IF(D76="S","    Simulation.","ERROR"))&amp;"SetSetting("&amp;M76&amp;" + "&amp;O76&amp;", "&amp;G76&amp;", "&amp;H76&amp;");"&amp;CHAR(10)&amp;"  }",
IF(L76=2,"  for (int i = 0; i &lt; "&amp;N76&amp;"; i++) {"&amp;CHAR(10)&amp;"    for (int j = 0; j &lt; "&amp;Q76&amp;"; j++) {"&amp;CHAR(10)&amp;IF(D76="E","      Environment.",IF(D76="S","      Simulation.","ERROR"))&amp;"SetSetting("&amp;M76&amp;" + "&amp;O76&amp;" + "&amp;P76&amp;" + "&amp;R76&amp;", "&amp;G76&amp;", "&amp;H76&amp;");"&amp;CHAR(10)&amp;"    }"&amp;CHAR(10)&amp;"  }","ERROR")),""))))</f>
        <v xml:space="preserve">  // V1V1 Linking Methods</v>
      </c>
      <c r="C76" s="63" t="s">
        <v>152</v>
      </c>
      <c r="D76" s="63"/>
      <c r="E76" s="64" t="s">
        <v>350</v>
      </c>
      <c r="F76" s="65"/>
      <c r="G76" s="65"/>
      <c r="H76" s="65"/>
      <c r="I76" s="65"/>
      <c r="J76" s="65" t="str">
        <f>IF(OR(C76="P",C76="S"),IF(L76="",1,IF(L76=1,N76,IF(L76=2,N76&amp;" * "&amp;Q76,"ERROR"))),"")</f>
        <v/>
      </c>
    </row>
    <row r="77" spans="1:10" s="36" customFormat="1" ht="15" customHeight="1" x14ac:dyDescent="0.25">
      <c r="A77" s="33" t="str">
        <f>IF(C77="","",IF(C77="C",CHAR(10) &amp; "// " &amp; E77,IF(C77="I","#define " &amp; E77 &amp; " " &amp; I77,IF(C77="P","#define " &amp; E77 &amp; " """ &amp; F77 &amp; """" &amp; CHAR(10) &amp; "#define DEFAULT_" &amp; E77 &amp; " " &amp; I77,IF(C77="S","","ERROR")))))</f>
        <v>#define V1V1_CONNECTION_METHOD "V1V1_connection_method"
#define DEFAULT_V1V1_CONNECTION_METHOD "none"</v>
      </c>
      <c r="B77" s="33" t="str">
        <f>IF(C77="","",IF(C77="C","  // "&amp;E77,IF(C77="P",IF(D77="E","  Environment.",IF(D77="S","  Simulation.","ERROR"))&amp;"SetSetting("&amp;E77&amp;", "&amp;G77&amp;", "&amp;H77&amp;");",IF(C77="S",
IF(L77=1,"  for (int i = 0; i &lt; "&amp;N77&amp;"; i++) {"&amp;CHAR(10)&amp;IF(D77="E","    Environment.",IF(D77="S","    Simulation.","ERROR"))&amp;"SetSetting("&amp;M77&amp;" + "&amp;O77&amp;", "&amp;G77&amp;", "&amp;H77&amp;");"&amp;CHAR(10)&amp;"  }",
IF(L77=2,"  for (int i = 0; i &lt; "&amp;N77&amp;"; i++) {"&amp;CHAR(10)&amp;"    for (int j = 0; j &lt; "&amp;Q77&amp;"; j++) {"&amp;CHAR(10)&amp;IF(D77="E","      Environment.",IF(D77="S","      Simulation.","ERROR"))&amp;"SetSetting("&amp;M77&amp;" + "&amp;O77&amp;" + "&amp;P77&amp;" + "&amp;R77&amp;", "&amp;G77&amp;", "&amp;H77&amp;");"&amp;CHAR(10)&amp;"    }"&amp;CHAR(10)&amp;"  }","ERROR")),""))))</f>
        <v xml:space="preserve">  Simulation.SetSetting(V1V1_CONNECTION_METHOD, Data_string, 1);</v>
      </c>
      <c r="C77" s="28" t="s">
        <v>166</v>
      </c>
      <c r="D77" s="28" t="s">
        <v>268</v>
      </c>
      <c r="E77" s="36" t="s">
        <v>359</v>
      </c>
      <c r="F77" s="35" t="s">
        <v>360</v>
      </c>
      <c r="G77" s="35" t="s">
        <v>176</v>
      </c>
      <c r="H77" s="35">
        <v>1</v>
      </c>
      <c r="I77" s="35" t="s">
        <v>177</v>
      </c>
      <c r="J77" s="35">
        <f>IF(OR(C77="P",C77="S"),IF(L77="",1,IF(L77=1,N77,IF(L77=2,N77&amp;" * "&amp;Q77,"ERROR"))),"")</f>
        <v>1</v>
      </c>
    </row>
    <row r="78" spans="1:10" ht="15" customHeight="1" x14ac:dyDescent="0.25">
      <c r="A78" s="25" t="str">
        <f>IF(C78="","",IF(C78="C",CHAR(10) &amp; "// " &amp; E78,IF(C78="I","#define " &amp; E78 &amp; " " &amp; I78,IF(C78="P","#define " &amp; E78 &amp; " """ &amp; F78 &amp; """" &amp; CHAR(10) &amp; "#define DEFAULT_" &amp; E78 &amp; " " &amp; I78,IF(C78="S","","ERROR")))))</f>
        <v>#define V1V1_L001 "V1V1_L001"</v>
      </c>
      <c r="B78" s="25" t="str">
        <f>IF(C78="","",IF(C78="C","  // "&amp;E78,IF(C78="P",IF(D78="E","  Environment.",IF(D78="S","  Simulation.","ERROR"))&amp;"SetSetting("&amp;E78&amp;", "&amp;G78&amp;", "&amp;H78&amp;");",IF(C78="S",
IF(L78=1,"  for (int i = 0; i &lt; "&amp;N78&amp;"; i++) {"&amp;CHAR(10)&amp;IF(D78="E","    Environment.",IF(D78="S","    Simulation.","ERROR"))&amp;"SetSetting("&amp;M78&amp;" + "&amp;O78&amp;", "&amp;G78&amp;", "&amp;H78&amp;");"&amp;CHAR(10)&amp;"  }",
IF(L78=2,"  for (int i = 0; i &lt; "&amp;N78&amp;"; i++) {"&amp;CHAR(10)&amp;"    for (int j = 0; j &lt; "&amp;Q78&amp;"; j++) {"&amp;CHAR(10)&amp;IF(D78="E","      Environment.",IF(D78="S","      Simulation.","ERROR"))&amp;"SetSetting("&amp;M78&amp;" + "&amp;O78&amp;" + "&amp;P78&amp;" + "&amp;R78&amp;", "&amp;G78&amp;", "&amp;H78&amp;");"&amp;CHAR(10)&amp;"    }"&amp;CHAR(10)&amp;"  }","ERROR")),""))))</f>
        <v/>
      </c>
      <c r="C78" s="1" t="s">
        <v>139</v>
      </c>
      <c r="E78" t="s">
        <v>351</v>
      </c>
      <c r="I78" s="13" t="s">
        <v>352</v>
      </c>
      <c r="J78" s="13" t="str">
        <f>IF(OR(C78="P",C78="S"),IF(L78="",1,IF(L78=1,N78,IF(L78=2,N78&amp;" * "&amp;Q78,"ERROR"))),"")</f>
        <v/>
      </c>
    </row>
    <row r="79" spans="1:10" s="32" customFormat="1" ht="15" customHeight="1" x14ac:dyDescent="0.25">
      <c r="A79" s="29" t="str">
        <f>IF(C79="","",IF(C79="C",CHAR(10) &amp; "// " &amp; E79,IF(C79="I","#define " &amp; E79 &amp; " " &amp; I79,IF(C79="P","#define " &amp; E79 &amp; " """ &amp; F79 &amp; """" &amp; CHAR(10) &amp; "#define DEFAULT_" &amp; E79 &amp; " " &amp; I79,IF(C79="S","","ERROR")))))</f>
        <v xml:space="preserve">
// V1V1_L001 Link Parameters</v>
      </c>
      <c r="B79" s="29" t="str">
        <f>IF(C79="","",IF(C79="C","  // "&amp;E79,IF(C79="P",IF(D79="E","  Environment.",IF(D79="S","  Simulation.","ERROR"))&amp;"SetSetting("&amp;E79&amp;", "&amp;G79&amp;", "&amp;H79&amp;");",IF(C79="S",
IF(L79=1,"  for (int i = 0; i &lt; "&amp;N79&amp;"; i++) {"&amp;CHAR(10)&amp;IF(D79="E","    Environment.",IF(D79="S","    Simulation.","ERROR"))&amp;"SetSetting("&amp;M79&amp;" + "&amp;O79&amp;", "&amp;G79&amp;", "&amp;H79&amp;");"&amp;CHAR(10)&amp;"  }",
IF(L79=2,"  for (int i = 0; i &lt; "&amp;N79&amp;"; i++) {"&amp;CHAR(10)&amp;"    for (int j = 0; j &lt; "&amp;Q79&amp;"; j++) {"&amp;CHAR(10)&amp;IF(D79="E","      Environment.",IF(D79="S","      Simulation.","ERROR"))&amp;"SetSetting("&amp;M79&amp;" + "&amp;O79&amp;" + "&amp;P79&amp;" + "&amp;R79&amp;", "&amp;G79&amp;", "&amp;H79&amp;");"&amp;CHAR(10)&amp;"    }"&amp;CHAR(10)&amp;"  }","ERROR")),""))))</f>
        <v xml:space="preserve">  // V1V1_L001 Link Parameters</v>
      </c>
      <c r="C79" s="30" t="s">
        <v>152</v>
      </c>
      <c r="D79" s="30"/>
      <c r="E79" s="32" t="s">
        <v>353</v>
      </c>
      <c r="F79" s="31"/>
      <c r="G79" s="31"/>
      <c r="H79" s="31"/>
      <c r="I79" s="31"/>
      <c r="J79" s="31" t="str">
        <f>IF(OR(C79="P",C79="S"),IF(L79="",1,IF(L79=1,N79,IF(L79=2,N79&amp;" * "&amp;Q79,"ERROR"))),"")</f>
        <v/>
      </c>
    </row>
    <row r="80" spans="1:10" s="36" customFormat="1" ht="15" customHeight="1" x14ac:dyDescent="0.25">
      <c r="A80" s="33" t="str">
        <f>IF(C80="","",IF(C80="C",CHAR(10) &amp; "// " &amp; E80,IF(C80="I","#define " &amp; E80 &amp; " " &amp; I80,IF(C80="P","#define " &amp; E80 &amp; " """ &amp; F80 &amp; """" &amp; CHAR(10) &amp; "#define DEFAULT_" &amp; E80 &amp; " " &amp; I80,IF(C80="S","","ERROR")))))</f>
        <v>#define V1V1_L001_BASE_WEIGHT_SOURCE "V1V1_L001_base_weight_source"
#define DEFAULT_V1V1_L001_BASE_WEIGHT_SOURCE "none"</v>
      </c>
      <c r="B80" s="33" t="str">
        <f>IF(C80="","",IF(C80="C","  // "&amp;E80,IF(C80="P",IF(D80="E","  Environment.",IF(D80="S","  Simulation.","ERROR"))&amp;"SetSetting("&amp;E80&amp;", "&amp;G80&amp;", "&amp;H80&amp;");",IF(C80="S",
IF(L80=1,"  for (int i = 0; i &lt; "&amp;N80&amp;"; i++) {"&amp;CHAR(10)&amp;IF(D80="E","    Environment.",IF(D80="S","    Simulation.","ERROR"))&amp;"SetSetting("&amp;M80&amp;" + "&amp;O80&amp;", "&amp;G80&amp;", "&amp;H80&amp;");"&amp;CHAR(10)&amp;"  }",
IF(L80=2,"  for (int i = 0; i &lt; "&amp;N80&amp;"; i++) {"&amp;CHAR(10)&amp;"    for (int j = 0; j &lt; "&amp;Q80&amp;"; j++) {"&amp;CHAR(10)&amp;IF(D80="E","      Environment.",IF(D80="S","      Simulation.","ERROR"))&amp;"SetSetting("&amp;M80&amp;" + "&amp;O80&amp;" + "&amp;P80&amp;" + "&amp;R80&amp;", "&amp;G80&amp;", "&amp;H80&amp;");"&amp;CHAR(10)&amp;"    }"&amp;CHAR(10)&amp;"  }","ERROR")),""))))</f>
        <v xml:space="preserve">  Simulation.SetSetting(V1V1_L001_BASE_WEIGHT_SOURCE, Data_string, 1);</v>
      </c>
      <c r="C80" s="28" t="s">
        <v>166</v>
      </c>
      <c r="D80" s="28" t="s">
        <v>268</v>
      </c>
      <c r="E80" s="36" t="s">
        <v>355</v>
      </c>
      <c r="F80" s="35" t="s">
        <v>361</v>
      </c>
      <c r="G80" s="35" t="s">
        <v>176</v>
      </c>
      <c r="H80" s="35">
        <v>1</v>
      </c>
      <c r="I80" s="35" t="s">
        <v>177</v>
      </c>
      <c r="J80" s="13">
        <f>IF(OR(C80="P",C80="S"),IF(L80="",1,IF(L80=1,N80,IF(L80=2,N80&amp;" * "&amp;Q80,"ERROR"))),"")</f>
        <v>1</v>
      </c>
    </row>
    <row r="81" spans="1:18" ht="15" customHeight="1" x14ac:dyDescent="0.25">
      <c r="A81" s="25" t="str">
        <f>IF(C81="","",IF(C81="C",CHAR(10) &amp; "// " &amp; E81,IF(C81="I","#define " &amp; E81 &amp; " " &amp; I81,IF(C81="P","#define " &amp; E81 &amp; " """ &amp; F81 &amp; """" &amp; CHAR(10) &amp; "#define DEFAULT_" &amp; E81 &amp; " " &amp; I81,IF(C81="S","","ERROR")))))</f>
        <v>#define V1V1_L001_DEFAULT_WEIGHT "V1V1_L001_default_weight"
#define DEFAULT_V1V1_L001_DEFAULT_WEIGHT 0</v>
      </c>
      <c r="B81" s="25" t="str">
        <f>IF(C81="","",IF(C81="C","  // "&amp;E81,IF(C81="P",IF(D81="E","  Environment.",IF(D81="S","  Simulation.","ERROR"))&amp;"SetSetting("&amp;E81&amp;", "&amp;G81&amp;", "&amp;H81&amp;");",IF(C81="S",
IF(L81=1,"  for (int i = 0; i &lt; "&amp;N81&amp;"; i++) {"&amp;CHAR(10)&amp;IF(D81="E","    Environment.",IF(D81="S","    Simulation.","ERROR"))&amp;"SetSetting("&amp;M81&amp;" + "&amp;O81&amp;", "&amp;G81&amp;", "&amp;H81&amp;");"&amp;CHAR(10)&amp;"  }",
IF(L81=2,"  for (int i = 0; i &lt; "&amp;N81&amp;"; i++) {"&amp;CHAR(10)&amp;"    for (int j = 0; j &lt; "&amp;Q81&amp;"; j++) {"&amp;CHAR(10)&amp;IF(D81="E","      Environment.",IF(D81="S","      Simulation.","ERROR"))&amp;"SetSetting("&amp;M81&amp;" + "&amp;O81&amp;" + "&amp;P81&amp;" + "&amp;R81&amp;", "&amp;G81&amp;", "&amp;H81&amp;");"&amp;CHAR(10)&amp;"    }"&amp;CHAR(10)&amp;"  }","ERROR")),""))))</f>
        <v xml:space="preserve">  Simulation.SetSetting(V1V1_L001_DEFAULT_WEIGHT, Data_double, 1);</v>
      </c>
      <c r="C81" s="1" t="s">
        <v>166</v>
      </c>
      <c r="D81" s="1" t="s">
        <v>268</v>
      </c>
      <c r="E81" s="36" t="s">
        <v>356</v>
      </c>
      <c r="F81" s="13" t="s">
        <v>362</v>
      </c>
      <c r="G81" s="13" t="s">
        <v>186</v>
      </c>
      <c r="H81" s="13">
        <v>1</v>
      </c>
      <c r="I81" s="13">
        <v>0</v>
      </c>
      <c r="J81" s="13">
        <f>IF(OR(C81="P",C81="S"),IF(L81="",1,IF(L81=1,N81,IF(L81=2,N81&amp;" * "&amp;Q81,"ERROR"))),"")</f>
        <v>1</v>
      </c>
    </row>
    <row r="82" spans="1:18" ht="15" customHeight="1" x14ac:dyDescent="0.25">
      <c r="A82" s="25" t="str">
        <f>IF(C82="","",IF(C82="C",CHAR(10) &amp; "// " &amp; E82,IF(C82="I","#define " &amp; E82 &amp; " " &amp; I82,IF(C82="P","#define " &amp; E82 &amp; " """ &amp; F82 &amp; """" &amp; CHAR(10) &amp; "#define DEFAULT_" &amp; E82 &amp; " " &amp; I82,IF(C82="S","","ERROR")))))</f>
        <v/>
      </c>
      <c r="B82" s="25" t="str">
        <f>IF(C82="","",IF(C82="C","  // "&amp;E82,IF(C82="P",IF(D82="E","  Environment.",IF(D82="S","  Simulation.","ERROR"))&amp;"SetSetting("&amp;E82&amp;", "&amp;G82&amp;", "&amp;H82&amp;");",IF(C82="S",
IF(L82=1,"  for (int i = 0; i &lt; "&amp;N82&amp;"; i++) {"&amp;CHAR(10)&amp;IF(D82="E","    Environment.",IF(D82="S","    Simulation.","ERROR"))&amp;"SetSetting("&amp;M82&amp;" + "&amp;O82&amp;", "&amp;G82&amp;", "&amp;H82&amp;");"&amp;CHAR(10)&amp;"  }",
IF(L82=2,"  for (int i = 0; i &lt; "&amp;N82&amp;"; i++) {"&amp;CHAR(10)&amp;"    for (int j = 0; j &lt; "&amp;Q82&amp;"; j++) {"&amp;CHAR(10)&amp;IF(D82="E","      Environment.",IF(D82="S","      Simulation.","ERROR"))&amp;"SetSetting("&amp;M82&amp;" + "&amp;O82&amp;" + "&amp;P82&amp;" + "&amp;R82&amp;", "&amp;G82&amp;", "&amp;H82&amp;");"&amp;CHAR(10)&amp;"    }"&amp;CHAR(10)&amp;"  }","ERROR")),""))))</f>
        <v xml:space="preserve">  for (int i = 0; i &lt; MAX_V1_NEURONS; i++) {
    for (int j = 0; j &lt; MAX_V1_NEURONS; j++) {
      Simulation.SetSetting(V1_LABEL + NNumber(i) + V1_LABEL + NNumber(j), Data_double, 1);
    }
  }</v>
      </c>
      <c r="C82" s="1" t="s">
        <v>268</v>
      </c>
      <c r="D82" s="1" t="s">
        <v>268</v>
      </c>
      <c r="E82" s="36"/>
      <c r="G82" s="13" t="s">
        <v>186</v>
      </c>
      <c r="H82" s="13">
        <v>1</v>
      </c>
      <c r="I82" s="13" t="s">
        <v>356</v>
      </c>
      <c r="J82" s="13" t="str">
        <f>IF(OR(C82="P",C82="S"),IF(L82="",1,IF(L82=1,N82,IF(L82=2,N82&amp;" * "&amp;Q82,"ERROR"))),"")</f>
        <v>MAX_V1_NEURONS * MAX_V1_NEURONS</v>
      </c>
      <c r="L82">
        <v>2</v>
      </c>
      <c r="M82" t="s">
        <v>270</v>
      </c>
      <c r="N82" t="s">
        <v>172</v>
      </c>
      <c r="O82" t="s">
        <v>275</v>
      </c>
      <c r="P82" t="s">
        <v>270</v>
      </c>
      <c r="Q82" t="s">
        <v>172</v>
      </c>
      <c r="R82" t="s">
        <v>276</v>
      </c>
    </row>
    <row r="83" spans="1:18" s="64" customFormat="1" ht="15" customHeight="1" x14ac:dyDescent="0.25">
      <c r="A83" s="62" t="str">
        <f>IF(C83="","",IF(C83="C",CHAR(10) &amp; "// " &amp; E83,IF(C83="I","#define " &amp; E83 &amp; " " &amp; I83,IF(C83="P","#define " &amp; E83 &amp; " """ &amp; F83 &amp; """" &amp; CHAR(10) &amp; "#define DEFAULT_" &amp; E83 &amp; " " &amp; I83,IF(C83="S","","ERROR")))))</f>
        <v xml:space="preserve">
// MTMT Link Methods</v>
      </c>
      <c r="B83" s="62" t="str">
        <f>IF(C83="","",IF(C83="C","  // "&amp;E83,IF(C83="P",IF(D83="E","  Environment.",IF(D83="S","  Simulation.","ERROR"))&amp;"SetSetting("&amp;E83&amp;", "&amp;G83&amp;", "&amp;H83&amp;");",IF(C83="S",
IF(L83=1,"  for (int i = 0; i &lt; "&amp;N83&amp;"; i++) {"&amp;CHAR(10)&amp;IF(D83="E","    Environment.",IF(D83="S","    Simulation.","ERROR"))&amp;"SetSetting("&amp;M83&amp;" + "&amp;O83&amp;", "&amp;G83&amp;", "&amp;H83&amp;");"&amp;CHAR(10)&amp;"  }",
IF(L83=2,"  for (int i = 0; i &lt; "&amp;N83&amp;"; i++) {"&amp;CHAR(10)&amp;"    for (int j = 0; j &lt; "&amp;Q83&amp;"; j++) {"&amp;CHAR(10)&amp;IF(D83="E","      Environment.",IF(D83="S","      Simulation.","ERROR"))&amp;"SetSetting("&amp;M83&amp;" + "&amp;O83&amp;" + "&amp;P83&amp;" + "&amp;R83&amp;", "&amp;G83&amp;", "&amp;H83&amp;");"&amp;CHAR(10)&amp;"    }"&amp;CHAR(10)&amp;"  }","ERROR")),""))))</f>
        <v xml:space="preserve">  // MTMT Link Methods</v>
      </c>
      <c r="C83" s="63" t="s">
        <v>152</v>
      </c>
      <c r="D83" s="63"/>
      <c r="E83" s="64" t="s">
        <v>354</v>
      </c>
      <c r="F83" s="65"/>
      <c r="G83" s="65"/>
      <c r="H83" s="65"/>
      <c r="I83" s="65"/>
      <c r="J83" s="65" t="str">
        <f>IF(OR(C83="P",C83="S"),IF(L83="",1,IF(L83=1,N83,IF(L83=2,N83&amp;" * "&amp;Q83,"ERROR"))),"")</f>
        <v/>
      </c>
    </row>
    <row r="84" spans="1:18" s="32" customFormat="1" ht="15" customHeight="1" x14ac:dyDescent="0.25">
      <c r="A84" s="29" t="str">
        <f>IF(C84="","",IF(C84="C",CHAR(10) &amp; "// " &amp; E84,IF(C84="I","#define " &amp; E84 &amp; " " &amp; I84,IF(C84="P","#define " &amp; E84 &amp; " """ &amp; F84 &amp; """" &amp; CHAR(10) &amp; "#define DEFAULT_" &amp; E84 &amp; " " &amp; I84,IF(C84="S","","ERROR")))))</f>
        <v xml:space="preserve">
// None</v>
      </c>
      <c r="B84" s="29" t="str">
        <f>IF(C84="","",IF(C84="C","  // "&amp;E84,IF(C84="P",IF(D84="E","  Environment.",IF(D84="S","  Simulation.","ERROR"))&amp;"SetSetting("&amp;E84&amp;", "&amp;G84&amp;", "&amp;H84&amp;");",IF(C84="S",
IF(L84=1,"  for (int i = 0; i &lt; "&amp;N84&amp;"; i++) {"&amp;CHAR(10)&amp;IF(D84="E","    Environment.",IF(D84="S","    Simulation.","ERROR"))&amp;"SetSetting("&amp;M84&amp;" + "&amp;O84&amp;", "&amp;G84&amp;", "&amp;H84&amp;");"&amp;CHAR(10)&amp;"  }",
IF(L84=2,"  for (int i = 0; i &lt; "&amp;N84&amp;"; i++) {"&amp;CHAR(10)&amp;"    for (int j = 0; j &lt; "&amp;Q84&amp;"; j++) {"&amp;CHAR(10)&amp;IF(D84="E","      Environment.",IF(D84="S","      Simulation.","ERROR"))&amp;"SetSetting("&amp;M84&amp;" + "&amp;O84&amp;" + "&amp;P84&amp;" + "&amp;R84&amp;", "&amp;G84&amp;", "&amp;H84&amp;");"&amp;CHAR(10)&amp;"    }"&amp;CHAR(10)&amp;"  }","ERROR")),""))))</f>
        <v xml:space="preserve">  // None</v>
      </c>
      <c r="C84" s="30" t="s">
        <v>152</v>
      </c>
      <c r="D84" s="30"/>
      <c r="E84" s="32" t="s">
        <v>343</v>
      </c>
      <c r="F84" s="31"/>
      <c r="G84" s="31"/>
      <c r="H84" s="31"/>
      <c r="I84" s="31"/>
      <c r="J84" s="31" t="str">
        <f>IF(OR(C84="P",C84="S"),IF(L84="",1,IF(L84=1,N84,IF(L84=2,N84&amp;" * "&amp;Q84,"ERROR"))),"")</f>
        <v/>
      </c>
    </row>
    <row r="85" spans="1:18" s="64" customFormat="1" ht="15" customHeight="1" x14ac:dyDescent="0.25">
      <c r="A85" s="62" t="str">
        <f>IF(C85="","",IF(C85="C",CHAR(10) &amp; "// " &amp; E85,IF(C85="I","#define " &amp; E85 &amp; " " &amp; I85,IF(C85="P","#define " &amp; E85 &amp; " """ &amp; F85 &amp; """" &amp; CHAR(10) &amp; "#define DEFAULT_" &amp; E85 &amp; " " &amp; I85,IF(C85="S","","ERROR")))))</f>
        <v xml:space="preserve">
// V1MT Linking Methods</v>
      </c>
      <c r="B85" s="62" t="str">
        <f>IF(C85="","",IF(C85="C","  // "&amp;E85,IF(C85="P",IF(D85="E","  Environment.",IF(D85="S","  Simulation.","ERROR"))&amp;"SetSetting("&amp;E85&amp;", "&amp;G85&amp;", "&amp;H85&amp;");",IF(C85="S",
IF(L85=1,"  for (int i = 0; i &lt; "&amp;N85&amp;"; i++) {"&amp;CHAR(10)&amp;IF(D85="E","    Environment.",IF(D85="S","    Simulation.","ERROR"))&amp;"SetSetting("&amp;M85&amp;" + "&amp;O85&amp;", "&amp;G85&amp;", "&amp;H85&amp;");"&amp;CHAR(10)&amp;"  }",
IF(L85=2,"  for (int i = 0; i &lt; "&amp;N85&amp;"; i++) {"&amp;CHAR(10)&amp;"    for (int j = 0; j &lt; "&amp;Q85&amp;"; j++) {"&amp;CHAR(10)&amp;IF(D85="E","      Environment.",IF(D85="S","      Simulation.","ERROR"))&amp;"SetSetting("&amp;M85&amp;" + "&amp;O85&amp;" + "&amp;P85&amp;" + "&amp;R85&amp;", "&amp;G85&amp;", "&amp;H85&amp;");"&amp;CHAR(10)&amp;"    }"&amp;CHAR(10)&amp;"  }","ERROR")),""))))</f>
        <v xml:space="preserve">  // V1MT Linking Methods</v>
      </c>
      <c r="C85" s="63" t="s">
        <v>152</v>
      </c>
      <c r="D85" s="63"/>
      <c r="E85" s="64" t="s">
        <v>357</v>
      </c>
      <c r="F85" s="65"/>
      <c r="G85" s="65"/>
      <c r="H85" s="65"/>
      <c r="I85" s="65"/>
      <c r="J85" s="65" t="str">
        <f>IF(OR(C85="P",C85="S"),IF(L85="",1,IF(L85=1,N85,IF(L85=2,N85&amp;" * "&amp;Q85,"ERROR"))),"")</f>
        <v/>
      </c>
    </row>
    <row r="86" spans="1:18" s="36" customFormat="1" ht="15" customHeight="1" x14ac:dyDescent="0.25">
      <c r="A86" s="33" t="str">
        <f>IF(C86="","",IF(C86="C",CHAR(10) &amp; "// " &amp; E86,IF(C86="I","#define " &amp; E86 &amp; " " &amp; I86,IF(C86="P","#define " &amp; E86 &amp; " """ &amp; F86 &amp; """" &amp; CHAR(10) &amp; "#define DEFAULT_" &amp; E86 &amp; " " &amp; I86,IF(C86="S","","ERROR")))))</f>
        <v>#define V1MT_CONNECTION_METHOD "V1MT_connection_method"
#define DEFAULT_V1MT_CONNECTION_METHOD "none"</v>
      </c>
      <c r="B86" s="33" t="str">
        <f>IF(C86="","",IF(C86="C","  // "&amp;E86,IF(C86="P",IF(D86="E","  Environment.",IF(D86="S","  Simulation.","ERROR"))&amp;"SetSetting("&amp;E86&amp;", "&amp;G86&amp;", "&amp;H86&amp;");",IF(C86="S",
IF(L86=1,"  for (int i = 0; i &lt; "&amp;N86&amp;"; i++) {"&amp;CHAR(10)&amp;IF(D86="E","    Environment.",IF(D86="S","    Simulation.","ERROR"))&amp;"SetSetting("&amp;M86&amp;" + "&amp;O86&amp;", "&amp;G86&amp;", "&amp;H86&amp;");"&amp;CHAR(10)&amp;"  }",
IF(L86=2,"  for (int i = 0; i &lt; "&amp;N86&amp;"; i++) {"&amp;CHAR(10)&amp;"    for (int j = 0; j &lt; "&amp;Q86&amp;"; j++) {"&amp;CHAR(10)&amp;IF(D86="E","      Environment.",IF(D86="S","      Simulation.","ERROR"))&amp;"SetSetting("&amp;M86&amp;" + "&amp;O86&amp;" + "&amp;P86&amp;" + "&amp;R86&amp;", "&amp;G86&amp;", "&amp;H86&amp;");"&amp;CHAR(10)&amp;"    }"&amp;CHAR(10)&amp;"  }","ERROR")),""))))</f>
        <v xml:space="preserve">  Simulation.SetSetting(V1MT_CONNECTION_METHOD, Data_string, 1);</v>
      </c>
      <c r="C86" s="28" t="s">
        <v>166</v>
      </c>
      <c r="D86" s="28" t="s">
        <v>268</v>
      </c>
      <c r="E86" s="36" t="s">
        <v>254</v>
      </c>
      <c r="F86" s="35" t="s">
        <v>255</v>
      </c>
      <c r="G86" s="35" t="s">
        <v>176</v>
      </c>
      <c r="H86" s="35">
        <v>1</v>
      </c>
      <c r="I86" s="35" t="s">
        <v>177</v>
      </c>
      <c r="J86" s="13">
        <f>IF(OR(C86="P",C86="S"),IF(L86="",1,IF(L86=1,N86,IF(L86=2,N86&amp;" * "&amp;Q86,"ERROR"))),"")</f>
        <v>1</v>
      </c>
    </row>
    <row r="87" spans="1:18" s="36" customFormat="1" ht="15" customHeight="1" x14ac:dyDescent="0.25">
      <c r="A87" s="33" t="str">
        <f>IF(C87="","",IF(C87="C",CHAR(10) &amp; "// " &amp; E87,IF(C87="I","#define " &amp; E87 &amp; " " &amp; I87,IF(C87="P","#define " &amp; E87 &amp; " """ &amp; F87 &amp; """" &amp; CHAR(10) &amp; "#define DEFAULT_" &amp; E87 &amp; " " &amp; I87,IF(C87="S","","ERROR")))))</f>
        <v>#define V1MT_L001 "V1MT_L001"</v>
      </c>
      <c r="B87" s="33" t="str">
        <f>IF(C87="","",IF(C87="C","  // "&amp;E87,IF(C87="P",IF(D87="E","  Environment.",IF(D87="S","  Simulation.","ERROR"))&amp;"SetSetting("&amp;E87&amp;", "&amp;G87&amp;", "&amp;H87&amp;");",IF(C87="S",
IF(L87=1,"  for (int i = 0; i &lt; "&amp;N87&amp;"; i++) {"&amp;CHAR(10)&amp;IF(D87="E","    Environment.",IF(D87="S","    Simulation.","ERROR"))&amp;"SetSetting("&amp;M87&amp;" + "&amp;O87&amp;", "&amp;G87&amp;", "&amp;H87&amp;");"&amp;CHAR(10)&amp;"  }",
IF(L87=2,"  for (int i = 0; i &lt; "&amp;N87&amp;"; i++) {"&amp;CHAR(10)&amp;"    for (int j = 0; j &lt; "&amp;Q87&amp;"; j++) {"&amp;CHAR(10)&amp;IF(D87="E","      Environment.",IF(D87="S","      Simulation.","ERROR"))&amp;"SetSetting("&amp;M87&amp;" + "&amp;O87&amp;" + "&amp;P87&amp;" + "&amp;R87&amp;", "&amp;G87&amp;", "&amp;H87&amp;");"&amp;CHAR(10)&amp;"    }"&amp;CHAR(10)&amp;"  }","ERROR")),""))))</f>
        <v/>
      </c>
      <c r="C87" s="28" t="s">
        <v>139</v>
      </c>
      <c r="D87" s="28"/>
      <c r="E87" s="36" t="s">
        <v>256</v>
      </c>
      <c r="F87" s="35"/>
      <c r="G87" s="35"/>
      <c r="H87" s="35"/>
      <c r="I87" s="35" t="s">
        <v>257</v>
      </c>
      <c r="J87" s="35" t="str">
        <f>IF(OR(C87="P",C87="S"),IF(L87="",1,IF(L87=1,N87,IF(L87=2,N87&amp;" * "&amp;Q87,"ERROR"))),"")</f>
        <v/>
      </c>
    </row>
    <row r="88" spans="1:18" s="32" customFormat="1" ht="15" customHeight="1" x14ac:dyDescent="0.25">
      <c r="A88" s="29" t="str">
        <f>IF(C88="","",IF(C88="C",CHAR(10) &amp; "// " &amp; E88,IF(C88="I","#define " &amp; E88 &amp; " " &amp; I88,IF(C88="P","#define " &amp; E88 &amp; " """ &amp; F88 &amp; """" &amp; CHAR(10) &amp; "#define DEFAULT_" &amp; E88 &amp; " " &amp; I88,IF(C88="S","","ERROR")))))</f>
        <v xml:space="preserve">
// V1MT_L001 Link Parameters</v>
      </c>
      <c r="B88" s="29" t="str">
        <f>IF(C88="","",IF(C88="C","  // "&amp;E88,IF(C88="P",IF(D88="E","  Environment.",IF(D88="S","  Simulation.","ERROR"))&amp;"SetSetting("&amp;E88&amp;", "&amp;G88&amp;", "&amp;H88&amp;");",IF(C88="S",
IF(L88=1,"  for (int i = 0; i &lt; "&amp;N88&amp;"; i++) {"&amp;CHAR(10)&amp;IF(D88="E","    Environment.",IF(D88="S","    Simulation.","ERROR"))&amp;"SetSetting("&amp;M88&amp;" + "&amp;O88&amp;", "&amp;G88&amp;", "&amp;H88&amp;");"&amp;CHAR(10)&amp;"  }",
IF(L88=2,"  for (int i = 0; i &lt; "&amp;N88&amp;"; i++) {"&amp;CHAR(10)&amp;"    for (int j = 0; j &lt; "&amp;Q88&amp;"; j++) {"&amp;CHAR(10)&amp;IF(D88="E","      Environment.",IF(D88="S","      Simulation.","ERROR"))&amp;"SetSetting("&amp;M88&amp;" + "&amp;O88&amp;" + "&amp;P88&amp;" + "&amp;R88&amp;", "&amp;G88&amp;", "&amp;H88&amp;");"&amp;CHAR(10)&amp;"    }"&amp;CHAR(10)&amp;"  }","ERROR")),""))))</f>
        <v xml:space="preserve">  // V1MT_L001 Link Parameters</v>
      </c>
      <c r="C88" s="30" t="s">
        <v>152</v>
      </c>
      <c r="D88" s="30"/>
      <c r="E88" s="32" t="s">
        <v>358</v>
      </c>
      <c r="F88" s="31"/>
      <c r="G88" s="31"/>
      <c r="H88" s="31"/>
      <c r="I88" s="31"/>
      <c r="J88" s="31" t="str">
        <f>IF(OR(C88="P",C88="S"),IF(L88="",1,IF(L88=1,N88,IF(L88=2,N88&amp;" * "&amp;Q88,"ERROR"))),"")</f>
        <v/>
      </c>
    </row>
    <row r="89" spans="1:18" s="36" customFormat="1" ht="15" customHeight="1" x14ac:dyDescent="0.25">
      <c r="A89" s="33" t="str">
        <f>IF(C89="","",IF(C89="C",CHAR(10) &amp; "// " &amp; E89,IF(C89="I","#define " &amp; E89 &amp; " " &amp; I89,IF(C89="P","#define " &amp; E89 &amp; " """ &amp; F89 &amp; """" &amp; CHAR(10) &amp; "#define DEFAULT_" &amp; E89 &amp; " " &amp; I89,IF(C89="S","","ERROR")))))</f>
        <v>#define V1MT_L001_APERTURE "V1MT_L001_aperture"
#define DEFAULT_V1MT_L001_APERTURE PI/4.0+0.1</v>
      </c>
      <c r="B89" s="33" t="str">
        <f>IF(C89="","",IF(C89="C","  // "&amp;E89,IF(C89="P",IF(D89="E","  Environment.",IF(D89="S","  Simulation.","ERROR"))&amp;"SetSetting("&amp;E89&amp;", "&amp;G89&amp;", "&amp;H89&amp;");",IF(C89="S",
IF(L89=1,"  for (int i = 0; i &lt; "&amp;N89&amp;"; i++) {"&amp;CHAR(10)&amp;IF(D89="E","    Environment.",IF(D89="S","    Simulation.","ERROR"))&amp;"SetSetting("&amp;M89&amp;" + "&amp;O89&amp;", "&amp;G89&amp;", "&amp;H89&amp;");"&amp;CHAR(10)&amp;"  }",
IF(L89=2,"  for (int i = 0; i &lt; "&amp;N89&amp;"; i++) {"&amp;CHAR(10)&amp;"    for (int j = 0; j &lt; "&amp;Q89&amp;"; j++) {"&amp;CHAR(10)&amp;IF(D89="E","      Environment.",IF(D89="S","      Simulation.","ERROR"))&amp;"SetSetting("&amp;M89&amp;" + "&amp;O89&amp;" + "&amp;P89&amp;" + "&amp;R89&amp;", "&amp;G89&amp;", "&amp;H89&amp;");"&amp;CHAR(10)&amp;"    }"&amp;CHAR(10)&amp;"  }","ERROR")),""))))</f>
        <v xml:space="preserve">  Simulation.SetSetting(V1MT_L001_APERTURE, Data_double, 1);</v>
      </c>
      <c r="C89" s="28" t="s">
        <v>166</v>
      </c>
      <c r="D89" s="28" t="s">
        <v>268</v>
      </c>
      <c r="E89" s="36" t="s">
        <v>258</v>
      </c>
      <c r="F89" s="35" t="s">
        <v>259</v>
      </c>
      <c r="G89" s="35" t="s">
        <v>186</v>
      </c>
      <c r="H89" s="35">
        <v>1</v>
      </c>
      <c r="I89" s="55" t="s">
        <v>329</v>
      </c>
      <c r="J89" s="55">
        <f>IF(OR(C89="P",C89="S"),IF(L89="",1,IF(L89=1,N89,IF(L89=2,N89&amp;" * "&amp;Q89,"ERROR"))),"")</f>
        <v>1</v>
      </c>
    </row>
    <row r="90" spans="1:18" s="36" customFormat="1" ht="15" customHeight="1" x14ac:dyDescent="0.25">
      <c r="A90" s="33" t="str">
        <f>IF(C90="","",IF(C90="C",CHAR(10) &amp; "// " &amp; E90,IF(C90="I","#define " &amp; E90 &amp; " " &amp; I90,IF(C90="P","#define " &amp; E90 &amp; " """ &amp; F90 &amp; """" &amp; CHAR(10) &amp; "#define DEFAULT_" &amp; E90 &amp; " " &amp; I90,IF(C90="S","","ERROR")))))</f>
        <v>#define V1MT_L001_AMPLIFICATION "V1MT_L001_amplification"
#define DEFAULT_V1MT_L001_AMPLIFICATION 1</v>
      </c>
      <c r="B90" s="33" t="str">
        <f>IF(C90="","",IF(C90="C","  // "&amp;E90,IF(C90="P",IF(D90="E","  Environment.",IF(D90="S","  Simulation.","ERROR"))&amp;"SetSetting("&amp;E90&amp;", "&amp;G90&amp;", "&amp;H90&amp;");",IF(C90="S",
IF(L90=1,"  for (int i = 0; i &lt; "&amp;N90&amp;"; i++) {"&amp;CHAR(10)&amp;IF(D90="E","    Environment.",IF(D90="S","    Simulation.","ERROR"))&amp;"SetSetting("&amp;M90&amp;" + "&amp;O90&amp;", "&amp;G90&amp;", "&amp;H90&amp;");"&amp;CHAR(10)&amp;"  }",
IF(L90=2,"  for (int i = 0; i &lt; "&amp;N90&amp;"; i++) {"&amp;CHAR(10)&amp;"    for (int j = 0; j &lt; "&amp;Q90&amp;"; j++) {"&amp;CHAR(10)&amp;IF(D90="E","      Environment.",IF(D90="S","      Simulation.","ERROR"))&amp;"SetSetting("&amp;M90&amp;" + "&amp;O90&amp;" + "&amp;P90&amp;" + "&amp;R90&amp;", "&amp;G90&amp;", "&amp;H90&amp;");"&amp;CHAR(10)&amp;"    }"&amp;CHAR(10)&amp;"  }","ERROR")),""))))</f>
        <v xml:space="preserve">  Simulation.SetSetting(V1MT_L001_AMPLIFICATION, Data_double, 1);</v>
      </c>
      <c r="C90" s="28" t="s">
        <v>166</v>
      </c>
      <c r="D90" s="28" t="s">
        <v>268</v>
      </c>
      <c r="E90" s="36" t="s">
        <v>260</v>
      </c>
      <c r="F90" s="35" t="s">
        <v>261</v>
      </c>
      <c r="G90" s="35" t="s">
        <v>186</v>
      </c>
      <c r="H90" s="35">
        <v>1</v>
      </c>
      <c r="I90" s="55">
        <v>1</v>
      </c>
      <c r="J90" s="55">
        <f>IF(OR(C90="P",C90="S"),IF(L90="",1,IF(L90=1,N90,IF(L90=2,N90&amp;" * "&amp;Q90,"ERROR"))),"")</f>
        <v>1</v>
      </c>
    </row>
    <row r="91" spans="1:18" s="36" customFormat="1" ht="15" customHeight="1" x14ac:dyDescent="0.25">
      <c r="A91" s="33" t="str">
        <f>IF(C91="","",IF(C91="C",CHAR(10) &amp; "// " &amp; E91,IF(C91="I","#define " &amp; E91 &amp; " " &amp; I91,IF(C91="P","#define " &amp; E91 &amp; " """ &amp; F91 &amp; """" &amp; CHAR(10) &amp; "#define DEFAULT_" &amp; E91 &amp; " " &amp; I91,IF(C91="S","","ERROR")))))</f>
        <v>#define V1MT_L001_SIGMA "V1MT_L001_sigma"
#define DEFAULT_V1MT_L001_SIGMA 2.0/3.0</v>
      </c>
      <c r="B91" s="33" t="str">
        <f>IF(C91="","",IF(C91="C","  // "&amp;E91,IF(C91="P",IF(D91="E","  Environment.",IF(D91="S","  Simulation.","ERROR"))&amp;"SetSetting("&amp;E91&amp;", "&amp;G91&amp;", "&amp;H91&amp;");",IF(C91="S",
IF(L91=1,"  for (int i = 0; i &lt; "&amp;N91&amp;"; i++) {"&amp;CHAR(10)&amp;IF(D91="E","    Environment.",IF(D91="S","    Simulation.","ERROR"))&amp;"SetSetting("&amp;M91&amp;" + "&amp;O91&amp;", "&amp;G91&amp;", "&amp;H91&amp;");"&amp;CHAR(10)&amp;"  }",
IF(L91=2,"  for (int i = 0; i &lt; "&amp;N91&amp;"; i++) {"&amp;CHAR(10)&amp;"    for (int j = 0; j &lt; "&amp;Q91&amp;"; j++) {"&amp;CHAR(10)&amp;IF(D91="E","      Environment.",IF(D91="S","      Simulation.","ERROR"))&amp;"SetSetting("&amp;M91&amp;" + "&amp;O91&amp;" + "&amp;P91&amp;" + "&amp;R91&amp;", "&amp;G91&amp;", "&amp;H91&amp;");"&amp;CHAR(10)&amp;"    }"&amp;CHAR(10)&amp;"  }","ERROR")),""))))</f>
        <v xml:space="preserve">  Simulation.SetSetting(V1MT_L001_SIGMA, Data_double, 1);</v>
      </c>
      <c r="C91" s="28" t="s">
        <v>166</v>
      </c>
      <c r="D91" s="28" t="s">
        <v>268</v>
      </c>
      <c r="E91" s="36" t="s">
        <v>262</v>
      </c>
      <c r="F91" s="35" t="s">
        <v>263</v>
      </c>
      <c r="G91" s="35" t="s">
        <v>186</v>
      </c>
      <c r="H91" s="35">
        <v>1</v>
      </c>
      <c r="I91" s="56" t="s">
        <v>328</v>
      </c>
      <c r="J91" s="56">
        <f>IF(OR(C91="P",C91="S"),IF(L91="",1,IF(L91=1,N91,IF(L91=2,N91&amp;" * "&amp;Q91,"ERROR"))),"")</f>
        <v>1</v>
      </c>
    </row>
    <row r="92" spans="1:18" s="36" customFormat="1" ht="15" customHeight="1" x14ac:dyDescent="0.25">
      <c r="A92" s="33" t="str">
        <f>IF(C92="","",IF(C92="C",CHAR(10) &amp; "// " &amp; E92,IF(C92="I","#define " &amp; E92 &amp; " " &amp; I92,IF(C92="P","#define " &amp; E92 &amp; " """ &amp; F92 &amp; """" &amp; CHAR(10) &amp; "#define DEFAULT_" &amp; E92 &amp; " " &amp; I92,IF(C92="S","","ERROR")))))</f>
        <v>#define V1MT_L001_MODULATION "V1MT_L001_modulation"
#define DEFAULT_V1MT_L001_MODULATION 5.33648681640625</v>
      </c>
      <c r="B92" s="33" t="str">
        <f>IF(C92="","",IF(C92="C","  // "&amp;E92,IF(C92="P",IF(D92="E","  Environment.",IF(D92="S","  Simulation.","ERROR"))&amp;"SetSetting("&amp;E92&amp;", "&amp;G92&amp;", "&amp;H92&amp;");",IF(C92="S",
IF(L92=1,"  for (int i = 0; i &lt; "&amp;N92&amp;"; i++) {"&amp;CHAR(10)&amp;IF(D92="E","    Environment.",IF(D92="S","    Simulation.","ERROR"))&amp;"SetSetting("&amp;M92&amp;" + "&amp;O92&amp;", "&amp;G92&amp;", "&amp;H92&amp;");"&amp;CHAR(10)&amp;"  }",
IF(L92=2,"  for (int i = 0; i &lt; "&amp;N92&amp;"; i++) {"&amp;CHAR(10)&amp;"    for (int j = 0; j &lt; "&amp;Q92&amp;"; j++) {"&amp;CHAR(10)&amp;IF(D92="E","      Environment.",IF(D92="S","      Simulation.","ERROR"))&amp;"SetSetting("&amp;M92&amp;" + "&amp;O92&amp;" + "&amp;P92&amp;" + "&amp;R92&amp;", "&amp;G92&amp;", "&amp;H92&amp;");"&amp;CHAR(10)&amp;"    }"&amp;CHAR(10)&amp;"  }","ERROR")),""))))</f>
        <v xml:space="preserve">  Simulation.SetSetting(V1MT_L001_MODULATION, Data_double, 1);</v>
      </c>
      <c r="C92" s="28" t="s">
        <v>166</v>
      </c>
      <c r="D92" s="28" t="s">
        <v>268</v>
      </c>
      <c r="E92" s="36" t="s">
        <v>264</v>
      </c>
      <c r="F92" s="35" t="s">
        <v>265</v>
      </c>
      <c r="G92" s="35" t="s">
        <v>186</v>
      </c>
      <c r="H92" s="35">
        <v>1</v>
      </c>
      <c r="I92" s="57">
        <v>5.33648681640625</v>
      </c>
      <c r="J92" s="57">
        <f>IF(OR(C92="P",C92="S"),IF(L92="",1,IF(L92=1,N92,IF(L92=2,N92&amp;" * "&amp;Q92,"ERROR"))),"")</f>
        <v>1</v>
      </c>
    </row>
    <row r="93" spans="1:18" s="60" customFormat="1" ht="15" customHeight="1" x14ac:dyDescent="0.25">
      <c r="A93" s="58" t="str">
        <f>IF(C93="","",IF(C93="C",CHAR(10) &amp; "// " &amp; E93,IF(C93="I","#define " &amp; E93 &amp; " " &amp; I93,IF(C93="P","#define " &amp; E93 &amp; " """ &amp; F93 &amp; """" &amp; CHAR(10) &amp; "#define DEFAULT_" &amp; E93 &amp; " " &amp; I93,IF(C93="S","","ERROR")))))</f>
        <v xml:space="preserve">
// Defines</v>
      </c>
      <c r="B93" s="58" t="str">
        <f>IF(C93="","",IF(C93="C","  // "&amp;E93,IF(C93="P",IF(D93="E","  Environment.",IF(D93="S","  Simulation.","ERROR"))&amp;"SetSetting("&amp;E93&amp;", "&amp;G93&amp;", "&amp;H93&amp;");",IF(C93="S",
IF(L93=1,"  for (int i = 0; i &lt; "&amp;N93&amp;"; i++) {"&amp;CHAR(10)&amp;IF(D93="E","    Environment.",IF(D93="S","    Simulation.","ERROR"))&amp;"SetSetting("&amp;M93&amp;" + "&amp;O93&amp;", "&amp;G93&amp;", "&amp;H93&amp;");"&amp;CHAR(10)&amp;"  }",
IF(L93=2,"  for (int i = 0; i &lt; "&amp;N93&amp;"; i++) {"&amp;CHAR(10)&amp;"    for (int j = 0; j &lt; "&amp;Q93&amp;"; j++) {"&amp;CHAR(10)&amp;IF(D93="E","      Environment.",IF(D93="S","      Simulation.","ERROR"))&amp;"SetSetting("&amp;M93&amp;" + "&amp;O93&amp;" + "&amp;P93&amp;" + "&amp;R93&amp;", "&amp;G93&amp;", "&amp;H93&amp;");"&amp;CHAR(10)&amp;"    }"&amp;CHAR(10)&amp;"  }","ERROR")),""))))</f>
        <v xml:space="preserve">  // Defines</v>
      </c>
      <c r="C93" s="59" t="s">
        <v>152</v>
      </c>
      <c r="D93" s="59"/>
      <c r="E93" s="60" t="s">
        <v>363</v>
      </c>
      <c r="F93" s="61"/>
      <c r="G93" s="61"/>
      <c r="H93" s="61"/>
      <c r="I93" s="61"/>
      <c r="J93" s="61" t="str">
        <f>IF(OR(C93="P",C93="S"),IF(L93="",1,IF(L93=1,N93,IF(L93=2,N93&amp;" * "&amp;Q93,"ERROR"))),"")</f>
        <v/>
      </c>
    </row>
    <row r="94" spans="1:18" s="32" customFormat="1" ht="15" customHeight="1" x14ac:dyDescent="0.25">
      <c r="A94" s="29" t="str">
        <f>IF(C94="","",IF(C94="C",CHAR(10) &amp; "// " &amp; E94,IF(C94="I","#define " &amp; E94 &amp; " " &amp; I94,IF(C94="P","#define " &amp; E94 &amp; " """ &amp; F94 &amp; """" &amp; CHAR(10) &amp; "#define DEFAULT_" &amp; E94 &amp; " " &amp; I94,IF(C94="S","","ERROR")))))</f>
        <v xml:space="preserve">
// Simulator Defines</v>
      </c>
      <c r="B94" s="29" t="str">
        <f>IF(C94="","",IF(C94="C","  // "&amp;E94,IF(C94="P",IF(D94="E","  Environment.",IF(D94="S","  Simulation.","ERROR"))&amp;"SetSetting("&amp;E94&amp;", "&amp;G94&amp;", "&amp;H94&amp;");",IF(C94="S",
IF(L94=1,"  for (int i = 0; i &lt; "&amp;N94&amp;"; i++) {"&amp;CHAR(10)&amp;IF(D94="E","    Environment.",IF(D94="S","    Simulation.","ERROR"))&amp;"SetSetting("&amp;M94&amp;" + "&amp;O94&amp;", "&amp;G94&amp;", "&amp;H94&amp;");"&amp;CHAR(10)&amp;"  }",
IF(L94=2,"  for (int i = 0; i &lt; "&amp;N94&amp;"; i++) {"&amp;CHAR(10)&amp;"    for (int j = 0; j &lt; "&amp;Q94&amp;"; j++) {"&amp;CHAR(10)&amp;IF(D94="E","      Environment.",IF(D94="S","      Simulation.","ERROR"))&amp;"SetSetting("&amp;M94&amp;" + "&amp;O94&amp;" + "&amp;P94&amp;" + "&amp;R94&amp;", "&amp;G94&amp;", "&amp;H94&amp;");"&amp;CHAR(10)&amp;"    }"&amp;CHAR(10)&amp;"  }","ERROR")),""))))</f>
        <v xml:space="preserve">  // Simulator Defines</v>
      </c>
      <c r="C94" s="30" t="s">
        <v>152</v>
      </c>
      <c r="D94" s="30"/>
      <c r="E94" s="32" t="s">
        <v>213</v>
      </c>
      <c r="F94" s="31"/>
      <c r="G94" s="31"/>
      <c r="H94" s="31"/>
      <c r="I94" s="31"/>
      <c r="J94" s="31" t="str">
        <f>IF(OR(C94="P",C94="S"),IF(L94="",1,IF(L94=1,N94,IF(L94=2,N94&amp;" * "&amp;Q94,"ERROR"))),"")</f>
        <v/>
      </c>
    </row>
    <row r="95" spans="1:18" ht="15" customHeight="1" x14ac:dyDescent="0.25">
      <c r="A95" s="25" t="str">
        <f>IF(C95="","",IF(C95="C",CHAR(10) &amp; "// " &amp; E95,IF(C95="I","#define " &amp; E95 &amp; " " &amp; I95,IF(C95="P","#define " &amp; E95 &amp; " """ &amp; F95 &amp; """" &amp; CHAR(10) &amp; "#define DEFAULT_" &amp; E95 &amp; " " &amp; I95,IF(C95="S","","ERROR")))))</f>
        <v>#define SIMULATOR_TIME_STEP "simulator_time_step"
#define DEFAULT_SIMULATOR_TIME_STEP 0.005</v>
      </c>
      <c r="B95" s="25" t="str">
        <f>IF(C95="","",IF(C95="C","  // "&amp;E95,IF(C95="P",IF(D95="E","  Environment.",IF(D95="S","  Simulation.","ERROR"))&amp;"SetSetting("&amp;E95&amp;", "&amp;G95&amp;", "&amp;H95&amp;");",IF(C95="S",
IF(L95=1,"  for (int i = 0; i &lt; "&amp;N95&amp;"; i++) {"&amp;CHAR(10)&amp;IF(D95="E","    Environment.",IF(D95="S","    Simulation.","ERROR"))&amp;"SetSetting("&amp;M95&amp;" + "&amp;O95&amp;", "&amp;G95&amp;", "&amp;H95&amp;");"&amp;CHAR(10)&amp;"  }",
IF(L95=2,"  for (int i = 0; i &lt; "&amp;N95&amp;"; i++) {"&amp;CHAR(10)&amp;"    for (int j = 0; j &lt; "&amp;Q95&amp;"; j++) {"&amp;CHAR(10)&amp;IF(D95="E","      Environment.",IF(D95="S","      Simulation.","ERROR"))&amp;"SetSetting("&amp;M95&amp;" + "&amp;O95&amp;" + "&amp;P95&amp;" + "&amp;R95&amp;", "&amp;G95&amp;", "&amp;H95&amp;");"&amp;CHAR(10)&amp;"    }"&amp;CHAR(10)&amp;"  }","ERROR")),""))))</f>
        <v xml:space="preserve">  Simulation.SetSetting(SIMULATOR_TIME_STEP, Data_double, 1);</v>
      </c>
      <c r="C95" s="1" t="s">
        <v>166</v>
      </c>
      <c r="D95" s="1" t="s">
        <v>268</v>
      </c>
      <c r="E95" s="36" t="s">
        <v>214</v>
      </c>
      <c r="F95" s="13" t="s">
        <v>215</v>
      </c>
      <c r="G95" s="13" t="s">
        <v>186</v>
      </c>
      <c r="H95" s="13">
        <v>1</v>
      </c>
      <c r="I95" s="13">
        <v>5.0000000000000001E-3</v>
      </c>
      <c r="J95" s="13">
        <f>IF(OR(C95="P",C95="S"),IF(L95="",1,IF(L95=1,N95,IF(L95=2,N95&amp;" * "&amp;Q95,"ERROR"))),"")</f>
        <v>1</v>
      </c>
    </row>
    <row r="96" spans="1:18" s="36" customFormat="1" ht="15" customHeight="1" x14ac:dyDescent="0.25">
      <c r="A96" s="33" t="str">
        <f>IF(C96="","",IF(C96="C",CHAR(10) &amp; "// " &amp; E96,IF(C96="I","#define " &amp; E96 &amp; " " &amp; I96,IF(C96="P","#define " &amp; E96 &amp; " """ &amp; F96 &amp; """" &amp; CHAR(10) &amp; "#define DEFAULT_" &amp; E96 &amp; " " &amp; I96,IF(C96="S","","ERROR")))))</f>
        <v>#define CALCULATE_ACTIVATION "activation"</v>
      </c>
      <c r="B96" s="33" t="str">
        <f>IF(C96="","",IF(C96="C","  // "&amp;E96,IF(C96="P",IF(D96="E","  Environment.",IF(D96="S","  Simulation.","ERROR"))&amp;"SetSetting("&amp;E96&amp;", "&amp;G96&amp;", "&amp;H96&amp;");",IF(C96="S",
IF(L96=1,"  for (int i = 0; i &lt; "&amp;N96&amp;"; i++) {"&amp;CHAR(10)&amp;IF(D96="E","    Environment.",IF(D96="S","    Simulation.","ERROR"))&amp;"SetSetting("&amp;M96&amp;" + "&amp;O96&amp;", "&amp;G96&amp;", "&amp;H96&amp;");"&amp;CHAR(10)&amp;"  }",
IF(L96=2,"  for (int i = 0; i &lt; "&amp;N96&amp;"; i++) {"&amp;CHAR(10)&amp;"    for (int j = 0; j &lt; "&amp;Q96&amp;"; j++) {"&amp;CHAR(10)&amp;IF(D96="E","      Environment.",IF(D96="S","      Simulation.","ERROR"))&amp;"SetSetting("&amp;M96&amp;" + "&amp;O96&amp;" + "&amp;P96&amp;" + "&amp;R96&amp;", "&amp;G96&amp;", "&amp;H96&amp;");"&amp;CHAR(10)&amp;"    }"&amp;CHAR(10)&amp;"  }","ERROR")),""))))</f>
        <v/>
      </c>
      <c r="C96" s="28" t="s">
        <v>139</v>
      </c>
      <c r="D96" s="28"/>
      <c r="E96" s="36" t="s">
        <v>369</v>
      </c>
      <c r="F96" s="35"/>
      <c r="G96" s="35"/>
      <c r="H96" s="35"/>
      <c r="I96" s="35" t="s">
        <v>371</v>
      </c>
      <c r="J96" s="35" t="str">
        <f>IF(OR(C96="P",C96="S"),IF(L96="",1,IF(L96=1,N96,IF(L96=2,N96&amp;" * "&amp;Q96,"ERROR"))),"")</f>
        <v/>
      </c>
    </row>
    <row r="97" spans="1:10" s="36" customFormat="1" ht="15" customHeight="1" x14ac:dyDescent="0.25">
      <c r="A97" s="33" t="str">
        <f>IF(C97="","",IF(C97="C",CHAR(10) &amp; "// " &amp; E97,IF(C97="I","#define " &amp; E97 &amp; " " &amp; I97,IF(C97="P","#define " &amp; E97 &amp; " """ &amp; F97 &amp; """" &amp; CHAR(10) &amp; "#define DEFAULT_" &amp; E97 &amp; " " &amp; I97,IF(C97="S","","ERROR")))))</f>
        <v>#define CALCULATE_DACTIVATION "dactivation"</v>
      </c>
      <c r="B97" s="33" t="str">
        <f>IF(C97="","",IF(C97="C","  // "&amp;E97,IF(C97="P",IF(D97="E","  Environment.",IF(D97="S","  Simulation.","ERROR"))&amp;"SetSetting("&amp;E97&amp;", "&amp;G97&amp;", "&amp;H97&amp;");",IF(C97="S",
IF(L97=1,"  for (int i = 0; i &lt; "&amp;N97&amp;"; i++) {"&amp;CHAR(10)&amp;IF(D97="E","    Environment.",IF(D97="S","    Simulation.","ERROR"))&amp;"SetSetting("&amp;M97&amp;" + "&amp;O97&amp;", "&amp;G97&amp;", "&amp;H97&amp;");"&amp;CHAR(10)&amp;"  }",
IF(L97=2,"  for (int i = 0; i &lt; "&amp;N97&amp;"; i++) {"&amp;CHAR(10)&amp;"    for (int j = 0; j &lt; "&amp;Q97&amp;"; j++) {"&amp;CHAR(10)&amp;IF(D97="E","      Environment.",IF(D97="S","      Simulation.","ERROR"))&amp;"SetSetting("&amp;M97&amp;" + "&amp;O97&amp;" + "&amp;P97&amp;" + "&amp;R97&amp;", "&amp;G97&amp;", "&amp;H97&amp;");"&amp;CHAR(10)&amp;"    }"&amp;CHAR(10)&amp;"  }","ERROR")),""))))</f>
        <v/>
      </c>
      <c r="C97" s="28" t="s">
        <v>139</v>
      </c>
      <c r="D97" s="28"/>
      <c r="E97" s="36" t="s">
        <v>370</v>
      </c>
      <c r="F97" s="35"/>
      <c r="G97" s="35"/>
      <c r="H97" s="35"/>
      <c r="I97" s="35" t="s">
        <v>372</v>
      </c>
      <c r="J97" s="35" t="str">
        <f>IF(OR(C97="P",C97="S"),IF(L97="",1,IF(L97=1,N97,IF(L97=2,N97&amp;" * "&amp;Q97,"ERROR"))),"")</f>
        <v/>
      </c>
    </row>
    <row r="98" spans="1:10" s="32" customFormat="1" ht="15" customHeight="1" x14ac:dyDescent="0.25">
      <c r="A98" s="29" t="str">
        <f>IF(C98="","",IF(C98="C",CHAR(10) &amp; "// " &amp; E98,IF(C98="I","#define " &amp; E98 &amp; " " &amp; I98,IF(C98="P","#define " &amp; E98 &amp; " """ &amp; F98 &amp; """" &amp; CHAR(10) &amp; "#define DEFAULT_" &amp; E98 &amp; " " &amp; I98,IF(C98="S","","ERROR")))))</f>
        <v xml:space="preserve">
// Interface Defines</v>
      </c>
      <c r="B98" s="29" t="str">
        <f>IF(C98="","",IF(C98="C","  // "&amp;E98,IF(C98="P",IF(D98="E","  Environment.",IF(D98="S","  Simulation.","ERROR"))&amp;"SetSetting("&amp;E98&amp;", "&amp;G98&amp;", "&amp;H98&amp;");",IF(C98="S",
IF(L98=1,"  for (int i = 0; i &lt; "&amp;N98&amp;"; i++) {"&amp;CHAR(10)&amp;IF(D98="E","    Environment.",IF(D98="S","    Simulation.","ERROR"))&amp;"SetSetting("&amp;M98&amp;" + "&amp;O98&amp;", "&amp;G98&amp;", "&amp;H98&amp;");"&amp;CHAR(10)&amp;"  }",
IF(L98=2,"  for (int i = 0; i &lt; "&amp;N98&amp;"; i++) {"&amp;CHAR(10)&amp;"    for (int j = 0; j &lt; "&amp;Q98&amp;"; j++) {"&amp;CHAR(10)&amp;IF(D98="E","      Environment.",IF(D98="S","      Simulation.","ERROR"))&amp;"SetSetting("&amp;M98&amp;" + "&amp;O98&amp;" + "&amp;P98&amp;" + "&amp;R98&amp;", "&amp;G98&amp;", "&amp;H98&amp;");"&amp;CHAR(10)&amp;"    }"&amp;CHAR(10)&amp;"  }","ERROR")),""))))</f>
        <v xml:space="preserve">  // Interface Defines</v>
      </c>
      <c r="C98" s="30" t="s">
        <v>152</v>
      </c>
      <c r="D98" s="30"/>
      <c r="E98" s="32" t="s">
        <v>216</v>
      </c>
      <c r="F98" s="31"/>
      <c r="G98" s="31"/>
      <c r="H98" s="31"/>
      <c r="I98" s="31"/>
      <c r="J98" s="31" t="str">
        <f>IF(OR(C98="P",C98="S"),IF(L98="",1,IF(L98=1,N98,IF(L98=2,N98&amp;" * "&amp;Q98,"ERROR"))),"")</f>
        <v/>
      </c>
    </row>
    <row r="99" spans="1:10" s="36" customFormat="1" ht="15" customHeight="1" x14ac:dyDescent="0.25">
      <c r="A99" s="33" t="str">
        <f>IF(C99="","",IF(C99="C",CHAR(10) &amp; "// " &amp; E99,IF(C99="I","#define " &amp; E99 &amp; " " &amp; I99,IF(C99="P","#define " &amp; E99 &amp; " """ &amp; F99 &amp; """" &amp; CHAR(10) &amp; "#define DEFAULT_" &amp; E99 &amp; " " &amp; I99,IF(C99="S","","ERROR")))))</f>
        <v>#define LABEL_DONE "DONE"</v>
      </c>
      <c r="B99" s="33" t="str">
        <f>IF(C99="","",IF(C99="C","  // "&amp;E99,IF(C99="P",IF(D99="E","  Environment.",IF(D99="S","  Simulation.","ERROR"))&amp;"SetSetting("&amp;E99&amp;", "&amp;G99&amp;", "&amp;H99&amp;");",IF(C99="S",
IF(L99=1,"  for (int i = 0; i &lt; "&amp;N99&amp;"; i++) {"&amp;CHAR(10)&amp;IF(D99="E","    Environment.",IF(D99="S","    Simulation.","ERROR"))&amp;"SetSetting("&amp;M99&amp;" + "&amp;O99&amp;", "&amp;G99&amp;", "&amp;H99&amp;");"&amp;CHAR(10)&amp;"  }",
IF(L99=2,"  for (int i = 0; i &lt; "&amp;N99&amp;"; i++) {"&amp;CHAR(10)&amp;"    for (int j = 0; j &lt; "&amp;Q99&amp;"; j++) {"&amp;CHAR(10)&amp;IF(D99="E","      Environment.",IF(D99="S","      Simulation.","ERROR"))&amp;"SetSetting("&amp;M99&amp;" + "&amp;O99&amp;" + "&amp;P99&amp;" + "&amp;R99&amp;", "&amp;G99&amp;", "&amp;H99&amp;");"&amp;CHAR(10)&amp;"    }"&amp;CHAR(10)&amp;"  }","ERROR")),""))))</f>
        <v/>
      </c>
      <c r="C99" s="28" t="s">
        <v>139</v>
      </c>
      <c r="D99" s="28"/>
      <c r="E99" s="36" t="s">
        <v>217</v>
      </c>
      <c r="F99" s="35"/>
      <c r="G99" s="35"/>
      <c r="H99" s="35"/>
      <c r="I99" s="35" t="s">
        <v>218</v>
      </c>
      <c r="J99" s="35" t="str">
        <f>IF(OR(C99="P",C99="S"),IF(L99="",1,IF(L99=1,N99,IF(L99=2,N99&amp;" * "&amp;Q99,"ERROR"))),"")</f>
        <v/>
      </c>
    </row>
    <row r="100" spans="1:10" s="36" customFormat="1" ht="15" customHeight="1" x14ac:dyDescent="0.25">
      <c r="A100" s="33" t="str">
        <f>IF(C100="","",IF(C100="C",CHAR(10) &amp; "// " &amp; E100,IF(C100="I","#define " &amp; E100 &amp; " " &amp; I100,IF(C100="P","#define " &amp; E100 &amp; " """ &amp; F100 &amp; """" &amp; CHAR(10) &amp; "#define DEFAULT_" &amp; E100 &amp; " " &amp; I100,IF(C100="S","","ERROR")))))</f>
        <v>#define LABEL_FAIL "FAIL"</v>
      </c>
      <c r="B100" s="33" t="str">
        <f>IF(C100="","",IF(C100="C","  // "&amp;E100,IF(C100="P",IF(D100="E","  Environment.",IF(D100="S","  Simulation.","ERROR"))&amp;"SetSetting("&amp;E100&amp;", "&amp;G100&amp;", "&amp;H100&amp;");",IF(C100="S",
IF(L100=1,"  for (int i = 0; i &lt; "&amp;N100&amp;"; i++) {"&amp;CHAR(10)&amp;IF(D100="E","    Environment.",IF(D100="S","    Simulation.","ERROR"))&amp;"SetSetting("&amp;M100&amp;" + "&amp;O100&amp;", "&amp;G100&amp;", "&amp;H100&amp;");"&amp;CHAR(10)&amp;"  }",
IF(L100=2,"  for (int i = 0; i &lt; "&amp;N100&amp;"; i++) {"&amp;CHAR(10)&amp;"    for (int j = 0; j &lt; "&amp;Q100&amp;"; j++) {"&amp;CHAR(10)&amp;IF(D100="E","      Environment.",IF(D100="S","      Simulation.","ERROR"))&amp;"SetSetting("&amp;M100&amp;" + "&amp;O100&amp;" + "&amp;P100&amp;" + "&amp;R100&amp;", "&amp;G100&amp;", "&amp;H100&amp;");"&amp;CHAR(10)&amp;"    }"&amp;CHAR(10)&amp;"  }","ERROR")),""))))</f>
        <v/>
      </c>
      <c r="C100" s="28" t="s">
        <v>139</v>
      </c>
      <c r="D100" s="28"/>
      <c r="E100" s="36" t="s">
        <v>253</v>
      </c>
      <c r="F100" s="35"/>
      <c r="G100" s="35"/>
      <c r="H100" s="35"/>
      <c r="I100" s="35" t="s">
        <v>219</v>
      </c>
      <c r="J100" s="35" t="str">
        <f>IF(OR(C100="P",C100="S"),IF(L100="",1,IF(L100=1,N100,IF(L100=2,N100&amp;" * "&amp;Q100,"ERROR"))),"")</f>
        <v/>
      </c>
    </row>
    <row r="101" spans="1:10" ht="15" customHeight="1" x14ac:dyDescent="0.25">
      <c r="A101" s="25" t="str">
        <f>IF(C101="","",IF(C101="C",CHAR(10) &amp; "// " &amp; E101,IF(C101="I","#define " &amp; E101 &amp; " " &amp; I101,IF(C101="P","#define " &amp; E101 &amp; " """ &amp; F101 &amp; """" &amp; CHAR(10) &amp; "#define DEFAULT_" &amp; E101 &amp; " " &amp; I101,IF(C101="S","","ERROR")))))</f>
        <v>#define LABEL_ENVIRONMENT_SETTINGS "setenv"</v>
      </c>
      <c r="B101" s="25" t="str">
        <f>IF(C101="","",IF(C101="C","  // "&amp;E101,IF(C101="P",IF(D101="E","  Environment.",IF(D101="S","  Simulation.","ERROR"))&amp;"SetSetting("&amp;E101&amp;", "&amp;G101&amp;", "&amp;H101&amp;");",IF(C101="S",
IF(L101=1,"  for (int i = 0; i &lt; "&amp;N101&amp;"; i++) {"&amp;CHAR(10)&amp;IF(D101="E","    Environment.",IF(D101="S","    Simulation.","ERROR"))&amp;"SetSetting("&amp;M101&amp;" + "&amp;O101&amp;", "&amp;G101&amp;", "&amp;H101&amp;");"&amp;CHAR(10)&amp;"  }",
IF(L101=2,"  for (int i = 0; i &lt; "&amp;N101&amp;"; i++) {"&amp;CHAR(10)&amp;"    for (int j = 0; j &lt; "&amp;Q101&amp;"; j++) {"&amp;CHAR(10)&amp;IF(D101="E","      Environment.",IF(D101="S","      Simulation.","ERROR"))&amp;"SetSetting("&amp;M101&amp;" + "&amp;O101&amp;" + "&amp;P101&amp;" + "&amp;R101&amp;", "&amp;G101&amp;", "&amp;H101&amp;");"&amp;CHAR(10)&amp;"    }"&amp;CHAR(10)&amp;"  }","ERROR")),""))))</f>
        <v/>
      </c>
      <c r="C101" s="1" t="s">
        <v>139</v>
      </c>
      <c r="E101" t="s">
        <v>220</v>
      </c>
      <c r="I101" s="13" t="s">
        <v>225</v>
      </c>
      <c r="J101" s="13" t="str">
        <f>IF(OR(C101="P",C101="S"),IF(L101="",1,IF(L101=1,N101,IF(L101=2,N101&amp;" * "&amp;Q101,"ERROR"))),"")</f>
        <v/>
      </c>
    </row>
    <row r="102" spans="1:10" ht="15" customHeight="1" x14ac:dyDescent="0.25">
      <c r="A102" s="25" t="str">
        <f>IF(C102="","",IF(C102="C",CHAR(10) &amp; "// " &amp; E102,IF(C102="I","#define " &amp; E102 &amp; " " &amp; I102,IF(C102="P","#define " &amp; E102 &amp; " """ &amp; F102 &amp; """" &amp; CHAR(10) &amp; "#define DEFAULT_" &amp; E102 &amp; " " &amp; I102,IF(C102="S","","ERROR")))))</f>
        <v>#define LABEL_SIMULATOR_SETTINGS "setsim"</v>
      </c>
      <c r="B102" s="25" t="str">
        <f>IF(C102="","",IF(C102="C","  // "&amp;E102,IF(C102="P",IF(D102="E","  Environment.",IF(D102="S","  Simulation.","ERROR"))&amp;"SetSetting("&amp;E102&amp;", "&amp;G102&amp;", "&amp;H102&amp;");",IF(C102="S",
IF(L102=1,"  for (int i = 0; i &lt; "&amp;N102&amp;"; i++) {"&amp;CHAR(10)&amp;IF(D102="E","    Environment.",IF(D102="S","    Simulation.","ERROR"))&amp;"SetSetting("&amp;M102&amp;" + "&amp;O102&amp;", "&amp;G102&amp;", "&amp;H102&amp;");"&amp;CHAR(10)&amp;"  }",
IF(L102=2,"  for (int i = 0; i &lt; "&amp;N102&amp;"; i++) {"&amp;CHAR(10)&amp;"    for (int j = 0; j &lt; "&amp;Q102&amp;"; j++) {"&amp;CHAR(10)&amp;IF(D102="E","      Environment.",IF(D102="S","      Simulation.","ERROR"))&amp;"SetSetting("&amp;M102&amp;" + "&amp;O102&amp;" + "&amp;P102&amp;" + "&amp;R102&amp;", "&amp;G102&amp;", "&amp;H102&amp;");"&amp;CHAR(10)&amp;"    }"&amp;CHAR(10)&amp;"  }","ERROR")),""))))</f>
        <v/>
      </c>
      <c r="C102" s="1" t="s">
        <v>139</v>
      </c>
      <c r="E102" t="s">
        <v>221</v>
      </c>
      <c r="I102" s="13" t="s">
        <v>226</v>
      </c>
      <c r="J102" s="13" t="str">
        <f>IF(OR(C102="P",C102="S"),IF(L102="",1,IF(L102=1,N102,IF(L102=2,N102&amp;" * "&amp;Q102,"ERROR"))),"")</f>
        <v/>
      </c>
    </row>
    <row r="103" spans="1:10" ht="15" customHeight="1" x14ac:dyDescent="0.25">
      <c r="A103" s="25" t="str">
        <f>IF(C103="","",IF(C103="C",CHAR(10) &amp; "// " &amp; E103,IF(C103="I","#define " &amp; E103 &amp; " " &amp; I103,IF(C103="P","#define " &amp; E103 &amp; " """ &amp; F103 &amp; """" &amp; CHAR(10) &amp; "#define DEFAULT_" &amp; E103 &amp; " " &amp; I103,IF(C103="S","","ERROR")))))</f>
        <v>#define LABEL_COMMENT_STRING "#"</v>
      </c>
      <c r="B103" s="25" t="str">
        <f>IF(C103="","",IF(C103="C","  // "&amp;E103,IF(C103="P",IF(D103="E","  Environment.",IF(D103="S","  Simulation.","ERROR"))&amp;"SetSetting("&amp;E103&amp;", "&amp;G103&amp;", "&amp;H103&amp;");",IF(C103="S",
IF(L103=1,"  for (int i = 0; i &lt; "&amp;N103&amp;"; i++) {"&amp;CHAR(10)&amp;IF(D103="E","    Environment.",IF(D103="S","    Simulation.","ERROR"))&amp;"SetSetting("&amp;M103&amp;" + "&amp;O103&amp;", "&amp;G103&amp;", "&amp;H103&amp;");"&amp;CHAR(10)&amp;"  }",
IF(L103=2,"  for (int i = 0; i &lt; "&amp;N103&amp;"; i++) {"&amp;CHAR(10)&amp;"    for (int j = 0; j &lt; "&amp;Q103&amp;"; j++) {"&amp;CHAR(10)&amp;IF(D103="E","      Environment.",IF(D103="S","      Simulation.","ERROR"))&amp;"SetSetting("&amp;M103&amp;" + "&amp;O103&amp;" + "&amp;P103&amp;" + "&amp;R103&amp;", "&amp;G103&amp;", "&amp;H103&amp;");"&amp;CHAR(10)&amp;"    }"&amp;CHAR(10)&amp;"  }","ERROR")),""))))</f>
        <v/>
      </c>
      <c r="C103" s="1" t="s">
        <v>139</v>
      </c>
      <c r="E103" t="s">
        <v>230</v>
      </c>
      <c r="I103" s="13" t="s">
        <v>233</v>
      </c>
      <c r="J103" s="13" t="str">
        <f>IF(OR(C103="P",C103="S"),IF(L103="",1,IF(L103=1,N103,IF(L103=2,N103&amp;" * "&amp;Q103,"ERROR"))),"")</f>
        <v/>
      </c>
    </row>
    <row r="104" spans="1:10" ht="15" customHeight="1" x14ac:dyDescent="0.25">
      <c r="A104" s="25" t="str">
        <f>IF(C104="","",IF(C104="C",CHAR(10) &amp; "// " &amp; E104,IF(C104="I","#define " &amp; E104 &amp; " " &amp; I104,IF(C104="P","#define " &amp; E104 &amp; " """ &amp; F104 &amp; """" &amp; CHAR(10) &amp; "#define DEFAULT_" &amp; E104 &amp; " " &amp; I104,IF(C104="S","","ERROR")))))</f>
        <v>#define LABEL_COMMENT_CHAR '#'</v>
      </c>
      <c r="B104" s="25" t="str">
        <f>IF(C104="","",IF(C104="C","  // "&amp;E104,IF(C104="P",IF(D104="E","  Environment.",IF(D104="S","  Simulation.","ERROR"))&amp;"SetSetting("&amp;E104&amp;", "&amp;G104&amp;", "&amp;H104&amp;");",IF(C104="S",
IF(L104=1,"  for (int i = 0; i &lt; "&amp;N104&amp;"; i++) {"&amp;CHAR(10)&amp;IF(D104="E","    Environment.",IF(D104="S","    Simulation.","ERROR"))&amp;"SetSetting("&amp;M104&amp;" + "&amp;O104&amp;", "&amp;G104&amp;", "&amp;H104&amp;");"&amp;CHAR(10)&amp;"  }",
IF(L104=2,"  for (int i = 0; i &lt; "&amp;N104&amp;"; i++) {"&amp;CHAR(10)&amp;"    for (int j = 0; j &lt; "&amp;Q104&amp;"; j++) {"&amp;CHAR(10)&amp;IF(D104="E","      Environment.",IF(D104="S","      Simulation.","ERROR"))&amp;"SetSetting("&amp;M104&amp;" + "&amp;O104&amp;" + "&amp;P104&amp;" + "&amp;R104&amp;", "&amp;G104&amp;", "&amp;H104&amp;");"&amp;CHAR(10)&amp;"    }"&amp;CHAR(10)&amp;"  }","ERROR")),""))))</f>
        <v/>
      </c>
      <c r="C104" s="1" t="s">
        <v>139</v>
      </c>
      <c r="E104" t="s">
        <v>231</v>
      </c>
      <c r="I104" s="13" t="s">
        <v>232</v>
      </c>
      <c r="J104" s="13" t="str">
        <f>IF(OR(C104="P",C104="S"),IF(L104="",1,IF(L104=1,N104,IF(L104=2,N104&amp;" * "&amp;Q104,"ERROR"))),"")</f>
        <v/>
      </c>
    </row>
    <row r="105" spans="1:10" s="32" customFormat="1" ht="15" customHeight="1" x14ac:dyDescent="0.25">
      <c r="A105" s="29" t="str">
        <f>IF(C105="","",IF(C105="C",CHAR(10) &amp; "// " &amp; E105,IF(C105="I","#define " &amp; E105 &amp; " " &amp; I105,IF(C105="P","#define " &amp; E105 &amp; " """ &amp; F105 &amp; """" &amp; CHAR(10) &amp; "#define DEFAULT_" &amp; E105 &amp; " " &amp; I105,IF(C105="S","","ERROR")))))</f>
        <v xml:space="preserve">
// Run Simulation Calls</v>
      </c>
      <c r="B105" s="29" t="str">
        <f>IF(C105="","",IF(C105="C","  // "&amp;E105,IF(C105="P",IF(D105="E","  Environment.",IF(D105="S","  Simulation.","ERROR"))&amp;"SetSetting("&amp;E105&amp;", "&amp;G105&amp;", "&amp;H105&amp;");",IF(C105="S",
IF(L105=1,"  for (int i = 0; i &lt; "&amp;N105&amp;"; i++) {"&amp;CHAR(10)&amp;IF(D105="E","    Environment.",IF(D105="S","    Simulation.","ERROR"))&amp;"SetSetting("&amp;M105&amp;" + "&amp;O105&amp;", "&amp;G105&amp;", "&amp;H105&amp;");"&amp;CHAR(10)&amp;"  }",
IF(L105=2,"  for (int i = 0; i &lt; "&amp;N105&amp;"; i++) {"&amp;CHAR(10)&amp;"    for (int j = 0; j &lt; "&amp;Q105&amp;"; j++) {"&amp;CHAR(10)&amp;IF(D105="E","      Environment.",IF(D105="S","      Simulation.","ERROR"))&amp;"SetSetting("&amp;M105&amp;" + "&amp;O105&amp;" + "&amp;P105&amp;" + "&amp;R105&amp;", "&amp;G105&amp;", "&amp;H105&amp;");"&amp;CHAR(10)&amp;"    }"&amp;CHAR(10)&amp;"  }","ERROR")),""))))</f>
        <v xml:space="preserve">  // Run Simulation Calls</v>
      </c>
      <c r="C105" s="30" t="s">
        <v>152</v>
      </c>
      <c r="D105" s="30"/>
      <c r="E105" s="32" t="s">
        <v>234</v>
      </c>
      <c r="F105" s="31"/>
      <c r="G105" s="31"/>
      <c r="H105" s="31"/>
      <c r="I105" s="31"/>
      <c r="J105" s="31" t="str">
        <f>IF(OR(C105="P",C105="S"),IF(L105="",1,IF(L105=1,N105,IF(L105=2,N105&amp;" * "&amp;Q105,"ERROR"))),"")</f>
        <v/>
      </c>
    </row>
    <row r="106" spans="1:10" ht="15" customHeight="1" x14ac:dyDescent="0.25">
      <c r="A106" s="25" t="str">
        <f>IF(C106="","",IF(C106="C",CHAR(10) &amp; "// " &amp; E106,IF(C106="I","#define " &amp; E106 &amp; " " &amp; I106,IF(C106="P","#define " &amp; E106 &amp; " """ &amp; F106 &amp; """" &amp; CHAR(10) &amp; "#define DEFAULT_" &amp; E106 &amp; " " &amp; I106,IF(C106="S","","ERROR")))))</f>
        <v>#define LABEL_RUN_SIMULATION "runsim"</v>
      </c>
      <c r="B106" s="25" t="str">
        <f>IF(C106="","",IF(C106="C","  // "&amp;E106,IF(C106="P",IF(D106="E","  Environment.",IF(D106="S","  Simulation.","ERROR"))&amp;"SetSetting("&amp;E106&amp;", "&amp;G106&amp;", "&amp;H106&amp;");",IF(C106="S",
IF(L106=1,"  for (int i = 0; i &lt; "&amp;N106&amp;"; i++) {"&amp;CHAR(10)&amp;IF(D106="E","    Environment.",IF(D106="S","    Simulation.","ERROR"))&amp;"SetSetting("&amp;M106&amp;" + "&amp;O106&amp;", "&amp;G106&amp;", "&amp;H106&amp;");"&amp;CHAR(10)&amp;"  }",
IF(L106=2,"  for (int i = 0; i &lt; "&amp;N106&amp;"; i++) {"&amp;CHAR(10)&amp;"    for (int j = 0; j &lt; "&amp;Q106&amp;"; j++) {"&amp;CHAR(10)&amp;IF(D106="E","      Environment.",IF(D106="S","      Simulation.","ERROR"))&amp;"SetSetting("&amp;M106&amp;" + "&amp;O106&amp;" + "&amp;P106&amp;" + "&amp;R106&amp;", "&amp;G106&amp;", "&amp;H106&amp;");"&amp;CHAR(10)&amp;"    }"&amp;CHAR(10)&amp;"  }","ERROR")),""))))</f>
        <v/>
      </c>
      <c r="C106" s="1" t="s">
        <v>139</v>
      </c>
      <c r="E106" t="s">
        <v>222</v>
      </c>
      <c r="I106" s="13" t="s">
        <v>227</v>
      </c>
      <c r="J106" s="13" t="str">
        <f>IF(OR(C106="P",C106="S"),IF(L106="",1,IF(L106=1,N106,IF(L106=2,N106&amp;" * "&amp;Q106,"ERROR"))),"")</f>
        <v/>
      </c>
    </row>
    <row r="107" spans="1:10" ht="15" customHeight="1" x14ac:dyDescent="0.25">
      <c r="A107" s="25" t="str">
        <f>IF(C107="","",IF(C107="C",CHAR(10) &amp; "// " &amp; E107,IF(C107="I","#define " &amp; E107 &amp; " " &amp; I107,IF(C107="P","#define " &amp; E107 &amp; " """ &amp; F107 &amp; """" &amp; CHAR(10) &amp; "#define DEFAULT_" &amp; E107 &amp; " " &amp; I107,IF(C107="S","","ERROR")))))</f>
        <v>#define SS_INITIALIZE "ss_initialize"</v>
      </c>
      <c r="B107" s="25" t="str">
        <f>IF(C107="","",IF(C107="C","  // "&amp;E107,IF(C107="P",IF(D107="E","  Environment.",IF(D107="S","  Simulation.","ERROR"))&amp;"SetSetting("&amp;E107&amp;", "&amp;G107&amp;", "&amp;H107&amp;");",IF(C107="S",
IF(L107=1,"  for (int i = 0; i &lt; "&amp;N107&amp;"; i++) {"&amp;CHAR(10)&amp;IF(D107="E","    Environment.",IF(D107="S","    Simulation.","ERROR"))&amp;"SetSetting("&amp;M107&amp;" + "&amp;O107&amp;", "&amp;G107&amp;", "&amp;H107&amp;");"&amp;CHAR(10)&amp;"  }",
IF(L107=2,"  for (int i = 0; i &lt; "&amp;N107&amp;"; i++) {"&amp;CHAR(10)&amp;"    for (int j = 0; j &lt; "&amp;Q107&amp;"; j++) {"&amp;CHAR(10)&amp;IF(D107="E","      Environment.",IF(D107="S","      Simulation.","ERROR"))&amp;"SetSetting("&amp;M107&amp;" + "&amp;O107&amp;" + "&amp;P107&amp;" + "&amp;R107&amp;", "&amp;G107&amp;", "&amp;H107&amp;");"&amp;CHAR(10)&amp;"    }"&amp;CHAR(10)&amp;"  }","ERROR")),""))))</f>
        <v/>
      </c>
      <c r="C107" s="1" t="s">
        <v>139</v>
      </c>
      <c r="E107" t="s">
        <v>235</v>
      </c>
      <c r="I107" s="13" t="s">
        <v>313</v>
      </c>
      <c r="J107" s="13" t="str">
        <f>IF(OR(C107="P",C107="S"),IF(L107="",1,IF(L107=1,N107,IF(L107=2,N107&amp;" * "&amp;Q107,"ERROR"))),"")</f>
        <v/>
      </c>
    </row>
    <row r="108" spans="1:10" ht="15" customHeight="1" x14ac:dyDescent="0.25">
      <c r="A108" s="25" t="str">
        <f>IF(C108="","",IF(C108="C",CHAR(10) &amp; "// " &amp; E108,IF(C108="I","#define " &amp; E108 &amp; " " &amp; I108,IF(C108="P","#define " &amp; E108 &amp; " """ &amp; F108 &amp; """" &amp; CHAR(10) &amp; "#define DEFAULT_" &amp; E108 &amp; " " &amp; I108,IF(C108="S","","ERROR")))))</f>
        <v>#define SS_ADD_V1_DIFFUSION "ss_add_V1_diffusion"</v>
      </c>
      <c r="B108" s="25" t="str">
        <f>IF(C108="","",IF(C108="C","  // "&amp;E108,IF(C108="P",IF(D108="E","  Environment.",IF(D108="S","  Simulation.","ERROR"))&amp;"SetSetting("&amp;E108&amp;", "&amp;G108&amp;", "&amp;H108&amp;");",IF(C108="S",
IF(L108=1,"  for (int i = 0; i &lt; "&amp;N108&amp;"; i++) {"&amp;CHAR(10)&amp;IF(D108="E","    Environment.",IF(D108="S","    Simulation.","ERROR"))&amp;"SetSetting("&amp;M108&amp;" + "&amp;O108&amp;", "&amp;G108&amp;", "&amp;H108&amp;");"&amp;CHAR(10)&amp;"  }",
IF(L108=2,"  for (int i = 0; i &lt; "&amp;N108&amp;"; i++) {"&amp;CHAR(10)&amp;"    for (int j = 0; j &lt; "&amp;Q108&amp;"; j++) {"&amp;CHAR(10)&amp;IF(D108="E","      Environment.",IF(D108="S","      Simulation.","ERROR"))&amp;"SetSetting("&amp;M108&amp;" + "&amp;O108&amp;" + "&amp;P108&amp;" + "&amp;R108&amp;", "&amp;G108&amp;", "&amp;H108&amp;");"&amp;CHAR(10)&amp;"    }"&amp;CHAR(10)&amp;"  }","ERROR")),""))))</f>
        <v/>
      </c>
      <c r="C108" s="1" t="s">
        <v>139</v>
      </c>
      <c r="E108" t="s">
        <v>236</v>
      </c>
      <c r="I108" s="13" t="s">
        <v>314</v>
      </c>
      <c r="J108" s="13" t="str">
        <f>IF(OR(C108="P",C108="S"),IF(L108="",1,IF(L108=1,N108,IF(L108=2,N108&amp;" * "&amp;Q108,"ERROR"))),"")</f>
        <v/>
      </c>
    </row>
    <row r="109" spans="1:10" ht="15" customHeight="1" x14ac:dyDescent="0.25">
      <c r="A109" s="25" t="str">
        <f>IF(C109="","",IF(C109="C",CHAR(10) &amp; "// " &amp; E109,IF(C109="I","#define " &amp; E109 &amp; " " &amp; I109,IF(C109="P","#define " &amp; E109 &amp; " """ &amp; F109 &amp; """" &amp; CHAR(10) &amp; "#define DEFAULT_" &amp; E109 &amp; " " &amp; I109,IF(C109="S","","ERROR")))))</f>
        <v>#define SS_SIMULATE "ss_simulate"</v>
      </c>
      <c r="B109" s="25" t="str">
        <f>IF(C109="","",IF(C109="C","  // "&amp;E109,IF(C109="P",IF(D109="E","  Environment.",IF(D109="S","  Simulation.","ERROR"))&amp;"SetSetting("&amp;E109&amp;", "&amp;G109&amp;", "&amp;H109&amp;");",IF(C109="S",
IF(L109=1,"  for (int i = 0; i &lt; "&amp;N109&amp;"; i++) {"&amp;CHAR(10)&amp;IF(D109="E","    Environment.",IF(D109="S","    Simulation.","ERROR"))&amp;"SetSetting("&amp;M109&amp;" + "&amp;O109&amp;", "&amp;G109&amp;", "&amp;H109&amp;");"&amp;CHAR(10)&amp;"  }",
IF(L109=2,"  for (int i = 0; i &lt; "&amp;N109&amp;"; i++) {"&amp;CHAR(10)&amp;"    for (int j = 0; j &lt; "&amp;Q109&amp;"; j++) {"&amp;CHAR(10)&amp;IF(D109="E","      Environment.",IF(D109="S","      Simulation.","ERROR"))&amp;"SetSetting("&amp;M109&amp;" + "&amp;O109&amp;" + "&amp;P109&amp;" + "&amp;R109&amp;", "&amp;G109&amp;", "&amp;H109&amp;");"&amp;CHAR(10)&amp;"    }"&amp;CHAR(10)&amp;"  }","ERROR")),""))))</f>
        <v/>
      </c>
      <c r="C109" s="1" t="s">
        <v>139</v>
      </c>
      <c r="E109" t="s">
        <v>237</v>
      </c>
      <c r="I109" s="13" t="s">
        <v>315</v>
      </c>
      <c r="J109" s="13" t="str">
        <f>IF(OR(C109="P",C109="S"),IF(L109="",1,IF(L109=1,N109,IF(L109=2,N109&amp;" * "&amp;Q109,"ERROR"))),"")</f>
        <v/>
      </c>
    </row>
    <row r="110" spans="1:10" s="32" customFormat="1" ht="15" customHeight="1" x14ac:dyDescent="0.25">
      <c r="A110" s="29" t="str">
        <f>IF(C110="","",IF(C110="C",CHAR(10) &amp; "// " &amp; E110,IF(C110="I","#define " &amp; E110 &amp; " " &amp; I110,IF(C110="P","#define " &amp; E110 &amp; " """ &amp; F110 &amp; """" &amp; CHAR(10) &amp; "#define DEFAULT_" &amp; E110 &amp; " " &amp; I110,IF(C110="S","","ERROR")))))</f>
        <v xml:space="preserve">
// Reporting Calls</v>
      </c>
      <c r="B110" s="29" t="str">
        <f>IF(C110="","",IF(C110="C","  // "&amp;E110,IF(C110="P",IF(D110="E","  Environment.",IF(D110="S","  Simulation.","ERROR"))&amp;"SetSetting("&amp;E110&amp;", "&amp;G110&amp;", "&amp;H110&amp;");",IF(C110="S",
IF(L110=1,"  for (int i = 0; i &lt; "&amp;N110&amp;"; i++) {"&amp;CHAR(10)&amp;IF(D110="E","    Environment.",IF(D110="S","    Simulation.","ERROR"))&amp;"SetSetting("&amp;M110&amp;" + "&amp;O110&amp;", "&amp;G110&amp;", "&amp;H110&amp;");"&amp;CHAR(10)&amp;"  }",
IF(L110=2,"  for (int i = 0; i &lt; "&amp;N110&amp;"; i++) {"&amp;CHAR(10)&amp;"    for (int j = 0; j &lt; "&amp;Q110&amp;"; j++) {"&amp;CHAR(10)&amp;IF(D110="E","      Environment.",IF(D110="S","      Simulation.","ERROR"))&amp;"SetSetting("&amp;M110&amp;" + "&amp;O110&amp;" + "&amp;P110&amp;" + "&amp;R110&amp;", "&amp;G110&amp;", "&amp;H110&amp;");"&amp;CHAR(10)&amp;"    }"&amp;CHAR(10)&amp;"  }","ERROR")),""))))</f>
        <v xml:space="preserve">  // Reporting Calls</v>
      </c>
      <c r="C110" s="30" t="s">
        <v>152</v>
      </c>
      <c r="D110" s="30"/>
      <c r="E110" s="32" t="s">
        <v>238</v>
      </c>
      <c r="F110" s="31"/>
      <c r="G110" s="31"/>
      <c r="H110" s="31"/>
      <c r="I110" s="31"/>
      <c r="J110" s="31" t="str">
        <f>IF(OR(C110="P",C110="S"),IF(L110="",1,IF(L110=1,N110,IF(L110=2,N110&amp;" * "&amp;Q110,"ERROR"))),"")</f>
        <v/>
      </c>
    </row>
    <row r="111" spans="1:10" ht="15" customHeight="1" x14ac:dyDescent="0.25">
      <c r="A111" s="25" t="str">
        <f>IF(C111="","",IF(C111="C",CHAR(10) &amp; "// " &amp; E111,IF(C111="I","#define " &amp; E111 &amp; " " &amp; I111,IF(C111="P","#define " &amp; E111 &amp; " """ &amp; F111 &amp; """" &amp; CHAR(10) &amp; "#define DEFAULT_" &amp; E111 &amp; " " &amp; I111,IF(C111="S","","ERROR")))))</f>
        <v>#define LABEL_REPORTING "report"</v>
      </c>
      <c r="B111" s="25" t="str">
        <f>IF(C111="","",IF(C111="C","  // "&amp;E111,IF(C111="P",IF(D111="E","  Environment.",IF(D111="S","  Simulation.","ERROR"))&amp;"SetSetting("&amp;E111&amp;", "&amp;G111&amp;", "&amp;H111&amp;");",IF(C111="S",
IF(L111=1,"  for (int i = 0; i &lt; "&amp;N111&amp;"; i++) {"&amp;CHAR(10)&amp;IF(D111="E","    Environment.",IF(D111="S","    Simulation.","ERROR"))&amp;"SetSetting("&amp;M111&amp;" + "&amp;O111&amp;", "&amp;G111&amp;", "&amp;H111&amp;");"&amp;CHAR(10)&amp;"  }",
IF(L111=2,"  for (int i = 0; i &lt; "&amp;N111&amp;"; i++) {"&amp;CHAR(10)&amp;"    for (int j = 0; j &lt; "&amp;Q111&amp;"; j++) {"&amp;CHAR(10)&amp;IF(D111="E","      Environment.",IF(D111="S","      Simulation.","ERROR"))&amp;"SetSetting("&amp;M111&amp;" + "&amp;O111&amp;" + "&amp;P111&amp;" + "&amp;R111&amp;", "&amp;G111&amp;", "&amp;H111&amp;");"&amp;CHAR(10)&amp;"    }"&amp;CHAR(10)&amp;"  }","ERROR")),""))))</f>
        <v/>
      </c>
      <c r="C111" s="1" t="s">
        <v>139</v>
      </c>
      <c r="E111" t="s">
        <v>223</v>
      </c>
      <c r="I111" s="13" t="s">
        <v>228</v>
      </c>
      <c r="J111" s="13" t="str">
        <f>IF(OR(C111="P",C111="S"),IF(L111="",1,IF(L111=1,N111,IF(L111=2,N111&amp;" * "&amp;Q111,"ERROR"))),"")</f>
        <v/>
      </c>
    </row>
    <row r="112" spans="1:10" ht="15" customHeight="1" x14ac:dyDescent="0.25">
      <c r="A112" s="25" t="str">
        <f>IF(C112="","",IF(C112="C",CHAR(10) &amp; "// " &amp; E112,IF(C112="I","#define " &amp; E112 &amp; " " &amp; I112,IF(C112="P","#define " &amp; E112 &amp; " """ &amp; F112 &amp; """" &amp; CHAR(10) &amp; "#define DEFAULT_" &amp; E112 &amp; " " &amp; I112,IF(C112="S","","ERROR")))))</f>
        <v>#define PRINT_ENV "print_env"</v>
      </c>
      <c r="B112" s="25" t="str">
        <f>IF(C112="","",IF(C112="C","  // "&amp;E112,IF(C112="P",IF(D112="E","  Environment.",IF(D112="S","  Simulation.","ERROR"))&amp;"SetSetting("&amp;E112&amp;", "&amp;G112&amp;", "&amp;H112&amp;");",IF(C112="S",
IF(L112=1,"  for (int i = 0; i &lt; "&amp;N112&amp;"; i++) {"&amp;CHAR(10)&amp;IF(D112="E","    Environment.",IF(D112="S","    Simulation.","ERROR"))&amp;"SetSetting("&amp;M112&amp;" + "&amp;O112&amp;", "&amp;G112&amp;", "&amp;H112&amp;");"&amp;CHAR(10)&amp;"  }",
IF(L112=2,"  for (int i = 0; i &lt; "&amp;N112&amp;"; i++) {"&amp;CHAR(10)&amp;"    for (int j = 0; j &lt; "&amp;Q112&amp;"; j++) {"&amp;CHAR(10)&amp;IF(D112="E","      Environment.",IF(D112="S","      Simulation.","ERROR"))&amp;"SetSetting("&amp;M112&amp;" + "&amp;O112&amp;" + "&amp;P112&amp;" + "&amp;R112&amp;", "&amp;G112&amp;", "&amp;H112&amp;");"&amp;CHAR(10)&amp;"    }"&amp;CHAR(10)&amp;"  }","ERROR")),""))))</f>
        <v/>
      </c>
      <c r="C112" s="1" t="s">
        <v>139</v>
      </c>
      <c r="E112" t="s">
        <v>239</v>
      </c>
      <c r="I112" s="13" t="s">
        <v>316</v>
      </c>
      <c r="J112" s="13" t="str">
        <f>IF(OR(C112="P",C112="S"),IF(L112="",1,IF(L112=1,N112,IF(L112=2,N112&amp;" * "&amp;Q112,"ERROR"))),"")</f>
        <v/>
      </c>
    </row>
    <row r="113" spans="1:11" ht="15" customHeight="1" x14ac:dyDescent="0.25">
      <c r="A113" s="25" t="str">
        <f>IF(C113="","",IF(C113="C",CHAR(10) &amp; "// " &amp; E113,IF(C113="I","#define " &amp; E113 &amp; " " &amp; I113,IF(C113="P","#define " &amp; E113 &amp; " """ &amp; F113 &amp; """" &amp; CHAR(10) &amp; "#define DEFAULT_" &amp; E113 &amp; " " &amp; I113,IF(C113="S","","ERROR")))))</f>
        <v>#define PRINT_SIM "print_sim"</v>
      </c>
      <c r="B113" s="25" t="str">
        <f>IF(C113="","",IF(C113="C","  // "&amp;E113,IF(C113="P",IF(D113="E","  Environment.",IF(D113="S","  Simulation.","ERROR"))&amp;"SetSetting("&amp;E113&amp;", "&amp;G113&amp;", "&amp;H113&amp;");",IF(C113="S",
IF(L113=1,"  for (int i = 0; i &lt; "&amp;N113&amp;"; i++) {"&amp;CHAR(10)&amp;IF(D113="E","    Environment.",IF(D113="S","    Simulation.","ERROR"))&amp;"SetSetting("&amp;M113&amp;" + "&amp;O113&amp;", "&amp;G113&amp;", "&amp;H113&amp;");"&amp;CHAR(10)&amp;"  }",
IF(L113=2,"  for (int i = 0; i &lt; "&amp;N113&amp;"; i++) {"&amp;CHAR(10)&amp;"    for (int j = 0; j &lt; "&amp;Q113&amp;"; j++) {"&amp;CHAR(10)&amp;IF(D113="E","      Environment.",IF(D113="S","      Simulation.","ERROR"))&amp;"SetSetting("&amp;M113&amp;" + "&amp;O113&amp;" + "&amp;P113&amp;" + "&amp;R113&amp;", "&amp;G113&amp;", "&amp;H113&amp;");"&amp;CHAR(10)&amp;"    }"&amp;CHAR(10)&amp;"  }","ERROR")),""))))</f>
        <v/>
      </c>
      <c r="C113" s="1" t="s">
        <v>139</v>
      </c>
      <c r="E113" t="s">
        <v>240</v>
      </c>
      <c r="I113" s="13" t="s">
        <v>317</v>
      </c>
      <c r="J113" s="13" t="str">
        <f>IF(OR(C113="P",C113="S"),IF(L113="",1,IF(L113=1,N113,IF(L113=2,N113&amp;" * "&amp;Q113,"ERROR"))),"")</f>
        <v/>
      </c>
    </row>
    <row r="114" spans="1:11" ht="15" customHeight="1" x14ac:dyDescent="0.25">
      <c r="A114" s="25" t="str">
        <f>IF(C114="","",IF(C114="C",CHAR(10) &amp; "// " &amp; E114,IF(C114="I","#define " &amp; E114 &amp; " " &amp; I114,IF(C114="P","#define " &amp; E114 &amp; " """ &amp; F114 &amp; """" &amp; CHAR(10) &amp; "#define DEFAULT_" &amp; E114 &amp; " " &amp; I114,IF(C114="S","","ERROR")))))</f>
        <v>#define SS_PRINT_V1_ACTIVATION "ss_print_V1_activation"</v>
      </c>
      <c r="B114" s="25" t="str">
        <f>IF(C114="","",IF(C114="C","  // "&amp;E114,IF(C114="P",IF(D114="E","  Environment.",IF(D114="S","  Simulation.","ERROR"))&amp;"SetSetting("&amp;E114&amp;", "&amp;G114&amp;", "&amp;H114&amp;");",IF(C114="S",
IF(L114=1,"  for (int i = 0; i &lt; "&amp;N114&amp;"; i++) {"&amp;CHAR(10)&amp;IF(D114="E","    Environment.",IF(D114="S","    Simulation.","ERROR"))&amp;"SetSetting("&amp;M114&amp;" + "&amp;O114&amp;", "&amp;G114&amp;", "&amp;H114&amp;");"&amp;CHAR(10)&amp;"  }",
IF(L114=2,"  for (int i = 0; i &lt; "&amp;N114&amp;"; i++) {"&amp;CHAR(10)&amp;"    for (int j = 0; j &lt; "&amp;Q114&amp;"; j++) {"&amp;CHAR(10)&amp;IF(D114="E","      Environment.",IF(D114="S","      Simulation.","ERROR"))&amp;"SetSetting("&amp;M114&amp;" + "&amp;O114&amp;" + "&amp;P114&amp;" + "&amp;R114&amp;", "&amp;G114&amp;", "&amp;H114&amp;");"&amp;CHAR(10)&amp;"    }"&amp;CHAR(10)&amp;"  }","ERROR")),""))))</f>
        <v/>
      </c>
      <c r="C114" s="1" t="s">
        <v>139</v>
      </c>
      <c r="E114" t="s">
        <v>241</v>
      </c>
      <c r="I114" s="13" t="s">
        <v>318</v>
      </c>
      <c r="J114" s="13" t="str">
        <f>IF(OR(C114="P",C114="S"),IF(L114="",1,IF(L114=1,N114,IF(L114=2,N114&amp;" * "&amp;Q114,"ERROR"))),"")</f>
        <v/>
      </c>
    </row>
    <row r="115" spans="1:11" ht="15" customHeight="1" x14ac:dyDescent="0.25">
      <c r="A115" s="25" t="str">
        <f>IF(C115="","",IF(C115="C",CHAR(10) &amp; "// " &amp; E115,IF(C115="I","#define " &amp; E115 &amp; " " &amp; I115,IF(C115="P","#define " &amp; E115 &amp; " """ &amp; F115 &amp; """" &amp; CHAR(10) &amp; "#define DEFAULT_" &amp; E115 &amp; " " &amp; I115,IF(C115="S","","ERROR")))))</f>
        <v>#define SS_PRINT_V1_ACTIVATION_HORIZONTAL "ss_print_V1_activation_horizontal"</v>
      </c>
      <c r="B115" s="25" t="str">
        <f>IF(C115="","",IF(C115="C","  // "&amp;E115,IF(C115="P",IF(D115="E","  Environment.",IF(D115="S","  Simulation.","ERROR"))&amp;"SetSetting("&amp;E115&amp;", "&amp;G115&amp;", "&amp;H115&amp;");",IF(C115="S",
IF(L115=1,"  for (int i = 0; i &lt; "&amp;N115&amp;"; i++) {"&amp;CHAR(10)&amp;IF(D115="E","    Environment.",IF(D115="S","    Simulation.","ERROR"))&amp;"SetSetting("&amp;M115&amp;" + "&amp;O115&amp;", "&amp;G115&amp;", "&amp;H115&amp;");"&amp;CHAR(10)&amp;"  }",
IF(L115=2,"  for (int i = 0; i &lt; "&amp;N115&amp;"; i++) {"&amp;CHAR(10)&amp;"    for (int j = 0; j &lt; "&amp;Q115&amp;"; j++) {"&amp;CHAR(10)&amp;IF(D115="E","      Environment.",IF(D115="S","      Simulation.","ERROR"))&amp;"SetSetting("&amp;M115&amp;" + "&amp;O115&amp;" + "&amp;P115&amp;" + "&amp;R115&amp;", "&amp;G115&amp;", "&amp;H115&amp;");"&amp;CHAR(10)&amp;"    }"&amp;CHAR(10)&amp;"  }","ERROR")),""))))</f>
        <v/>
      </c>
      <c r="C115" s="1" t="s">
        <v>139</v>
      </c>
      <c r="E115" t="s">
        <v>242</v>
      </c>
      <c r="I115" s="13" t="s">
        <v>319</v>
      </c>
      <c r="J115" s="13" t="str">
        <f>IF(OR(C115="P",C115="S"),IF(L115="",1,IF(L115=1,N115,IF(L115=2,N115&amp;" * "&amp;Q115,"ERROR"))),"")</f>
        <v/>
      </c>
    </row>
    <row r="116" spans="1:11" ht="15" customHeight="1" x14ac:dyDescent="0.25">
      <c r="A116" s="25" t="str">
        <f>IF(C116="","",IF(C116="C",CHAR(10) &amp; "// " &amp; E116,IF(C116="I","#define " &amp; E116 &amp; " " &amp; I116,IF(C116="P","#define " &amp; E116 &amp; " """ &amp; F116 &amp; """" &amp; CHAR(10) &amp; "#define DEFAULT_" &amp; E116 &amp; " " &amp; I116,IF(C116="S","","ERROR")))))</f>
        <v>#define SS_PRINT_V1_EXTERNAL_EXCITATION "ss_print_V1_external_excitation"</v>
      </c>
      <c r="B116" s="25" t="str">
        <f>IF(C116="","",IF(C116="C","  // "&amp;E116,IF(C116="P",IF(D116="E","  Environment.",IF(D116="S","  Simulation.","ERROR"))&amp;"SetSetting("&amp;E116&amp;", "&amp;G116&amp;", "&amp;H116&amp;");",IF(C116="S",
IF(L116=1,"  for (int i = 0; i &lt; "&amp;N116&amp;"; i++) {"&amp;CHAR(10)&amp;IF(D116="E","    Environment.",IF(D116="S","    Simulation.","ERROR"))&amp;"SetSetting("&amp;M116&amp;" + "&amp;O116&amp;", "&amp;G116&amp;", "&amp;H116&amp;");"&amp;CHAR(10)&amp;"  }",
IF(L116=2,"  for (int i = 0; i &lt; "&amp;N116&amp;"; i++) {"&amp;CHAR(10)&amp;"    for (int j = 0; j &lt; "&amp;Q116&amp;"; j++) {"&amp;CHAR(10)&amp;IF(D116="E","      Environment.",IF(D116="S","      Simulation.","ERROR"))&amp;"SetSetting("&amp;M116&amp;" + "&amp;O116&amp;" + "&amp;P116&amp;" + "&amp;R116&amp;", "&amp;G116&amp;", "&amp;H116&amp;");"&amp;CHAR(10)&amp;"    }"&amp;CHAR(10)&amp;"  }","ERROR")),""))))</f>
        <v/>
      </c>
      <c r="C116" s="1" t="s">
        <v>139</v>
      </c>
      <c r="E116" t="s">
        <v>243</v>
      </c>
      <c r="I116" s="13" t="s">
        <v>320</v>
      </c>
      <c r="J116" s="13" t="str">
        <f>IF(OR(C116="P",C116="S"),IF(L116="",1,IF(L116=1,N116,IF(L116=2,N116&amp;" * "&amp;Q116,"ERROR"))),"")</f>
        <v/>
      </c>
    </row>
    <row r="117" spans="1:11" ht="15" customHeight="1" x14ac:dyDescent="0.25">
      <c r="A117" s="25" t="str">
        <f>IF(C117="","",IF(C117="C",CHAR(10) &amp; "// " &amp; E117,IF(C117="I","#define " &amp; E117 &amp; " " &amp; I117,IF(C117="P","#define " &amp; E117 &amp; " """ &amp; F117 &amp; """" &amp; CHAR(10) &amp; "#define DEFAULT_" &amp; E117 &amp; " " &amp; I117,IF(C117="S","","ERROR")))))</f>
        <v>#define SS_PRINT_MT_ACTIVATION "ss_print_MT_activation"</v>
      </c>
      <c r="B117" s="25" t="str">
        <f>IF(C117="","",IF(C117="C","  // "&amp;E117,IF(C117="P",IF(D117="E","  Environment.",IF(D117="S","  Simulation.","ERROR"))&amp;"SetSetting("&amp;E117&amp;", "&amp;G117&amp;", "&amp;H117&amp;");",IF(C117="S",
IF(L117=1,"  for (int i = 0; i &lt; "&amp;N117&amp;"; i++) {"&amp;CHAR(10)&amp;IF(D117="E","    Environment.",IF(D117="S","    Simulation.","ERROR"))&amp;"SetSetting("&amp;M117&amp;" + "&amp;O117&amp;", "&amp;G117&amp;", "&amp;H117&amp;");"&amp;CHAR(10)&amp;"  }",
IF(L117=2,"  for (int i = 0; i &lt; "&amp;N117&amp;"; i++) {"&amp;CHAR(10)&amp;"    for (int j = 0; j &lt; "&amp;Q117&amp;"; j++) {"&amp;CHAR(10)&amp;IF(D117="E","      Environment.",IF(D117="S","      Simulation.","ERROR"))&amp;"SetSetting("&amp;M117&amp;" + "&amp;O117&amp;" + "&amp;P117&amp;" + "&amp;R117&amp;", "&amp;G117&amp;", "&amp;H117&amp;");"&amp;CHAR(10)&amp;"    }"&amp;CHAR(10)&amp;"  }","ERROR")),""))))</f>
        <v/>
      </c>
      <c r="C117" s="1" t="s">
        <v>139</v>
      </c>
      <c r="E117" t="s">
        <v>244</v>
      </c>
      <c r="I117" s="13" t="s">
        <v>321</v>
      </c>
      <c r="J117" s="13" t="str">
        <f>IF(OR(C117="P",C117="S"),IF(L117="",1,IF(L117=1,N117,IF(L117=2,N117&amp;" * "&amp;Q117,"ERROR"))),"")</f>
        <v/>
      </c>
    </row>
    <row r="118" spans="1:11" ht="15" customHeight="1" x14ac:dyDescent="0.25">
      <c r="A118" s="25" t="str">
        <f>IF(C118="","",IF(C118="C",CHAR(10) &amp; "// " &amp; E118,IF(C118="I","#define " &amp; E118 &amp; " " &amp; I118,IF(C118="P","#define " &amp; E118 &amp; " """ &amp; F118 &amp; """" &amp; CHAR(10) &amp; "#define DEFAULT_" &amp; E118 &amp; " " &amp; I118,IF(C118="S","","ERROR")))))</f>
        <v>#define SS_PRINT_MT_ACTIVATION_HORIZONTAL "ss_print_MT_activation_horizontal"</v>
      </c>
      <c r="B118" s="25" t="str">
        <f>IF(C118="","",IF(C118="C","  // "&amp;E118,IF(C118="P",IF(D118="E","  Environment.",IF(D118="S","  Simulation.","ERROR"))&amp;"SetSetting("&amp;E118&amp;", "&amp;G118&amp;", "&amp;H118&amp;");",IF(C118="S",
IF(L118=1,"  for (int i = 0; i &lt; "&amp;N118&amp;"; i++) {"&amp;CHAR(10)&amp;IF(D118="E","    Environment.",IF(D118="S","    Simulation.","ERROR"))&amp;"SetSetting("&amp;M118&amp;" + "&amp;O118&amp;", "&amp;G118&amp;", "&amp;H118&amp;");"&amp;CHAR(10)&amp;"  }",
IF(L118=2,"  for (int i = 0; i &lt; "&amp;N118&amp;"; i++) {"&amp;CHAR(10)&amp;"    for (int j = 0; j &lt; "&amp;Q118&amp;"; j++) {"&amp;CHAR(10)&amp;IF(D118="E","      Environment.",IF(D118="S","      Simulation.","ERROR"))&amp;"SetSetting("&amp;M118&amp;" + "&amp;O118&amp;" + "&amp;P118&amp;" + "&amp;R118&amp;", "&amp;G118&amp;", "&amp;H118&amp;");"&amp;CHAR(10)&amp;"    }"&amp;CHAR(10)&amp;"  }","ERROR")),""))))</f>
        <v/>
      </c>
      <c r="C118" s="1" t="s">
        <v>139</v>
      </c>
      <c r="E118" t="s">
        <v>245</v>
      </c>
      <c r="I118" s="13" t="s">
        <v>322</v>
      </c>
      <c r="J118" s="13" t="str">
        <f>IF(OR(C118="P",C118="S"),IF(L118="",1,IF(L118=1,N118,IF(L118=2,N118&amp;" * "&amp;Q118,"ERROR"))),"")</f>
        <v/>
      </c>
    </row>
    <row r="119" spans="1:11" s="32" customFormat="1" ht="15" customHeight="1" x14ac:dyDescent="0.25">
      <c r="A119" s="29" t="str">
        <f>IF(C119="","",IF(C119="C",CHAR(10) &amp; "// " &amp; E119,IF(C119="I","#define " &amp; E119 &amp; " " &amp; I119,IF(C119="P","#define " &amp; E119 &amp; " """ &amp; F119 &amp; """" &amp; CHAR(10) &amp; "#define DEFAULT_" &amp; E119 &amp; " " &amp; I119,IF(C119="S","","ERROR")))))</f>
        <v xml:space="preserve">
// IO Interaction Calls</v>
      </c>
      <c r="B119" s="29" t="str">
        <f>IF(C119="","",IF(C119="C","  // "&amp;E119,IF(C119="P",IF(D119="E","  Environment.",IF(D119="S","  Simulation.","ERROR"))&amp;"SetSetting("&amp;E119&amp;", "&amp;G119&amp;", "&amp;H119&amp;");",IF(C119="S",
IF(L119=1,"  for (int i = 0; i &lt; "&amp;N119&amp;"; i++) {"&amp;CHAR(10)&amp;IF(D119="E","    Environment.",IF(D119="S","    Simulation.","ERROR"))&amp;"SetSetting("&amp;M119&amp;" + "&amp;O119&amp;", "&amp;G119&amp;", "&amp;H119&amp;");"&amp;CHAR(10)&amp;"  }",
IF(L119=2,"  for (int i = 0; i &lt; "&amp;N119&amp;"; i++) {"&amp;CHAR(10)&amp;"    for (int j = 0; j &lt; "&amp;Q119&amp;"; j++) {"&amp;CHAR(10)&amp;IF(D119="E","      Environment.",IF(D119="S","      Simulation.","ERROR"))&amp;"SetSetting("&amp;M119&amp;" + "&amp;O119&amp;" + "&amp;P119&amp;" + "&amp;R119&amp;", "&amp;G119&amp;", "&amp;H119&amp;");"&amp;CHAR(10)&amp;"    }"&amp;CHAR(10)&amp;"  }","ERROR")),""))))</f>
        <v xml:space="preserve">  // IO Interaction Calls</v>
      </c>
      <c r="C119" s="30" t="s">
        <v>152</v>
      </c>
      <c r="D119" s="30"/>
      <c r="E119" s="32" t="s">
        <v>246</v>
      </c>
      <c r="F119" s="31"/>
      <c r="G119" s="31"/>
      <c r="H119" s="31"/>
      <c r="I119" s="31"/>
      <c r="J119" s="31" t="str">
        <f>IF(OR(C119="P",C119="S"),IF(L119="",1,IF(L119=1,N119,IF(L119=2,N119&amp;" * "&amp;Q119,"ERROR"))),"")</f>
        <v/>
      </c>
    </row>
    <row r="120" spans="1:11" ht="15" customHeight="1" x14ac:dyDescent="0.25">
      <c r="A120" s="25" t="str">
        <f>IF(C120="","",IF(C120="C",CHAR(10) &amp; "// " &amp; E120,IF(C120="I","#define " &amp; E120 &amp; " " &amp; I120,IF(C120="P","#define " &amp; E120 &amp; " """ &amp; F120 &amp; """" &amp; CHAR(10) &amp; "#define DEFAULT_" &amp; E120 &amp; " " &amp; I120,IF(C120="S","","ERROR")))))</f>
        <v>#define LABEL_IO_INTERACTIONS "rescue"</v>
      </c>
      <c r="B120" s="25" t="str">
        <f>IF(C120="","",IF(C120="C","  // "&amp;E120,IF(C120="P",IF(D120="E","  Environment.",IF(D120="S","  Simulation.","ERROR"))&amp;"SetSetting("&amp;E120&amp;", "&amp;G120&amp;", "&amp;H120&amp;");",IF(C120="S",
IF(L120=1,"  for (int i = 0; i &lt; "&amp;N120&amp;"; i++) {"&amp;CHAR(10)&amp;IF(D120="E","    Environment.",IF(D120="S","    Simulation.","ERROR"))&amp;"SetSetting("&amp;M120&amp;" + "&amp;O120&amp;", "&amp;G120&amp;", "&amp;H120&amp;");"&amp;CHAR(10)&amp;"  }",
IF(L120=2,"  for (int i = 0; i &lt; "&amp;N120&amp;"; i++) {"&amp;CHAR(10)&amp;"    for (int j = 0; j &lt; "&amp;Q120&amp;"; j++) {"&amp;CHAR(10)&amp;IF(D120="E","      Environment.",IF(D120="S","      Simulation.","ERROR"))&amp;"SetSetting("&amp;M120&amp;" + "&amp;O120&amp;" + "&amp;P120&amp;" + "&amp;R120&amp;", "&amp;G120&amp;", "&amp;H120&amp;");"&amp;CHAR(10)&amp;"    }"&amp;CHAR(10)&amp;"  }","ERROR")),""))))</f>
        <v/>
      </c>
      <c r="C120" s="1" t="s">
        <v>139</v>
      </c>
      <c r="E120" t="s">
        <v>224</v>
      </c>
      <c r="I120" s="13" t="s">
        <v>229</v>
      </c>
      <c r="J120" s="13" t="str">
        <f>IF(OR(C120="P",C120="S"),IF(L120="",1,IF(L120=1,N120,IF(L120=2,N120&amp;" * "&amp;Q120,"ERROR"))),"")</f>
        <v/>
      </c>
    </row>
    <row r="121" spans="1:11" ht="15" customHeight="1" x14ac:dyDescent="0.25">
      <c r="A121" s="25" t="str">
        <f>IF(C121="","",IF(C121="C",CHAR(10) &amp; "// " &amp; E121,IF(C121="I","#define " &amp; E121 &amp; " " &amp; I121,IF(C121="P","#define " &amp; E121 &amp; " """ &amp; F121 &amp; """" &amp; CHAR(10) &amp; "#define DEFAULT_" &amp; E121 &amp; " " &amp; I121,IF(C121="S","","ERROR")))))</f>
        <v>#define NPROC "nproc"</v>
      </c>
      <c r="B121" s="25" t="str">
        <f>IF(C121="","",IF(C121="C","  // "&amp;E121,IF(C121="P",IF(D121="E","  Environment.",IF(D121="S","  Simulation.","ERROR"))&amp;"SetSetting("&amp;E121&amp;", "&amp;G121&amp;", "&amp;H121&amp;");",IF(C121="S",
IF(L121=1,"  for (int i = 0; i &lt; "&amp;N121&amp;"; i++) {"&amp;CHAR(10)&amp;IF(D121="E","    Environment.",IF(D121="S","    Simulation.","ERROR"))&amp;"SetSetting("&amp;M121&amp;" + "&amp;O121&amp;", "&amp;G121&amp;", "&amp;H121&amp;");"&amp;CHAR(10)&amp;"  }",
IF(L121=2,"  for (int i = 0; i &lt; "&amp;N121&amp;"; i++) {"&amp;CHAR(10)&amp;"    for (int j = 0; j &lt; "&amp;Q121&amp;"; j++) {"&amp;CHAR(10)&amp;IF(D121="E","      Environment.",IF(D121="S","      Simulation.","ERROR"))&amp;"SetSetting("&amp;M121&amp;" + "&amp;O121&amp;" + "&amp;P121&amp;" + "&amp;R121&amp;", "&amp;G121&amp;", "&amp;H121&amp;");"&amp;CHAR(10)&amp;"    }"&amp;CHAR(10)&amp;"  }","ERROR")),""))))</f>
        <v/>
      </c>
      <c r="C121" s="1" t="s">
        <v>139</v>
      </c>
      <c r="E121" t="s">
        <v>247</v>
      </c>
      <c r="I121" s="13" t="s">
        <v>323</v>
      </c>
      <c r="J121" s="13" t="str">
        <f>IF(OR(C121="P",C121="S"),IF(L121="",1,IF(L121=1,N121,IF(L121=2,N121&amp;" * "&amp;Q121,"ERROR"))),"")</f>
        <v/>
      </c>
    </row>
    <row r="122" spans="1:11" s="53" customFormat="1" ht="15" customHeight="1" x14ac:dyDescent="0.25">
      <c r="A122" s="51"/>
      <c r="B122" s="51"/>
      <c r="C122" s="52"/>
      <c r="D122" s="52"/>
      <c r="E122" s="53" t="s">
        <v>307</v>
      </c>
      <c r="F122" s="54"/>
      <c r="G122" s="54"/>
      <c r="H122" s="54"/>
      <c r="I122" s="54"/>
      <c r="J122" s="54" t="str">
        <f>IF(OR(C122="P",C122="S"),IF(L122="",1,IF(L122=1,N122,IF(L122=2,N122&amp;" * "&amp;Q122,"ERROR"))),"")</f>
        <v/>
      </c>
    </row>
    <row r="123" spans="1:11" ht="15" customHeight="1" x14ac:dyDescent="0.25">
      <c r="A123" s="25" t="str">
        <f>IF(C123="","",IF(C123="C",CHAR(10) &amp; "// " &amp; E123,IF(C123="I","#define " &amp; E123 &amp; " " &amp; I123,IF(C123="P","#define " &amp; E123 &amp; " """ &amp; F123 &amp; """" &amp; CHAR(10) &amp; "#define DEFAULT_" &amp; E123 &amp; " " &amp; I123,IF(C123="S","","ERROR")))))</f>
        <v>#define NPROC_SILENT "Nproc_Silent"</v>
      </c>
      <c r="B123" s="25" t="str">
        <f>IF(C123="","",IF(C123="C","  // "&amp;E123,IF(C123="P",IF(D123="E","  Environment.",IF(D123="S","  Simulation.","ERROR"))&amp;"SetSetting("&amp;E123&amp;", "&amp;G123&amp;", "&amp;H123&amp;");",IF(C123="S",
IF(L123=1,"  for (int i = 0; i &lt; "&amp;N123&amp;"; i++) {"&amp;CHAR(10)&amp;IF(D123="E","    Environment.",IF(D123="S","    Simulation.","ERROR"))&amp;"SetSetting("&amp;M123&amp;" + "&amp;O123&amp;", "&amp;G123&amp;", "&amp;H123&amp;");"&amp;CHAR(10)&amp;"  }",
IF(L123=2,"  for (int i = 0; i &lt; "&amp;N123&amp;"; i++) {"&amp;CHAR(10)&amp;"    for (int j = 0; j &lt; "&amp;Q123&amp;"; j++) {"&amp;CHAR(10)&amp;IF(D123="E","      Environment.",IF(D123="S","      Simulation.","ERROR"))&amp;"SetSetting("&amp;M123&amp;" + "&amp;O123&amp;" + "&amp;P123&amp;" + "&amp;R123&amp;", "&amp;G123&amp;", "&amp;H123&amp;");"&amp;CHAR(10)&amp;"    }"&amp;CHAR(10)&amp;"  }","ERROR")),""))))</f>
        <v/>
      </c>
      <c r="C123" s="1" t="s">
        <v>139</v>
      </c>
      <c r="E123" t="s">
        <v>248</v>
      </c>
      <c r="I123" s="13" t="s">
        <v>249</v>
      </c>
      <c r="J123" s="13" t="str">
        <f>IF(OR(C123="P",C123="S"),IF(L123="",1,IF(L123=1,N123,IF(L123=2,N123&amp;" * "&amp;Q123,"ERROR"))),"")</f>
        <v/>
      </c>
    </row>
    <row r="124" spans="1:11" s="36" customFormat="1" ht="15" customHeight="1" x14ac:dyDescent="0.25">
      <c r="A124" s="33" t="str">
        <f>IF(C124="","",IF(C124="C",CHAR(10) &amp; "// " &amp; E124,IF(C124="I","#define " &amp; E124 &amp; " " &amp; I124,IF(C124="P","#define " &amp; E124 &amp; " """ &amp; F124 &amp; """" &amp; CHAR(10) &amp; "#define DEFAULT_" &amp; E124 &amp; " " &amp; I124,IF(C124="S","","ERROR")))))</f>
        <v>#define HASH_SIZE 2097152</v>
      </c>
      <c r="B124" s="33" t="str">
        <f>IF(C124="","",IF(C124="C","  // "&amp;E124,IF(C124="P",IF(D124="E","  Environment.",IF(D124="S","  Simulation.","ERROR"))&amp;"SetSetting("&amp;E124&amp;", "&amp;G124&amp;", "&amp;H124&amp;");",IF(C124="S",
IF(L124=1,"  for (int i = 0; i &lt; "&amp;N124&amp;"; i++) {"&amp;CHAR(10)&amp;IF(D124="E","    Environment.",IF(D124="S","    Simulation.","ERROR"))&amp;"SetSetting("&amp;M124&amp;" + "&amp;O124&amp;", "&amp;G124&amp;", "&amp;H124&amp;");"&amp;CHAR(10)&amp;"  }",
IF(L124=2,"  for (int i = 0; i &lt; "&amp;N124&amp;"; i++) {"&amp;CHAR(10)&amp;"    for (int j = 0; j &lt; "&amp;Q124&amp;"; j++) {"&amp;CHAR(10)&amp;IF(D124="E","      Environment.",IF(D124="S","      Simulation.","ERROR"))&amp;"SetSetting("&amp;M124&amp;" + "&amp;O124&amp;" + "&amp;P124&amp;" + "&amp;R124&amp;", "&amp;G124&amp;", "&amp;H124&amp;");"&amp;CHAR(10)&amp;"    }"&amp;CHAR(10)&amp;"  }","ERROR")),""))))</f>
        <v/>
      </c>
      <c r="C124" s="28" t="s">
        <v>139</v>
      </c>
      <c r="D124" s="28"/>
      <c r="E124" s="36" t="s">
        <v>156</v>
      </c>
      <c r="F124" s="35"/>
      <c r="G124" s="35"/>
      <c r="H124" s="35"/>
      <c r="I124" s="35">
        <v>2097152</v>
      </c>
      <c r="J124" s="35" t="str">
        <f>IF(OR(C124="P",C124="S"),IF(L124="",1,IF(L124=1,N124,IF(L124=2,N124&amp;" * "&amp;Q124,"ERROR"))),"")</f>
        <v/>
      </c>
      <c r="K124" s="36" t="s">
        <v>283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LogManager.Initialize</vt:lpstr>
      <vt:lpstr>InterpreterManager.Initialize</vt:lpstr>
      <vt:lpstr>define.Initialize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Lothar</dc:creator>
  <cp:lastModifiedBy>Lothar</cp:lastModifiedBy>
  <dcterms:created xsi:type="dcterms:W3CDTF">2015-02-14T01:58:55Z</dcterms:created>
  <dcterms:modified xsi:type="dcterms:W3CDTF">2015-03-26T20:20:52Z</dcterms:modified>
</cp:coreProperties>
</file>