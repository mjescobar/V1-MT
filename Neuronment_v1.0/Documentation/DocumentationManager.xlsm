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915" codeName="{8C4F1C90-05EB-6A55-5F09-09C24B55AC0B}"/>
  <workbookPr codeName="ThisWorkbook" autoCompressPictures="0"/>
  <bookViews>
    <workbookView xWindow="0" yWindow="0" windowWidth="24640" windowHeight="15600" tabRatio="904" activeTab="2"/>
  </bookViews>
  <sheets>
    <sheet name="Generation" sheetId="19" r:id="rId1"/>
    <sheet name="LM.Initialize" sheetId="1" r:id="rId2"/>
    <sheet name="IM.Initialize" sheetId="2" r:id="rId3"/>
    <sheet name="def.lab.def" sheetId="6" r:id="rId4"/>
    <sheet name="def.int.def" sheetId="7" r:id="rId5"/>
    <sheet name="def.env.var" sheetId="8" r:id="rId6"/>
    <sheet name="def.env.def" sheetId="13" r:id="rId7"/>
    <sheet name="def.V1.var" sheetId="9" r:id="rId8"/>
    <sheet name="def.V1.def" sheetId="14" r:id="rId9"/>
    <sheet name="def.MT.var" sheetId="10" r:id="rId10"/>
    <sheet name="def.MT.def" sheetId="16" r:id="rId11"/>
    <sheet name="def.lin.var" sheetId="11" r:id="rId12"/>
    <sheet name="def.lin.def" sheetId="17" r:id="rId13"/>
    <sheet name="def.sim.var" sheetId="12" r:id="rId14"/>
    <sheet name="def.sim.def" sheetId="18" r:id="rId15"/>
    <sheet name="define.Initialize" sheetId="3" r:id="rId16"/>
  </sheet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15" i="7" l="1"/>
  <c r="B10" i="7"/>
  <c r="B17" i="7"/>
  <c r="B16" i="7"/>
  <c r="B13" i="7"/>
  <c r="B14" i="7"/>
  <c r="B12" i="7"/>
  <c r="B11" i="7"/>
  <c r="A1" i="3"/>
  <c r="B1" i="3"/>
  <c r="J1" i="3"/>
  <c r="A2" i="3"/>
  <c r="B2" i="3"/>
  <c r="J2" i="3"/>
  <c r="A3" i="3"/>
  <c r="B3" i="3"/>
  <c r="J3" i="3"/>
  <c r="A4" i="3"/>
  <c r="B4" i="3"/>
  <c r="J4" i="3"/>
  <c r="A5" i="3"/>
  <c r="B5" i="3"/>
  <c r="J5" i="3"/>
  <c r="A6" i="3"/>
  <c r="B6" i="3"/>
  <c r="J6" i="3"/>
  <c r="A7" i="3"/>
  <c r="B7" i="3"/>
  <c r="A8" i="3"/>
  <c r="B8" i="3"/>
  <c r="J8" i="3"/>
  <c r="I9" i="3"/>
  <c r="A9" i="3"/>
  <c r="B9" i="3"/>
  <c r="B10" i="3"/>
  <c r="I10" i="3"/>
  <c r="A10" i="3"/>
  <c r="J10" i="3"/>
  <c r="B11" i="3"/>
  <c r="I11" i="3"/>
  <c r="A11" i="3"/>
  <c r="J11" i="3"/>
  <c r="B12" i="3"/>
  <c r="J12" i="3"/>
  <c r="B13" i="3"/>
  <c r="B19" i="7"/>
  <c r="B18" i="7"/>
  <c r="I13" i="3"/>
  <c r="A13" i="3"/>
  <c r="B14" i="3"/>
  <c r="B15" i="3"/>
  <c r="B16" i="3"/>
  <c r="B17" i="3"/>
  <c r="I17" i="3"/>
  <c r="A17" i="3"/>
  <c r="B18" i="3"/>
  <c r="I18" i="3"/>
  <c r="A18" i="3"/>
  <c r="A19" i="3"/>
  <c r="B19" i="3"/>
  <c r="J19" i="3"/>
  <c r="A20" i="3"/>
  <c r="B20" i="3"/>
  <c r="J20" i="3"/>
  <c r="A21" i="3"/>
  <c r="B21" i="3"/>
  <c r="J21" i="3"/>
  <c r="A22" i="3"/>
  <c r="B22" i="3"/>
  <c r="J22" i="3"/>
  <c r="A23" i="3"/>
  <c r="B23" i="3"/>
  <c r="J23" i="3"/>
  <c r="A24" i="3"/>
  <c r="B24" i="3"/>
  <c r="J24" i="3"/>
  <c r="A25" i="3"/>
  <c r="B25" i="3"/>
  <c r="J25" i="3"/>
  <c r="A26" i="3"/>
  <c r="B26" i="3"/>
  <c r="J26" i="3"/>
  <c r="A30" i="3"/>
  <c r="B30" i="3"/>
  <c r="J30" i="3"/>
  <c r="A31" i="3"/>
  <c r="B31" i="3"/>
  <c r="J31" i="3"/>
  <c r="A32" i="3"/>
  <c r="B32" i="3"/>
  <c r="J32" i="3"/>
  <c r="A33" i="3"/>
  <c r="B33" i="3"/>
  <c r="J33" i="3"/>
  <c r="A34" i="3"/>
  <c r="B34" i="3"/>
  <c r="J34" i="3"/>
  <c r="A35" i="3"/>
  <c r="B35" i="3"/>
  <c r="J35" i="3"/>
  <c r="I16" i="3"/>
  <c r="A16" i="3"/>
  <c r="A38" i="3"/>
  <c r="B38" i="3"/>
  <c r="J38" i="3"/>
  <c r="A39" i="3"/>
  <c r="B39" i="3"/>
  <c r="J39" i="3"/>
  <c r="A40" i="3"/>
  <c r="B40" i="3"/>
  <c r="J40" i="3"/>
  <c r="A41" i="3"/>
  <c r="B41" i="3"/>
  <c r="J41" i="3"/>
  <c r="A42" i="3"/>
  <c r="B42" i="3"/>
  <c r="J42" i="3"/>
  <c r="A45" i="3"/>
  <c r="B45" i="3"/>
  <c r="J45" i="3"/>
  <c r="A46" i="3"/>
  <c r="B46" i="3"/>
  <c r="J46" i="3"/>
  <c r="A47" i="3"/>
  <c r="B47" i="3"/>
  <c r="J47" i="3"/>
  <c r="A48" i="3"/>
  <c r="B48" i="3"/>
  <c r="J48" i="3"/>
  <c r="A49" i="3"/>
  <c r="B49" i="3"/>
  <c r="J49" i="3"/>
  <c r="A52" i="3"/>
  <c r="B52" i="3"/>
  <c r="J52" i="3"/>
  <c r="A53" i="3"/>
  <c r="B53" i="3"/>
  <c r="J53" i="3"/>
  <c r="A54" i="3"/>
  <c r="B54" i="3"/>
  <c r="J54" i="3"/>
  <c r="A55" i="3"/>
  <c r="B55" i="3"/>
  <c r="J55" i="3"/>
  <c r="A56" i="3"/>
  <c r="B56" i="3"/>
  <c r="J56" i="3"/>
  <c r="A57" i="3"/>
  <c r="B57" i="3"/>
  <c r="J57" i="3"/>
  <c r="A58" i="3"/>
  <c r="B58" i="3"/>
  <c r="J58" i="3"/>
  <c r="A59" i="3"/>
  <c r="B59" i="3"/>
  <c r="J59" i="3"/>
  <c r="A63" i="3"/>
  <c r="B63" i="3"/>
  <c r="J63" i="3"/>
  <c r="A64" i="3"/>
  <c r="B64" i="3"/>
  <c r="J64" i="3"/>
  <c r="A65" i="3"/>
  <c r="B65" i="3"/>
  <c r="J65" i="3"/>
  <c r="A66" i="3"/>
  <c r="B66" i="3"/>
  <c r="J66" i="3"/>
  <c r="A67" i="3"/>
  <c r="B67" i="3"/>
  <c r="J67" i="3"/>
  <c r="A78" i="3"/>
  <c r="B78" i="3"/>
  <c r="J78" i="3"/>
  <c r="A81" i="3"/>
  <c r="B81" i="3"/>
  <c r="J81" i="3"/>
  <c r="A82" i="3"/>
  <c r="B82" i="3"/>
  <c r="J82" i="3"/>
  <c r="A83" i="3"/>
  <c r="B83" i="3"/>
  <c r="J83" i="3"/>
  <c r="A87" i="3"/>
  <c r="B87" i="3"/>
  <c r="J87" i="3"/>
  <c r="A90" i="3"/>
  <c r="B90" i="3"/>
  <c r="J90" i="3"/>
  <c r="A91" i="3"/>
  <c r="B91" i="3"/>
  <c r="J91" i="3"/>
  <c r="A92" i="3"/>
  <c r="B92" i="3"/>
  <c r="J92" i="3"/>
  <c r="A93" i="3"/>
  <c r="B93" i="3"/>
  <c r="J93" i="3"/>
  <c r="A89" i="3"/>
  <c r="B89" i="3"/>
  <c r="J89" i="3"/>
  <c r="A96" i="3"/>
  <c r="B96" i="3"/>
  <c r="J96" i="3"/>
  <c r="I15" i="3"/>
  <c r="I14" i="3"/>
  <c r="I12" i="3"/>
  <c r="A15" i="3"/>
  <c r="A12" i="3"/>
  <c r="A14" i="3"/>
  <c r="A107" i="3"/>
  <c r="B107" i="3"/>
  <c r="A106" i="3"/>
  <c r="B106" i="3"/>
  <c r="A127" i="3"/>
  <c r="B127" i="3"/>
  <c r="B105" i="3"/>
  <c r="A105" i="3"/>
  <c r="B104" i="3"/>
  <c r="A104" i="3"/>
  <c r="B135" i="3"/>
  <c r="B27" i="3"/>
  <c r="B28" i="3"/>
  <c r="B29" i="3"/>
  <c r="B36" i="3"/>
  <c r="B37" i="3"/>
  <c r="B43" i="3"/>
  <c r="B44" i="3"/>
  <c r="B50" i="3"/>
  <c r="B51" i="3"/>
  <c r="B60" i="3"/>
  <c r="B61" i="3"/>
  <c r="B62" i="3"/>
  <c r="B68" i="3"/>
  <c r="B69" i="3"/>
  <c r="B70" i="3"/>
  <c r="B71" i="3"/>
  <c r="B72" i="3"/>
  <c r="B73" i="3"/>
  <c r="B74" i="3"/>
  <c r="B75" i="3"/>
  <c r="B76" i="3"/>
  <c r="B77" i="3"/>
  <c r="B79" i="3"/>
  <c r="B80" i="3"/>
  <c r="B84" i="3"/>
  <c r="B85" i="3"/>
  <c r="B86" i="3"/>
  <c r="B88" i="3"/>
  <c r="B94" i="3"/>
  <c r="B95" i="3"/>
  <c r="B97" i="3"/>
  <c r="B98" i="3"/>
  <c r="B99" i="3"/>
  <c r="B100" i="3"/>
  <c r="B101" i="3"/>
  <c r="B102" i="3"/>
  <c r="B103" i="3"/>
  <c r="B108" i="3"/>
  <c r="B109" i="3"/>
  <c r="B110" i="3"/>
  <c r="B111" i="3"/>
  <c r="B112" i="3"/>
  <c r="B113" i="3"/>
  <c r="B114" i="3"/>
  <c r="B115" i="3"/>
  <c r="B116" i="3"/>
  <c r="B117" i="3"/>
  <c r="B118" i="3"/>
  <c r="B119" i="3"/>
  <c r="B120" i="3"/>
  <c r="B121" i="3"/>
  <c r="B122" i="3"/>
  <c r="B123" i="3"/>
  <c r="B124" i="3"/>
  <c r="B125" i="3"/>
  <c r="B126" i="3"/>
  <c r="B128" i="3"/>
  <c r="B129" i="3"/>
  <c r="B130" i="3"/>
  <c r="B131" i="3"/>
  <c r="B132" i="3"/>
  <c r="B133" i="3"/>
  <c r="B134" i="3"/>
  <c r="A111" i="3"/>
  <c r="J110" i="3"/>
  <c r="A110" i="3"/>
  <c r="J109" i="3"/>
  <c r="A109" i="3"/>
  <c r="J108" i="3"/>
  <c r="A108" i="3"/>
  <c r="J132" i="3"/>
  <c r="A132" i="3"/>
  <c r="J131" i="3"/>
  <c r="A131" i="3"/>
  <c r="J130" i="3"/>
  <c r="J129" i="3"/>
  <c r="J128" i="3"/>
  <c r="J126" i="3"/>
  <c r="J125" i="3"/>
  <c r="J124" i="3"/>
  <c r="J123" i="3"/>
  <c r="J122" i="3"/>
  <c r="J121" i="3"/>
  <c r="J120" i="3"/>
  <c r="J119" i="3"/>
  <c r="J134" i="3"/>
  <c r="J133" i="3"/>
  <c r="J118" i="3"/>
  <c r="J117" i="3"/>
  <c r="J116" i="3"/>
  <c r="J115" i="3"/>
  <c r="J114" i="3"/>
  <c r="J113" i="3"/>
  <c r="J112" i="3"/>
  <c r="J103" i="3"/>
  <c r="J102" i="3"/>
  <c r="J101" i="3"/>
  <c r="J100" i="3"/>
  <c r="J99" i="3"/>
  <c r="J98" i="3"/>
  <c r="J97" i="3"/>
  <c r="J95" i="3"/>
  <c r="J94" i="3"/>
  <c r="J88" i="3"/>
  <c r="J86" i="3"/>
  <c r="J85" i="3"/>
  <c r="J84" i="3"/>
  <c r="J80" i="3"/>
  <c r="J79" i="3"/>
  <c r="J77" i="3"/>
  <c r="J76" i="3"/>
  <c r="J75" i="3"/>
  <c r="J74" i="3"/>
  <c r="J73" i="3"/>
  <c r="J72" i="3"/>
  <c r="J71" i="3"/>
  <c r="J70" i="3"/>
  <c r="J69" i="3"/>
  <c r="J68" i="3"/>
  <c r="J62" i="3"/>
  <c r="J61" i="3"/>
  <c r="J60" i="3"/>
  <c r="J51" i="3"/>
  <c r="J50" i="3"/>
  <c r="J44" i="3"/>
  <c r="J43" i="3"/>
  <c r="J37" i="3"/>
  <c r="J36" i="3"/>
  <c r="J29" i="3"/>
  <c r="J28" i="3"/>
  <c r="J27" i="3"/>
  <c r="J135" i="3"/>
  <c r="A130" i="3"/>
  <c r="A98" i="3"/>
  <c r="A97" i="3"/>
  <c r="A94" i="3"/>
  <c r="A88" i="3"/>
  <c r="A86" i="3"/>
  <c r="A84" i="3"/>
  <c r="A79" i="3"/>
  <c r="A77" i="3"/>
  <c r="A76" i="3"/>
  <c r="A74" i="3"/>
  <c r="A75" i="3"/>
  <c r="A80" i="3"/>
  <c r="A73" i="3"/>
  <c r="A72" i="3"/>
  <c r="A71" i="3"/>
  <c r="A70" i="3"/>
  <c r="A60" i="3"/>
  <c r="A27" i="3"/>
  <c r="A51" i="3"/>
  <c r="A50" i="3"/>
  <c r="A44" i="3"/>
  <c r="A43" i="3"/>
  <c r="A37" i="3"/>
  <c r="A36" i="3"/>
  <c r="A62" i="3"/>
  <c r="A29" i="3"/>
  <c r="A129" i="3"/>
  <c r="A126" i="3"/>
  <c r="A125" i="3"/>
  <c r="A124" i="3"/>
  <c r="A123" i="3"/>
  <c r="A122" i="3"/>
  <c r="A121" i="3"/>
  <c r="A120" i="3"/>
  <c r="A119" i="3"/>
  <c r="A134" i="3"/>
  <c r="A133" i="3"/>
  <c r="A118" i="3"/>
  <c r="A117" i="3"/>
  <c r="A116" i="3"/>
  <c r="A115" i="3"/>
  <c r="A114" i="3"/>
  <c r="A113" i="3"/>
  <c r="A112" i="3"/>
  <c r="A103" i="3"/>
  <c r="A102" i="3"/>
  <c r="A101" i="3"/>
  <c r="A100" i="3"/>
  <c r="A99" i="3"/>
  <c r="A95" i="3"/>
  <c r="A85" i="3"/>
  <c r="A69" i="3"/>
  <c r="A68" i="3"/>
  <c r="A61" i="3"/>
  <c r="A135" i="3"/>
  <c r="A28" i="3"/>
</calcChain>
</file>

<file path=xl/sharedStrings.xml><?xml version="1.0" encoding="utf-8"?>
<sst xmlns="http://schemas.openxmlformats.org/spreadsheetml/2006/main" count="1306" uniqueCount="513">
  <si>
    <t>#</t>
  </si>
  <si>
    <t>IN-001</t>
  </si>
  <si>
    <t>T</t>
  </si>
  <si>
    <t>F</t>
  </si>
  <si>
    <t>NProc directive not recognized</t>
  </si>
  <si>
    <t>IN-002</t>
  </si>
  <si>
    <t>Trying to report an undeclared variable</t>
  </si>
  <si>
    <t>IN-003</t>
  </si>
  <si>
    <t>Redefining a previously stored setting</t>
  </si>
  <si>
    <t>IN-004</t>
  </si>
  <si>
    <t>IN-005</t>
  </si>
  <si>
    <t>IN-007</t>
  </si>
  <si>
    <t>A boolean argument has not been properly written. Will be interpreted as false</t>
  </si>
  <si>
    <t>IN-010</t>
  </si>
  <si>
    <t>Command Line Issues</t>
  </si>
  <si>
    <t>UI-001</t>
  </si>
  <si>
    <t>Duplicated or contradictory flags on command call</t>
  </si>
  <si>
    <t>UI-002</t>
  </si>
  <si>
    <t>Flag expected</t>
  </si>
  <si>
    <t>UI-003</t>
  </si>
  <si>
    <t>Flag not recognized, flag omitted</t>
  </si>
  <si>
    <t>UI-004</t>
  </si>
  <si>
    <t>Label without content</t>
  </si>
  <si>
    <t>UI-006</t>
  </si>
  <si>
    <t>Empty NProc name</t>
  </si>
  <si>
    <t>File IO Issues</t>
  </si>
  <si>
    <t>ER-001</t>
  </si>
  <si>
    <t>ER-002</t>
  </si>
  <si>
    <t>ER-003</t>
  </si>
  <si>
    <t>File couldn't be opened</t>
  </si>
  <si>
    <t>ER-004</t>
  </si>
  <si>
    <t>ER-005</t>
  </si>
  <si>
    <t>Trying to get a new line from a non ready file</t>
  </si>
  <si>
    <t>ER-006</t>
  </si>
  <si>
    <t>Trying to get a new line from a file already at the end</t>
  </si>
  <si>
    <t>ER-007</t>
  </si>
  <si>
    <t>Fail on getting a new line from nproc file</t>
  </si>
  <si>
    <t>ER-008</t>
  </si>
  <si>
    <t>ER-009</t>
  </si>
  <si>
    <t>Trying to close an unopened file</t>
  </si>
  <si>
    <t>ER-010</t>
  </si>
  <si>
    <t>Implementation Issues</t>
  </si>
  <si>
    <t>DV-001</t>
  </si>
  <si>
    <t>Missing implementation</t>
  </si>
  <si>
    <t>DV-002</t>
  </si>
  <si>
    <t>Trying to declare a previously declared setting</t>
  </si>
  <si>
    <t>DV-003</t>
  </si>
  <si>
    <t>Trying to load a setting of an unsupported type</t>
  </si>
  <si>
    <t>DV-005</t>
  </si>
  <si>
    <t>DV-006</t>
  </si>
  <si>
    <t>Trying to read an incorrect data type for the setting</t>
  </si>
  <si>
    <t>DV-007</t>
  </si>
  <si>
    <t>The setting count is different than the declared setting count on the HashEntry</t>
  </si>
  <si>
    <t>DV-012</t>
  </si>
  <si>
    <t>Trying a quick access of incorrect type</t>
  </si>
  <si>
    <t>DV-013</t>
  </si>
  <si>
    <t>Hash Table Full</t>
  </si>
  <si>
    <t>DV-015</t>
  </si>
  <si>
    <t>Setting declared but hasn't been initialized</t>
  </si>
  <si>
    <t>DV-017</t>
  </si>
  <si>
    <t>Discrepancy on neuron type on assignment</t>
  </si>
  <si>
    <t>DV-018</t>
  </si>
  <si>
    <t>Trying to quick retrieve un-existent value</t>
  </si>
  <si>
    <t>Reporting Issues</t>
  </si>
  <si>
    <t>RP-001</t>
  </si>
  <si>
    <t>Trying to open an already opened stream</t>
  </si>
  <si>
    <t>RP-002</t>
  </si>
  <si>
    <t>Trying to close a non opened stream</t>
  </si>
  <si>
    <t>Simulator Interface Issues</t>
  </si>
  <si>
    <t>SD-001</t>
  </si>
  <si>
    <t>Simple Simulator Not Initialized</t>
  </si>
  <si>
    <t>SD-002</t>
  </si>
  <si>
    <t>V1V1_weight_adaptation not recognized</t>
  </si>
  <si>
    <t>SD-003</t>
  </si>
  <si>
    <t>MT_act_method not recognized</t>
  </si>
  <si>
    <t>SD-004</t>
  </si>
  <si>
    <t>V1_D001_excitatory_factor is required for calculation</t>
  </si>
  <si>
    <t>SD-005</t>
  </si>
  <si>
    <t>V1_D001_conductance_leak is required for calculation</t>
  </si>
  <si>
    <t>SD-006</t>
  </si>
  <si>
    <t>V1_D001_inhibition_factor is required for calculation</t>
  </si>
  <si>
    <t>SD-007</t>
  </si>
  <si>
    <t>V1MT_connection_method not recognized</t>
  </si>
  <si>
    <t>SD-009</t>
  </si>
  <si>
    <t>V1_dac_method not recognized</t>
  </si>
  <si>
    <t>SD-010</t>
  </si>
  <si>
    <t>V1MT_sigma is required for calculation</t>
  </si>
  <si>
    <t>SD-011</t>
  </si>
  <si>
    <t>V1MT_amplification is required for calculation</t>
  </si>
  <si>
    <t>SD-012</t>
  </si>
  <si>
    <t>V1MT_modulation is required for calculation</t>
  </si>
  <si>
    <t>SD-013</t>
  </si>
  <si>
    <t>V1MT_aperture is required for calculation</t>
  </si>
  <si>
    <t>SD-015</t>
  </si>
  <si>
    <t>No V1_Neuron created</t>
  </si>
  <si>
    <t>SD-016</t>
  </si>
  <si>
    <t>No MT_Neuron created</t>
  </si>
  <si>
    <t>SD-017</t>
  </si>
  <si>
    <t>SD-018</t>
  </si>
  <si>
    <t>MT_dac_method not recognized</t>
  </si>
  <si>
    <t>SD-019</t>
  </si>
  <si>
    <t>V1V1_base_weight_source not recognized</t>
  </si>
  <si>
    <t>SD-020</t>
  </si>
  <si>
    <t>V1V1_default_weight is required for calculation</t>
  </si>
  <si>
    <t>SD-021</t>
  </si>
  <si>
    <t>Invalid timing for eternal excitation</t>
  </si>
  <si>
    <t>SD-023</t>
  </si>
  <si>
    <t>Invalid Parameter</t>
  </si>
  <si>
    <t>SD-025</t>
  </si>
  <si>
    <t>Unordered external excitation phase insertion attempt</t>
  </si>
  <si>
    <t>SD-027</t>
  </si>
  <si>
    <t>First diffusion phase should be always zero</t>
  </si>
  <si>
    <t>SD-028</t>
  </si>
  <si>
    <t>The number of steps for simulate needs to be at least 1</t>
  </si>
  <si>
    <t>SD-030</t>
  </si>
  <si>
    <t>Internal simulation pointer corruption</t>
  </si>
  <si>
    <t>SD-031</t>
  </si>
  <si>
    <t>Trying to compare 2 identical MT cells</t>
  </si>
  <si>
    <t>SD-033</t>
  </si>
  <si>
    <t>Trying to access an invalid activation TimeStep</t>
  </si>
  <si>
    <t>SD-034</t>
  </si>
  <si>
    <t>V1_act_method not recognized</t>
  </si>
  <si>
    <t>SD-035</t>
  </si>
  <si>
    <t>V1_external_excitation_method not recognized</t>
  </si>
  <si>
    <t>Warnings</t>
  </si>
  <si>
    <t>WN-001</t>
  </si>
  <si>
    <t>Undocumented RFSize Calculation</t>
  </si>
  <si>
    <t>WN-002</t>
  </si>
  <si>
    <t>Undocumented Sigma Calculation</t>
  </si>
  <si>
    <t>WN-003</t>
  </si>
  <si>
    <t>Undocumented AdaptedWeithg Calculation</t>
  </si>
  <si>
    <t>WN-004</t>
  </si>
  <si>
    <t>Undocumented AdaptedWeight correction</t>
  </si>
  <si>
    <t>WN-005</t>
  </si>
  <si>
    <t>Undocumented BaseWeight correction</t>
  </si>
  <si>
    <t>Reading Nproc File Issues</t>
  </si>
  <si>
    <t>D</t>
  </si>
  <si>
    <t>I</t>
  </si>
  <si>
    <t>R</t>
  </si>
  <si>
    <t>N</t>
  </si>
  <si>
    <t>Description</t>
  </si>
  <si>
    <t>WN-006</t>
  </si>
  <si>
    <t>SD-036</t>
  </si>
  <si>
    <t>Setting not recognized</t>
  </si>
  <si>
    <t>SD-037</t>
  </si>
  <si>
    <t>Setting required</t>
  </si>
  <si>
    <t>File couldn't be properly closed</t>
  </si>
  <si>
    <t>Required file is empty</t>
  </si>
  <si>
    <t>Math</t>
  </si>
  <si>
    <t>C</t>
  </si>
  <si>
    <t>PI</t>
  </si>
  <si>
    <t>HashTable</t>
  </si>
  <si>
    <t>HASH_C</t>
  </si>
  <si>
    <t>HASH_SIZE</t>
  </si>
  <si>
    <t>Pi value for internal calculations</t>
  </si>
  <si>
    <t>DEFAULT_MESSAGES</t>
  </si>
  <si>
    <t>DEFAULT_SILENT_OUTPUT</t>
  </si>
  <si>
    <t>true</t>
  </si>
  <si>
    <t>false</t>
  </si>
  <si>
    <t>3.1415926535</t>
  </si>
  <si>
    <t>Environment Variables</t>
  </si>
  <si>
    <t>Default behaviour at printing log messages. True prints, false doesn't print</t>
  </si>
  <si>
    <t>Default bebaviour for silencing the log output. False prints output, true silences it (doens't print)</t>
  </si>
  <si>
    <t>P</t>
  </si>
  <si>
    <t>Data_bool</t>
  </si>
  <si>
    <t>HASH_A</t>
  </si>
  <si>
    <t>HASH_B</t>
  </si>
  <si>
    <t>V1 Neuron Parameters</t>
  </si>
  <si>
    <t>MAX_V1_NEURONS</t>
  </si>
  <si>
    <t>Fix amount of digits at V1 neurons numbering</t>
  </si>
  <si>
    <t>V1_ACTIVATION_METHOD</t>
  </si>
  <si>
    <t>Data_string</t>
  </si>
  <si>
    <t>"none"</t>
  </si>
  <si>
    <t>V1_DACTIVATION_METHOD</t>
  </si>
  <si>
    <t>Variable that contains the method to be used at V1 activation derivate calculation</t>
  </si>
  <si>
    <t>Variable that contains the method to be used at V1 activation calculation</t>
  </si>
  <si>
    <t>V1_D001</t>
  </si>
  <si>
    <t>V1 derivate activation method D001</t>
  </si>
  <si>
    <t>V1_D001_CONDUCTANCE_LEAK</t>
  </si>
  <si>
    <t>Data_double</t>
  </si>
  <si>
    <t>V1_D001_EXCITATORY_FACTOR</t>
  </si>
  <si>
    <t>V1_D001_INHIBITION_FACTOR</t>
  </si>
  <si>
    <t>V1_F001_A</t>
  </si>
  <si>
    <t>V1_F001_B</t>
  </si>
  <si>
    <t>V1_F001_ORIENTATION</t>
  </si>
  <si>
    <t>V1_F001_SPATIAL_FREQUENCY</t>
  </si>
  <si>
    <t>V1_F001_TEMPORAL_FREQUENCY</t>
  </si>
  <si>
    <t>V1_F001_MAGNITUDE</t>
  </si>
  <si>
    <t>V1_F001_PHASE</t>
  </si>
  <si>
    <t>V1_F001</t>
  </si>
  <si>
    <t>MT Neuron Parameters</t>
  </si>
  <si>
    <t>MAX_MT_NEURONS</t>
  </si>
  <si>
    <t>MT_ACTIVATION_METHOD</t>
  </si>
  <si>
    <t>MT_DACTIVATION_METHOD</t>
  </si>
  <si>
    <t>MT_A001</t>
  </si>
  <si>
    <t>Simulator Defines</t>
  </si>
  <si>
    <t>SIMULATOR_TIME_STEP</t>
  </si>
  <si>
    <t>Interface Defines</t>
  </si>
  <si>
    <t>LABEL_DONE</t>
  </si>
  <si>
    <t>"DONE"</t>
  </si>
  <si>
    <t>"FAIL"</t>
  </si>
  <si>
    <t>LABEL_ENVIRONMENT_SETTINGS</t>
  </si>
  <si>
    <t>LABEL_SIMULATOR_SETTINGS</t>
  </si>
  <si>
    <t>LABEL_RUN_SIMULATION</t>
  </si>
  <si>
    <t>LABEL_REPORTING</t>
  </si>
  <si>
    <t>LABEL_IO_INTERACTIONS</t>
  </si>
  <si>
    <t>"setenv"</t>
  </si>
  <si>
    <t>"setsim"</t>
  </si>
  <si>
    <t>"runsim"</t>
  </si>
  <si>
    <t>"report"</t>
  </si>
  <si>
    <t>"rescue"</t>
  </si>
  <si>
    <t>LABEL_COMMENT_STRING</t>
  </si>
  <si>
    <t>LABEL_COMMENT_CHAR</t>
  </si>
  <si>
    <t>'#'</t>
  </si>
  <si>
    <t>"#"</t>
  </si>
  <si>
    <t>Run Simulation Calls</t>
  </si>
  <si>
    <t>Reporting Calls</t>
  </si>
  <si>
    <t>PRINT_ENV</t>
  </si>
  <si>
    <t>PRINT_SIM</t>
  </si>
  <si>
    <t>IO Interaction Calls</t>
  </si>
  <si>
    <t>NPROC_SILENT</t>
  </si>
  <si>
    <t>"Nproc_Silent"</t>
  </si>
  <si>
    <t>"V1_D001"</t>
  </si>
  <si>
    <t>"V1_F001"</t>
  </si>
  <si>
    <t>"MT_A001"</t>
  </si>
  <si>
    <t>LABEL_FAIL</t>
  </si>
  <si>
    <t>V1MT_CONNECTION_METHOD</t>
  </si>
  <si>
    <t>V1MT_L001</t>
  </si>
  <si>
    <t>"V1MT_L001"</t>
  </si>
  <si>
    <t>V1MT_L001_APERTURE</t>
  </si>
  <si>
    <t>V1MT_L001_AMPLIFICATION</t>
  </si>
  <si>
    <t>V1MT_L001_SIGMA</t>
  </si>
  <si>
    <t>V1MT_L001_MODULATION</t>
  </si>
  <si>
    <t>V1_EXTERNAL_EXCITATION_METHOD</t>
  </si>
  <si>
    <t>S</t>
  </si>
  <si>
    <t>E</t>
  </si>
  <si>
    <t>V1_LABEL</t>
  </si>
  <si>
    <t>"V1"</t>
  </si>
  <si>
    <t>MT_LABEL</t>
  </si>
  <si>
    <t>"MT"</t>
  </si>
  <si>
    <t>NEURONS_NAME_SIZE</t>
  </si>
  <si>
    <t>Trying to use an unsupported setting</t>
  </si>
  <si>
    <t>Data_int</t>
  </si>
  <si>
    <t>There are undocumented calculations in use</t>
  </si>
  <si>
    <t>Hashing prime 1, required for hasing strings</t>
  </si>
  <si>
    <t>Hashing prime 2, required for hasing strings</t>
  </si>
  <si>
    <t>Hashing prime 3, required for hasing strings</t>
  </si>
  <si>
    <t>HashTable default size</t>
  </si>
  <si>
    <t>Deprecated Messages</t>
  </si>
  <si>
    <t>SD-032</t>
  </si>
  <si>
    <t>Empty pointer to function entry</t>
  </si>
  <si>
    <t>HIDE_END</t>
  </si>
  <si>
    <t>Hide DONE/FAIL interpreter result</t>
  </si>
  <si>
    <t>RunsimCall</t>
  </si>
  <si>
    <t>ReportCall</t>
  </si>
  <si>
    <t>Run Commands</t>
  </si>
  <si>
    <t>Reporting Commands</t>
  </si>
  <si>
    <t>I/O Interaction Commands</t>
  </si>
  <si>
    <t>IN-006</t>
  </si>
  <si>
    <t>Deprecated</t>
  </si>
  <si>
    <t>Flag not found or without a value</t>
  </si>
  <si>
    <t>"ss_initialize"</t>
  </si>
  <si>
    <t>"ss_add_V1_diffusion"</t>
  </si>
  <si>
    <t>"ss_simulate"</t>
  </si>
  <si>
    <t>"print_env"</t>
  </si>
  <si>
    <t>"print_sim"</t>
  </si>
  <si>
    <t>"ss_print_V1_activation"</t>
  </si>
  <si>
    <t>"ss_print_V1_activation_horizontal"</t>
  </si>
  <si>
    <t>"ss_print_V1_external_excitation"</t>
  </si>
  <si>
    <t>"ss_print_MT_activation"</t>
  </si>
  <si>
    <t>"ss_print_MT_activation_horizontal"</t>
  </si>
  <si>
    <t>"nproc"</t>
  </si>
  <si>
    <t>RP-003</t>
  </si>
  <si>
    <t>Stream didn't oppened correctly</t>
  </si>
  <si>
    <t>RescueCall_NPROC</t>
  </si>
  <si>
    <t>Default Log Verbose Behavior</t>
  </si>
  <si>
    <t>2.0/3.0</t>
  </si>
  <si>
    <t>Maximum number of V1 neurons to use</t>
  </si>
  <si>
    <t>V1 Activation Methods</t>
  </si>
  <si>
    <t>V1_A001</t>
  </si>
  <si>
    <t>"V1_A001"</t>
  </si>
  <si>
    <t>V1 activation method A001</t>
  </si>
  <si>
    <t>V1 Derivate Activation Methods</t>
  </si>
  <si>
    <t>V1_D001 Method Parameters</t>
  </si>
  <si>
    <t>V1_A001 Method Parameters</t>
  </si>
  <si>
    <t>V1 Diffusion Imput Methods</t>
  </si>
  <si>
    <t>V1_F001 Method Parameters</t>
  </si>
  <si>
    <t>V1 Neuron Settings</t>
  </si>
  <si>
    <t>MT Neuron Settings</t>
  </si>
  <si>
    <t>MT_A001 Parameters</t>
  </si>
  <si>
    <t>None</t>
  </si>
  <si>
    <t>MT Activation Methods</t>
  </si>
  <si>
    <t>MT Derivate Activation Methods</t>
  </si>
  <si>
    <t>MT_D001</t>
  </si>
  <si>
    <t>"MT_D001"</t>
  </si>
  <si>
    <t>MT_D001 Parameters</t>
  </si>
  <si>
    <t>Neuron Linking</t>
  </si>
  <si>
    <t>V1V1 Linking Methods</t>
  </si>
  <si>
    <t>V1V1_L001</t>
  </si>
  <si>
    <t>"V1V1_L001"</t>
  </si>
  <si>
    <t>V1V1_L001 Link Parameters</t>
  </si>
  <si>
    <t>MTMT Link Methods</t>
  </si>
  <si>
    <t>V1V1_L001_BASE_WEIGHT_SOURCE</t>
  </si>
  <si>
    <t>V1V1_L001_DEFAULT_WEIGHT</t>
  </si>
  <si>
    <t>V1MT Linking Methods</t>
  </si>
  <si>
    <t>V1MT_L001 Link Parameters</t>
  </si>
  <si>
    <t>V1V1_CONNECTION_METHOD</t>
  </si>
  <si>
    <t>Defines</t>
  </si>
  <si>
    <t>V1_FIRST_CALCULATION</t>
  </si>
  <si>
    <t>Variable that contains if activation or dactivation is calculated first</t>
  </si>
  <si>
    <t>MT_FIRST_CALCULATION</t>
  </si>
  <si>
    <t>CALCULATE_ACTIVATION</t>
  </si>
  <si>
    <t>CALCULATE_DACTIVATION</t>
  </si>
  <si>
    <t>"activation"</t>
  </si>
  <si>
    <t>"dactivation"</t>
  </si>
  <si>
    <t>V1_A001_NL_MAX</t>
  </si>
  <si>
    <t>V1_A001_NL_A</t>
  </si>
  <si>
    <t>V1_A001_NL_B</t>
  </si>
  <si>
    <t>INTERPRETER_MANAGER_COMMANDS_HASH_SIZE</t>
  </si>
  <si>
    <t>LOG_MANAGER_MESSAGES_HASH_SIZE</t>
  </si>
  <si>
    <t>SETTINGS_MANAGER_INT_HASH_SIZE</t>
  </si>
  <si>
    <t>MAX_LINKING_NEURONS</t>
  </si>
  <si>
    <t>HashTables Sizes</t>
  </si>
  <si>
    <t>SETTINGS_MANAGER_DOUBLE_HASH_SIZE</t>
  </si>
  <si>
    <t>SETTINGS_MANAGER_FLOAT_HASH_SIZE</t>
  </si>
  <si>
    <t>SETTINGS_MANAGER_STRING_HASH_SIZE</t>
  </si>
  <si>
    <t>SETTINGS_MANAGER_BOOL_HASH_SIZE</t>
  </si>
  <si>
    <t>SETTINGS_MANAGER_SETTINGSIZE_HASH_SIZE</t>
  </si>
  <si>
    <t>SETTINGS_MANAGER_SETTINGTYPE_HASH_SIZE</t>
  </si>
  <si>
    <t>HASH_CAPACITY_MULTIPLICATOR</t>
  </si>
  <si>
    <t>":" + V1_LABEL</t>
  </si>
  <si>
    <t>V1_D001_WEIGHT_FACTOR</t>
  </si>
  <si>
    <t>45.0 + 1.0</t>
  </si>
  <si>
    <t>The Simulator as well as the Simulation Environment has a list of predefined variables so store and retrieve information. The variable been addressed is not part of the list. The user is not allowed to create new variables.</t>
  </si>
  <si>
    <t>The directive (first word on the nproc command) trying to get interpreted is not on the list of possible directives. Please go to the Reference Manual chapter "Directives" to get a full list of valid directives.</t>
  </si>
  <si>
    <t>The sub-directive (second word on the nproc command)  trying to get interpreted is not on the list of possible directives. Please go to the Reference Manual chapter "Directives" to get a full list of valid directives.</t>
  </si>
  <si>
    <t>A value has tried to be written on an un-identified or un-available configuration variable. This nproc line will be ommited</t>
  </si>
  <si>
    <t>Unidentified sub directive, ignoring line</t>
  </si>
  <si>
    <t>Unidentified setting, ignoring line</t>
  </si>
  <si>
    <t>The command on execution requires the definition of a flag (a word that starts with "-" in the arguments) that isn't present or without a value (if a flag requires a value, the next word after it should be the string representing the value for the flag. This string must NOT start with a "-". If the value is a negative number put it between quotes).</t>
  </si>
  <si>
    <t>A string been read as boolean doen't match any of the possible true values (true, True, T, t, 1) neither false (false, False, F, f, 0). It will be interpreted and stored as false.</t>
  </si>
  <si>
    <t>Incorrect amount of arguments for the command, ignoring line</t>
  </si>
  <si>
    <t>The number of arguments of the command doesn't match the minimum required. This line will be ignored.</t>
  </si>
  <si>
    <t>The Neuronment command-line call has a flag declared more than once or two flags that are different are trying to set a contradictory behaivior</t>
  </si>
  <si>
    <t>The Neuronment command-line call holds a value in a place where should be a flag (a tring starting with "-").</t>
  </si>
  <si>
    <t>The Neuronment command-line call has detected a flag that isn't on the list of possible flags. This flag will be ignored.</t>
  </si>
  <si>
    <t>The Neuronment command-line call has a flag that requires a value, but the value hasn't been found. If you are trying to use a negative number put it between quotes.</t>
  </si>
  <si>
    <t>The call to Neuronment requires a mandatory nproc file to be processed.</t>
  </si>
  <si>
    <t>Development Assetion</t>
  </si>
  <si>
    <t>The program arrived to an unexpected set of conditions.</t>
  </si>
  <si>
    <t>Runtime Assertion</t>
  </si>
  <si>
    <t>Something went wrong running the program. Terminating</t>
  </si>
  <si>
    <t>The nproc required for execution file couldn't be oppened</t>
  </si>
  <si>
    <t>The nproc file previously executed didn't returned a propper closed status from the OS.</t>
  </si>
  <si>
    <t>This happens when for some reason the interpreter is trying to get a new line from a file that hasn't been properly oppened</t>
  </si>
  <si>
    <t>This happens when for some reason the interpreter is trying to get a new line from a file already at the EOF</t>
  </si>
  <si>
    <t>Implementation Assertion</t>
  </si>
  <si>
    <t>There is a problem or an incompete implementation of a required feature</t>
  </si>
  <si>
    <t>The interpreter is trying to close a file that hasn't been oppened</t>
  </si>
  <si>
    <t>This happens when for some reason the file stream under interpretation isn't able to retreive a new line from the nproc file, even if it is not at the EOF.</t>
  </si>
  <si>
    <t>The interpreter requires a file for execution. In this case the file name is empty.</t>
  </si>
  <si>
    <t>LABEL_VARIABLE_MANAGEMENT</t>
  </si>
  <si>
    <t>Variable management calls</t>
  </si>
  <si>
    <t>VARMAN_SET</t>
  </si>
  <si>
    <t>"set"</t>
  </si>
  <si>
    <t>"varman"</t>
  </si>
  <si>
    <t>VarmanCall_SET</t>
  </si>
  <si>
    <t>RUNSIM_SS_INITIALIZE</t>
  </si>
  <si>
    <t>RUNSIM_SS_ADD_V1_DIFFUSION</t>
  </si>
  <si>
    <t>RUNSIM_SS_SIMULATE</t>
  </si>
  <si>
    <t>REPORT_SS_PRINT_V1_ACTIVATION</t>
  </si>
  <si>
    <t>REPORT_SS_PRINT_V1_ACTIVATION_HORIZONTAL</t>
  </si>
  <si>
    <t>REPORT_SS_PRINT_V1_EXTERNAL_EXCITATION</t>
  </si>
  <si>
    <t>REPORT_SS_PRINT_MT_ACTIVATION</t>
  </si>
  <si>
    <t>REPORT_SS_PRINT_MT_ACTIVATION_HORIZONTAL</t>
  </si>
  <si>
    <t>VARMAN_PRINT</t>
  </si>
  <si>
    <t>VarmanCall_PRINT</t>
  </si>
  <si>
    <t>"print"</t>
  </si>
  <si>
    <t>RESCUE_NPROC</t>
  </si>
  <si>
    <t>SIM:V1MT_L001_modulation</t>
  </si>
  <si>
    <t>SIM:V1MT_L001_sigma</t>
  </si>
  <si>
    <t>SIM:V1MT_L001_amplification</t>
  </si>
  <si>
    <t>SIM:V1MT_L001_aperture</t>
  </si>
  <si>
    <t>SIM:V1MT_connection_method</t>
  </si>
  <si>
    <t>SIM:V1V1_L001_default_weight</t>
  </si>
  <si>
    <t>SIM:V1V1_L001_base_weight_source</t>
  </si>
  <si>
    <t>SIM:V1V1_connection_method</t>
  </si>
  <si>
    <t>SIM:MT_dac_method</t>
  </si>
  <si>
    <t>SIM:MT_act_method</t>
  </si>
  <si>
    <t>SIM:MT_first_calculation</t>
  </si>
  <si>
    <t>SIM:V1_F001_phase</t>
  </si>
  <si>
    <t>SIM:V1_F001_magnitude</t>
  </si>
  <si>
    <t>SIM:V1_F001_temporal_frequency</t>
  </si>
  <si>
    <t>SIM:V1_F001_spatial_frequency</t>
  </si>
  <si>
    <t>SIM:V1_F001_orientation</t>
  </si>
  <si>
    <t>SIM:V1_F001_b</t>
  </si>
  <si>
    <t>SIM:V1_F001_a</t>
  </si>
  <si>
    <t>SIM:V1_D001_weight_factor</t>
  </si>
  <si>
    <t>SIM:V1_D001_inhibition_factor</t>
  </si>
  <si>
    <t>SIM:V1_D001_excitatory_factor</t>
  </si>
  <si>
    <t>SIM:V1_D001_conductance_leak</t>
  </si>
  <si>
    <t>SIM:V1_A001_nl_b</t>
  </si>
  <si>
    <t>SIM:V1_A001_nl_a</t>
  </si>
  <si>
    <t>SIM:V1_A001_nl_max</t>
  </si>
  <si>
    <t>SIM:V1_external_excitation_method</t>
  </si>
  <si>
    <t>SIM:V1_dac_method</t>
  </si>
  <si>
    <t>SIM:V1_act_method</t>
  </si>
  <si>
    <t>SIM:V1_first_calculation</t>
  </si>
  <si>
    <t>ENV:hide_end</t>
  </si>
  <si>
    <t>SIM:simulator_time_step</t>
  </si>
  <si>
    <t>string("SIM:") + V1_LABEL</t>
  </si>
  <si>
    <t>string("SIM:") + MT_LABEL</t>
  </si>
  <si>
    <t>Variable Management</t>
  </si>
  <si>
    <t>LABEL_REDIRECTION_STRING</t>
  </si>
  <si>
    <t>LABEL_REDIRECTION_CHAR</t>
  </si>
  <si>
    <t>"&gt;"</t>
  </si>
  <si>
    <t>'&gt;'</t>
  </si>
  <si>
    <t>DV-008</t>
  </si>
  <si>
    <t>The Log manager is being copied and this should NEVER happen</t>
  </si>
  <si>
    <t>string("'") + IIntToString(i)</t>
  </si>
  <si>
    <t>string("'") + IIntToString(j)</t>
  </si>
  <si>
    <t>ENV:max_nproc_nesting</t>
  </si>
  <si>
    <t>MAX_NPROC_NESTING</t>
  </si>
  <si>
    <t>Set the maximum number of "rescue nproc" calls that can be nested</t>
  </si>
  <si>
    <t>IN-008</t>
  </si>
  <si>
    <t>The maximum amount of possible nested \"rescue nproc\" calls has been reached</t>
  </si>
  <si>
    <t>DEFAULT_FULL_SILENT_OUTPUT</t>
  </si>
  <si>
    <t>RESCUE_RETURN</t>
  </si>
  <si>
    <t>RescueCall_RETURN</t>
  </si>
  <si>
    <t>"return"</t>
  </si>
  <si>
    <t>LABEL_INDENTATION_STRING</t>
  </si>
  <si>
    <t>LABEL_MESSAGE_STRING</t>
  </si>
  <si>
    <t>": "</t>
  </si>
  <si>
    <t>SHOW_ELAPSED_TIME</t>
  </si>
  <si>
    <t>ENV:show_elapsed_time</t>
  </si>
  <si>
    <t>Directive</t>
  </si>
  <si>
    <t>Sub-Directive</t>
  </si>
  <si>
    <t>Function</t>
  </si>
  <si>
    <t>SIM:(V1_LABEL)'[MAX_V1_NEURONS]</t>
  </si>
  <si>
    <t>SIM:(MT_LABEL)'[MAX_MT_NEURONS]</t>
  </si>
  <si>
    <t>SIM:(V1_LABEL)'[MAX_V1_NEURONS]:(V1_LABEL)'[MAX_V1_NEURONS]</t>
  </si>
  <si>
    <t>DEFAULT_HIDE_END</t>
  </si>
  <si>
    <t>DEFAULT_MAX_NPROC_NESTING</t>
  </si>
  <si>
    <t>DEFAULT_SHOW_ELAPSED_TIME</t>
  </si>
  <si>
    <t>V1 External Excitation Method</t>
  </si>
  <si>
    <t>LABEL_NEURON_SEPARATOR</t>
  </si>
  <si>
    <t>V1_LABEL + LABEL_NEURON_SEPARATOR + i</t>
  </si>
  <si>
    <t>DEFAULT_V1_FIRST_CALCULATION</t>
  </si>
  <si>
    <t>DEFAULT_V1_ACTIVATION_METHOD</t>
  </si>
  <si>
    <t>DEFAULT_V1_DACTIVATION_METHOD</t>
  </si>
  <si>
    <t>DEFAULT_V1_EXTERNAL_EXCITATION_METHOD</t>
  </si>
  <si>
    <t>DEFAULT_V1_A001_NL_MAX</t>
  </si>
  <si>
    <t>DEFAULT_V1_A001_NL_A</t>
  </si>
  <si>
    <t>DEFAULT_V1_A001_NL_B</t>
  </si>
  <si>
    <t>DEFAULT_V1_D001_CONDUCTANCE_LEAK</t>
  </si>
  <si>
    <t>DEFAULT_V1_D001_EXCITATORY_FACTOR</t>
  </si>
  <si>
    <t>DEFAULT_V1_D001_INHIBITION_FACTOR</t>
  </si>
  <si>
    <t>DEFAULT_V1_D001_WEIGHT_FACTOR</t>
  </si>
  <si>
    <t>DEFAULT_V1_F001_A</t>
  </si>
  <si>
    <t>DEFAULT_V1_F001_B</t>
  </si>
  <si>
    <t>DEFAULT_V1_F001_ORIENTATION</t>
  </si>
  <si>
    <t>DEFAULT_V1_F001_SPATIAL_FREQUENCY</t>
  </si>
  <si>
    <t>DEFAULT_V1_F001_TEMPORAL_FREQUENCY</t>
  </si>
  <si>
    <t>DEFAULT_V1_F001_MAGNITUDE</t>
  </si>
  <si>
    <t>DEFAULT_V1_F001_PHASE</t>
  </si>
  <si>
    <t>V1 Neurons</t>
  </si>
  <si>
    <t>MT Neurons</t>
  </si>
  <si>
    <t>DEFAULT_MT_FIRST_CALCULATION</t>
  </si>
  <si>
    <t>DEFAULT_MT_ACTIVATION_METHOD</t>
  </si>
  <si>
    <t>DEFAULT_MT_DACTIVATION_METHOD</t>
  </si>
  <si>
    <t>V1V1 Linking</t>
  </si>
  <si>
    <t>V1_LABEL + LABEL_NEURON_SEPARATOR + i + LABEL_VARIABLE_SEPARATOR + V1_LABEL + LABEL_NEURON_SEPARATOR + j</t>
  </si>
  <si>
    <t>V1MT Linking</t>
  </si>
  <si>
    <t>DEFAULT_V1V1_CONNECTION_METHOD</t>
  </si>
  <si>
    <t>DEFAULT_V1V1_L001_BASE_WEIGHT_SOURCE</t>
  </si>
  <si>
    <t>DEFAULT_V1V1_L001_DEFAULT_WEIGHT</t>
  </si>
  <si>
    <t>DEFAULT_V1MT_CONNECTION_METHOD</t>
  </si>
  <si>
    <t>DEFAULT_V1MT_L001_APERTURE</t>
  </si>
  <si>
    <t>DEFAULT_V1MT_L001_AMPLIFICATION</t>
  </si>
  <si>
    <t>DEFAULT_V1MT_L001_SIGMA</t>
  </si>
  <si>
    <t>DEFAULT_V1MT_L001_MODULATION</t>
  </si>
  <si>
    <t>DEFAULT_SIMULATOR_TIME_STEP</t>
  </si>
  <si>
    <t>V1_MAX_NEURONS</t>
  </si>
  <si>
    <t>MT_MAX_NEURONS</t>
  </si>
  <si>
    <t>Generate</t>
  </si>
  <si>
    <t>LogManager.Initialize.cpp</t>
  </si>
  <si>
    <t>Manual_23_Messages_A.tex</t>
  </si>
  <si>
    <t>define.h</t>
  </si>
  <si>
    <t>SettingsManager.Initialize.cpp</t>
  </si>
  <si>
    <t>TimeStamp</t>
  </si>
  <si>
    <t>All</t>
  </si>
  <si>
    <t>Label</t>
  </si>
  <si>
    <t>Value</t>
  </si>
  <si>
    <t>Define</t>
  </si>
  <si>
    <t>Variable</t>
  </si>
  <si>
    <t>Type</t>
  </si>
  <si>
    <t>Size</t>
  </si>
  <si>
    <t>Default</t>
  </si>
  <si>
    <t>MT_LABEL + LABEL_NEURON_SEPARATOR + i</t>
  </si>
  <si>
    <t>InterpreterManager.Initialize.cpp</t>
  </si>
  <si>
    <t>Manual_22_Instructions_A.tex</t>
  </si>
  <si>
    <t>NoDefine</t>
  </si>
  <si>
    <t>Extra</t>
  </si>
  <si>
    <t>"'"</t>
  </si>
  <si>
    <t xml:space="preserve">  for (int i = 0; i &lt; V1_MAX_NEURONS; i++) {
    for (int j = 0; j &lt; V1_MAX_NEURONS; j++) {
      Variables.SetSetting(string("SIM:") + V1_LABEL + string("'") + IIntToString(i) + ":" + V1_LABEL + string("'") + IIntToString(j), Data_double, 1);
    }
  }</t>
  </si>
  <si>
    <t xml:space="preserve">  for (int i = 0; i &lt; V1_MAX_NEURONS; i++) {
    Variables.SetSetting(string("SIM:") + V1_LABEL + string("'") + IIntToString(i), Data_double, 8);
  }</t>
  </si>
  <si>
    <t xml:space="preserve">  for (int i = 0; i &lt; MT_MAX_NEURONS; i++) {
    Variables.SetSetting(string("SIM:") + MT_LABEL + string("'") + IIntToString(i), Data_double, 6);
  }</t>
  </si>
  <si>
    <t>Custom</t>
  </si>
  <si>
    <t>This command allows to set a list of values to a variable. To work, it sould have the following format:
\begin{verbatime}
varman set &lt;variable name&gt; &lt;list of values&gt;
\end{verbatime}
The number of values of the list of values (number of strings separated by spaces and/or tabs) should be exactly the number supported by the variable. By other side, each value on the list will be interpreted as the expected type for the variable independently of their format.</t>
  </si>
  <si>
    <t>This command allows to get the list of values currently stored on a variable. To work it should have the following format:
\begin{verbatime}
varman print &lt;variable name&gt;
\end{verbatime}
If the variable doesn't exist or if it doesn't hold any value it will answer with a coded message.</t>
  </si>
  <si>
    <t>The ``Variable Management'' or ``varman'' directives is the set of all the commands that can be use to set, retrieve or inquiry a variable. These instructions only have an effect (if any) at the environment level as the variables are not dinamically linked in Neuronment.</t>
  </si>
  <si>
    <t>The ``Run Commands'' or ``runsim'' directives is the set of all the commands related to the configuration, simulation and training of the \gls{neuralnetwork}. This instruction will use the values stored in the variables for their execution, but they will only retrieve the values at the execution moment and they will not link the values dynamically. This means that all the values required for these instructions needs to be set by the propper \textbf{varman} instructions prior their call.</t>
  </si>
  <si>
    <t>This command reads all the global variables that descrive a single \gls{neuralnetwork} and builds the data structure required for the storage of all the required values for a full simulation. This may require some variables to be set only in certain configuration conditions, therefore, it is not required an exhaustive list of variables set.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</si>
</sst>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000000000"/>
    <numFmt numFmtId="165" formatCode="0.000000000000000"/>
  </numFmts>
  <fonts count="1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bgColor indexed="64"/>
      </patternFill>
    </fill>
    <fill>
      <patternFill patternType="solid">
        <fgColor theme="9"/>
        <bgColor indexed="64"/>
      </patternFill>
    </fill>
    <fill>
      <patternFill patternType="solid">
        <fgColor theme="9" tint="0.7999816888943144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7">
    <xf numFmtId="0" fontId="0" fillId="0" borderId="0" xfId="0"/>
    <xf numFmtId="0" fontId="0" fillId="0" borderId="0" xfId="0" applyAlignment="1">
      <alignment horizontal="center"/>
    </xf>
    <xf numFmtId="2" fontId="0" fillId="0" borderId="0" xfId="0" applyNumberFormat="1" applyAlignment="1">
      <alignment horizontal="center"/>
    </xf>
    <xf numFmtId="0" fontId="0" fillId="0" borderId="0" xfId="0" applyNumberFormat="1" applyAlignment="1">
      <alignment horizontal="center"/>
    </xf>
    <xf numFmtId="0" fontId="0" fillId="33" borderId="0" xfId="0" applyFill="1"/>
    <xf numFmtId="0" fontId="0" fillId="33" borderId="0" xfId="0" applyFill="1" applyAlignment="1">
      <alignment horizontal="center"/>
    </xf>
    <xf numFmtId="0" fontId="0" fillId="33" borderId="0" xfId="0" applyFill="1" applyAlignment="1">
      <alignment horizontal="left"/>
    </xf>
    <xf numFmtId="2" fontId="0" fillId="33" borderId="0" xfId="0" applyNumberFormat="1" applyFill="1" applyAlignment="1">
      <alignment horizontal="left"/>
    </xf>
    <xf numFmtId="2" fontId="0" fillId="33" borderId="0" xfId="0" applyNumberFormat="1" applyFill="1" applyAlignment="1">
      <alignment horizontal="center"/>
    </xf>
    <xf numFmtId="0" fontId="0" fillId="34" borderId="0" xfId="0" applyFill="1"/>
    <xf numFmtId="0" fontId="0" fillId="34" borderId="0" xfId="0" applyFill="1" applyAlignment="1">
      <alignment horizontal="center"/>
    </xf>
    <xf numFmtId="2" fontId="0" fillId="34" borderId="0" xfId="0" applyNumberFormat="1" applyFill="1" applyAlignment="1">
      <alignment horizontal="center"/>
    </xf>
    <xf numFmtId="0" fontId="0" fillId="34" borderId="0" xfId="0" applyFill="1" applyAlignment="1">
      <alignment horizontal="left"/>
    </xf>
    <xf numFmtId="0" fontId="0" fillId="0" borderId="0" xfId="0" applyAlignment="1">
      <alignment horizontal="left"/>
    </xf>
    <xf numFmtId="0" fontId="0" fillId="0" borderId="0" xfId="0" applyNumberFormat="1" applyAlignment="1">
      <alignment horizontal="left"/>
    </xf>
    <xf numFmtId="0" fontId="0" fillId="0" borderId="0" xfId="0" applyAlignment="1">
      <alignment wrapText="1"/>
    </xf>
    <xf numFmtId="0" fontId="0" fillId="0" borderId="0" xfId="0" applyFill="1" applyAlignment="1">
      <alignment horizontal="center"/>
    </xf>
    <xf numFmtId="0" fontId="0" fillId="35" borderId="0" xfId="0" applyFill="1" applyAlignment="1">
      <alignment wrapText="1"/>
    </xf>
    <xf numFmtId="0" fontId="0" fillId="35" borderId="0" xfId="0" applyFill="1" applyAlignment="1">
      <alignment horizontal="center"/>
    </xf>
    <xf numFmtId="0" fontId="0" fillId="35" borderId="0" xfId="0" applyFill="1" applyAlignment="1">
      <alignment horizontal="left"/>
    </xf>
    <xf numFmtId="0" fontId="0" fillId="35" borderId="0" xfId="0" applyFill="1"/>
    <xf numFmtId="0" fontId="0" fillId="0" borderId="0" xfId="0" applyFill="1" applyAlignment="1">
      <alignment wrapText="1"/>
    </xf>
    <xf numFmtId="0" fontId="0" fillId="0" borderId="0" xfId="0" applyNumberFormat="1" applyFill="1" applyAlignment="1">
      <alignment horizontal="center"/>
    </xf>
    <xf numFmtId="0" fontId="0" fillId="0" borderId="0" xfId="0" applyFill="1" applyAlignment="1">
      <alignment horizontal="left"/>
    </xf>
    <xf numFmtId="0" fontId="0" fillId="0" borderId="0" xfId="0" applyFill="1"/>
    <xf numFmtId="49" fontId="0" fillId="0" borderId="0" xfId="0" applyNumberFormat="1"/>
    <xf numFmtId="0" fontId="0" fillId="0" borderId="0" xfId="0" quotePrefix="1" applyAlignment="1">
      <alignment horizontal="left"/>
    </xf>
    <xf numFmtId="49" fontId="0" fillId="35" borderId="0" xfId="0" applyNumberFormat="1" applyFill="1"/>
    <xf numFmtId="0" fontId="0" fillId="0" borderId="0" xfId="0" quotePrefix="1" applyNumberFormat="1" applyFill="1" applyAlignment="1">
      <alignment horizontal="left"/>
    </xf>
    <xf numFmtId="49" fontId="0" fillId="0" borderId="0" xfId="0" applyNumberFormat="1" applyFill="1"/>
    <xf numFmtId="0" fontId="0" fillId="36" borderId="0" xfId="0" applyFill="1" applyAlignment="1">
      <alignment wrapText="1"/>
    </xf>
    <xf numFmtId="0" fontId="0" fillId="36" borderId="0" xfId="0" applyFill="1" applyAlignment="1">
      <alignment horizontal="center"/>
    </xf>
    <xf numFmtId="0" fontId="0" fillId="36" borderId="0" xfId="0" applyFill="1" applyAlignment="1">
      <alignment horizontal="left"/>
    </xf>
    <xf numFmtId="0" fontId="0" fillId="36" borderId="0" xfId="0" applyFill="1"/>
    <xf numFmtId="0" fontId="0" fillId="36" borderId="0" xfId="0" applyNumberFormat="1" applyFill="1" applyAlignment="1">
      <alignment horizontal="center"/>
    </xf>
    <xf numFmtId="0" fontId="0" fillId="36" borderId="0" xfId="0" applyNumberFormat="1" applyFill="1" applyAlignment="1">
      <alignment horizontal="left"/>
    </xf>
    <xf numFmtId="0" fontId="18" fillId="36" borderId="0" xfId="0" applyFont="1" applyFill="1" applyAlignment="1">
      <alignment wrapText="1"/>
    </xf>
    <xf numFmtId="0" fontId="18" fillId="36" borderId="0" xfId="0" applyFont="1" applyFill="1" applyAlignment="1">
      <alignment horizontal="center"/>
    </xf>
    <xf numFmtId="0" fontId="18" fillId="36" borderId="0" xfId="0" applyFont="1" applyFill="1"/>
    <xf numFmtId="0" fontId="18" fillId="36" borderId="0" xfId="0" applyFont="1" applyFill="1" applyAlignment="1">
      <alignment horizontal="left"/>
    </xf>
    <xf numFmtId="0" fontId="0" fillId="37" borderId="0" xfId="0" applyFill="1" applyAlignment="1">
      <alignment wrapText="1"/>
    </xf>
    <xf numFmtId="0" fontId="0" fillId="37" borderId="0" xfId="0" applyFill="1" applyAlignment="1">
      <alignment horizontal="center"/>
    </xf>
    <xf numFmtId="0" fontId="0" fillId="37" borderId="0" xfId="0" applyFill="1"/>
    <xf numFmtId="0" fontId="0" fillId="37" borderId="0" xfId="0" applyFill="1" applyAlignment="1">
      <alignment horizontal="left"/>
    </xf>
    <xf numFmtId="0" fontId="0" fillId="38" borderId="0" xfId="0" applyFill="1" applyAlignment="1">
      <alignment wrapText="1"/>
    </xf>
    <xf numFmtId="0" fontId="0" fillId="38" borderId="0" xfId="0" applyFill="1" applyAlignment="1">
      <alignment horizontal="center"/>
    </xf>
    <xf numFmtId="0" fontId="0" fillId="38" borderId="0" xfId="0" applyFill="1"/>
    <xf numFmtId="0" fontId="0" fillId="38" borderId="0" xfId="0" applyFill="1" applyAlignment="1">
      <alignment horizontal="left"/>
    </xf>
    <xf numFmtId="49" fontId="0" fillId="38" borderId="0" xfId="0" applyNumberFormat="1" applyFill="1"/>
    <xf numFmtId="0" fontId="0" fillId="0" borderId="0" xfId="0" quotePrefix="1" applyNumberFormat="1" applyFill="1" applyAlignment="1">
      <alignment horizontal="center"/>
    </xf>
    <xf numFmtId="0" fontId="0" fillId="0" borderId="0" xfId="0" quotePrefix="1" applyAlignment="1">
      <alignment horizontal="center"/>
    </xf>
    <xf numFmtId="0" fontId="0" fillId="0" borderId="0" xfId="0" quotePrefix="1" applyFill="1" applyAlignment="1">
      <alignment horizontal="left"/>
    </xf>
    <xf numFmtId="0" fontId="0" fillId="0" borderId="0" xfId="0" quotePrefix="1" applyFill="1" applyAlignment="1">
      <alignment horizontal="center"/>
    </xf>
    <xf numFmtId="164" fontId="0" fillId="0" borderId="0" xfId="0" applyNumberFormat="1" applyFill="1" applyAlignment="1">
      <alignment horizontal="left"/>
    </xf>
    <xf numFmtId="164" fontId="0" fillId="0" borderId="0" xfId="0" applyNumberFormat="1" applyFill="1" applyAlignment="1">
      <alignment horizontal="center"/>
    </xf>
    <xf numFmtId="0" fontId="0" fillId="0" borderId="0" xfId="0" applyFill="1" applyAlignment="1">
      <alignment horizontal="left" wrapText="1"/>
    </xf>
    <xf numFmtId="0" fontId="0" fillId="33" borderId="10" xfId="0" applyFill="1" applyBorder="1" applyAlignment="1">
      <alignment horizontal="center"/>
    </xf>
    <xf numFmtId="0" fontId="0" fillId="0" borderId="10" xfId="0" applyFill="1" applyBorder="1" applyAlignment="1">
      <alignment horizontal="left"/>
    </xf>
    <xf numFmtId="0" fontId="0" fillId="39" borderId="10" xfId="0" applyFill="1" applyBorder="1" applyAlignment="1">
      <alignment horizontal="left"/>
    </xf>
    <xf numFmtId="22" fontId="0" fillId="39" borderId="10" xfId="0" applyNumberFormat="1" applyFill="1" applyBorder="1" applyAlignment="1">
      <alignment horizontal="center"/>
    </xf>
    <xf numFmtId="22" fontId="0" fillId="0" borderId="0" xfId="0" applyNumberFormat="1" applyAlignment="1">
      <alignment horizontal="center"/>
    </xf>
    <xf numFmtId="165" fontId="0" fillId="0" borderId="0" xfId="0" quotePrefix="1" applyNumberFormat="1" applyFill="1" applyAlignment="1">
      <alignment horizontal="left"/>
    </xf>
    <xf numFmtId="165" fontId="0" fillId="0" borderId="0" xfId="0" applyNumberFormat="1" applyFill="1" applyAlignment="1">
      <alignment horizontal="left"/>
    </xf>
    <xf numFmtId="22" fontId="0" fillId="0" borderId="10" xfId="0" applyNumberFormat="1" applyBorder="1" applyAlignment="1">
      <alignment horizontal="center"/>
    </xf>
    <xf numFmtId="0" fontId="0" fillId="33" borderId="0" xfId="0" applyFill="1" applyAlignment="1">
      <alignment horizontal="center" wrapText="1"/>
    </xf>
    <xf numFmtId="0" fontId="0" fillId="33" borderId="0" xfId="0" applyFill="1" applyAlignment="1">
      <alignment horizontal="center" vertical="top"/>
    </xf>
    <xf numFmtId="0" fontId="0" fillId="0" borderId="0" xfId="0" applyAlignment="1">
      <alignment vertical="top"/>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B2:C10"/>
  <sheetViews>
    <sheetView workbookViewId="0">
      <selection activeCell="B3" sqref="B3"/>
    </sheetView>
  </sheetViews>
  <sheetFormatPr baseColWidth="10" defaultColWidth="8.83203125" defaultRowHeight="14" x14ac:dyDescent="0"/>
  <cols>
    <col min="1" max="1" width="2.83203125" customWidth="1"/>
    <col min="2" max="2" width="35.6640625" style="13" customWidth="1"/>
    <col min="3" max="3" width="21.5" style="1" customWidth="1"/>
  </cols>
  <sheetData>
    <row r="2" spans="2:3">
      <c r="B2" s="56" t="s">
        <v>484</v>
      </c>
      <c r="C2" s="56" t="s">
        <v>489</v>
      </c>
    </row>
    <row r="3" spans="2:3">
      <c r="B3" s="57" t="s">
        <v>490</v>
      </c>
      <c r="C3" s="63">
        <v>42152.7890162037</v>
      </c>
    </row>
    <row r="4" spans="2:3">
      <c r="B4" s="58" t="s">
        <v>487</v>
      </c>
      <c r="C4" s="59">
        <v>42152.788981481484</v>
      </c>
    </row>
    <row r="5" spans="2:3">
      <c r="B5" s="58" t="s">
        <v>485</v>
      </c>
      <c r="C5" s="59">
        <v>42152.788981481484</v>
      </c>
    </row>
    <row r="6" spans="2:3">
      <c r="B6" s="58" t="s">
        <v>499</v>
      </c>
      <c r="C6" s="59">
        <v>42152.788993055554</v>
      </c>
    </row>
    <row r="7" spans="2:3">
      <c r="B7" s="58" t="s">
        <v>488</v>
      </c>
      <c r="C7" s="59">
        <v>42152.788993055554</v>
      </c>
    </row>
    <row r="8" spans="2:3">
      <c r="B8" s="58" t="s">
        <v>500</v>
      </c>
      <c r="C8" s="59">
        <v>42152.789004629631</v>
      </c>
    </row>
    <row r="9" spans="2:3">
      <c r="B9" s="58" t="s">
        <v>486</v>
      </c>
      <c r="C9" s="59">
        <v>42152.7890162037</v>
      </c>
    </row>
    <row r="10" spans="2:3">
      <c r="C10" s="60"/>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G86"/>
  <sheetViews>
    <sheetView workbookViewId="0">
      <pane ySplit="1" topLeftCell="A2" activePane="bottomLeft" state="frozen"/>
      <selection pane="bottomLeft" activeCell="G15" sqref="G15"/>
    </sheetView>
  </sheetViews>
  <sheetFormatPr baseColWidth="10" defaultColWidth="8.83203125" defaultRowHeight="15" customHeight="1" x14ac:dyDescent="0"/>
  <cols>
    <col min="1" max="1" width="8.5" style="1" customWidth="1"/>
    <col min="2" max="4" width="2.83203125" style="1" customWidth="1"/>
    <col min="5" max="5" width="2.83203125" style="2" customWidth="1"/>
    <col min="6" max="6" width="87.1640625" style="13" customWidth="1"/>
    <col min="7" max="7" width="71.5" style="13" customWidth="1"/>
  </cols>
  <sheetData>
    <row r="1" spans="1:7" s="9" customFormat="1" ht="15" customHeight="1">
      <c r="A1" s="10" t="s">
        <v>0</v>
      </c>
      <c r="B1" s="10" t="s">
        <v>136</v>
      </c>
      <c r="C1" s="10" t="s">
        <v>137</v>
      </c>
      <c r="D1" s="10" t="s">
        <v>138</v>
      </c>
      <c r="E1" s="11" t="s">
        <v>139</v>
      </c>
      <c r="F1" s="12" t="s">
        <v>140</v>
      </c>
      <c r="G1" s="12"/>
    </row>
    <row r="2" spans="1:7" s="4" customFormat="1" ht="15" customHeight="1">
      <c r="A2" s="5" t="s">
        <v>0</v>
      </c>
      <c r="C2" s="6"/>
      <c r="D2" s="6"/>
      <c r="E2" s="7"/>
      <c r="F2" s="6" t="s">
        <v>135</v>
      </c>
      <c r="G2" s="6"/>
    </row>
    <row r="3" spans="1:7" s="24" customFormat="1" ht="15" customHeight="1">
      <c r="A3" s="16" t="s">
        <v>1</v>
      </c>
      <c r="B3" s="16" t="s">
        <v>2</v>
      </c>
      <c r="C3" s="16" t="s">
        <v>3</v>
      </c>
      <c r="D3" s="16" t="s">
        <v>3</v>
      </c>
      <c r="E3" s="22">
        <v>0</v>
      </c>
      <c r="F3" s="23" t="s">
        <v>4</v>
      </c>
      <c r="G3" s="55" t="s">
        <v>334</v>
      </c>
    </row>
    <row r="4" spans="1:7" s="24" customFormat="1" ht="15" customHeight="1">
      <c r="A4" s="16" t="s">
        <v>5</v>
      </c>
      <c r="B4" s="16" t="s">
        <v>2</v>
      </c>
      <c r="C4" s="16" t="s">
        <v>3</v>
      </c>
      <c r="D4" s="16" t="s">
        <v>3</v>
      </c>
      <c r="E4" s="22">
        <v>0</v>
      </c>
      <c r="F4" s="23" t="s">
        <v>6</v>
      </c>
      <c r="G4" s="23" t="s">
        <v>333</v>
      </c>
    </row>
    <row r="5" spans="1:7" s="24" customFormat="1" ht="15" customHeight="1">
      <c r="A5" s="16" t="s">
        <v>9</v>
      </c>
      <c r="B5" s="16" t="s">
        <v>2</v>
      </c>
      <c r="C5" s="16" t="s">
        <v>3</v>
      </c>
      <c r="D5" s="16" t="s">
        <v>3</v>
      </c>
      <c r="E5" s="22">
        <v>0</v>
      </c>
      <c r="F5" s="23" t="s">
        <v>337</v>
      </c>
      <c r="G5" s="23" t="s">
        <v>335</v>
      </c>
    </row>
    <row r="6" spans="1:7" s="24" customFormat="1" ht="15" customHeight="1">
      <c r="A6" s="16" t="s">
        <v>10</v>
      </c>
      <c r="B6" s="16" t="s">
        <v>3</v>
      </c>
      <c r="C6" s="16" t="s">
        <v>3</v>
      </c>
      <c r="D6" s="16" t="s">
        <v>3</v>
      </c>
      <c r="E6" s="22">
        <v>0</v>
      </c>
      <c r="F6" s="23" t="s">
        <v>338</v>
      </c>
      <c r="G6" s="23" t="s">
        <v>336</v>
      </c>
    </row>
    <row r="7" spans="1:7" s="24" customFormat="1" ht="15" customHeight="1">
      <c r="A7" s="16" t="s">
        <v>258</v>
      </c>
      <c r="B7" s="16" t="s">
        <v>3</v>
      </c>
      <c r="C7" s="16" t="s">
        <v>3</v>
      </c>
      <c r="D7" s="16" t="s">
        <v>3</v>
      </c>
      <c r="E7" s="22">
        <v>0</v>
      </c>
      <c r="F7" s="23" t="s">
        <v>260</v>
      </c>
      <c r="G7" s="23" t="s">
        <v>339</v>
      </c>
    </row>
    <row r="8" spans="1:7" s="24" customFormat="1" ht="15" customHeight="1">
      <c r="A8" s="16" t="s">
        <v>11</v>
      </c>
      <c r="B8" s="16" t="s">
        <v>3</v>
      </c>
      <c r="C8" s="16" t="s">
        <v>3</v>
      </c>
      <c r="D8" s="16" t="s">
        <v>3</v>
      </c>
      <c r="E8" s="22">
        <v>0</v>
      </c>
      <c r="F8" s="23" t="s">
        <v>12</v>
      </c>
      <c r="G8" s="23" t="s">
        <v>340</v>
      </c>
    </row>
    <row r="9" spans="1:7" s="24" customFormat="1" ht="15" customHeight="1">
      <c r="A9" s="16" t="s">
        <v>424</v>
      </c>
      <c r="B9" s="16" t="s">
        <v>3</v>
      </c>
      <c r="C9" s="16" t="s">
        <v>3</v>
      </c>
      <c r="D9" s="16" t="s">
        <v>2</v>
      </c>
      <c r="E9" s="22">
        <v>0</v>
      </c>
      <c r="F9" s="23" t="s">
        <v>425</v>
      </c>
      <c r="G9" s="23"/>
    </row>
    <row r="10" spans="1:7" s="24" customFormat="1" ht="15" customHeight="1">
      <c r="A10" s="16" t="s">
        <v>13</v>
      </c>
      <c r="B10" s="16" t="s">
        <v>3</v>
      </c>
      <c r="C10" s="16" t="s">
        <v>3</v>
      </c>
      <c r="D10" s="16" t="s">
        <v>3</v>
      </c>
      <c r="E10" s="22">
        <v>0</v>
      </c>
      <c r="F10" s="23" t="s">
        <v>341</v>
      </c>
      <c r="G10" s="23" t="s">
        <v>342</v>
      </c>
    </row>
    <row r="11" spans="1:7" s="4" customFormat="1" ht="15" customHeight="1">
      <c r="A11" s="5" t="s">
        <v>0</v>
      </c>
      <c r="C11" s="5"/>
      <c r="D11" s="5"/>
      <c r="E11" s="8"/>
      <c r="F11" s="6" t="s">
        <v>14</v>
      </c>
      <c r="G11" s="6"/>
    </row>
    <row r="12" spans="1:7" s="24" customFormat="1" ht="15" customHeight="1">
      <c r="A12" s="16" t="s">
        <v>15</v>
      </c>
      <c r="B12" s="16" t="s">
        <v>3</v>
      </c>
      <c r="C12" s="16" t="s">
        <v>3</v>
      </c>
      <c r="D12" s="16" t="s">
        <v>2</v>
      </c>
      <c r="E12" s="22">
        <v>0</v>
      </c>
      <c r="F12" s="23" t="s">
        <v>16</v>
      </c>
      <c r="G12" s="23" t="s">
        <v>343</v>
      </c>
    </row>
    <row r="13" spans="1:7" s="24" customFormat="1" ht="15" customHeight="1">
      <c r="A13" s="16" t="s">
        <v>17</v>
      </c>
      <c r="B13" s="16" t="s">
        <v>3</v>
      </c>
      <c r="C13" s="16" t="s">
        <v>3</v>
      </c>
      <c r="D13" s="16" t="s">
        <v>2</v>
      </c>
      <c r="E13" s="22">
        <v>0</v>
      </c>
      <c r="F13" s="23" t="s">
        <v>18</v>
      </c>
      <c r="G13" s="23" t="s">
        <v>344</v>
      </c>
    </row>
    <row r="14" spans="1:7" s="24" customFormat="1" ht="15" customHeight="1">
      <c r="A14" s="16" t="s">
        <v>19</v>
      </c>
      <c r="B14" s="16" t="s">
        <v>3</v>
      </c>
      <c r="C14" s="16" t="s">
        <v>3</v>
      </c>
      <c r="D14" s="16" t="s">
        <v>3</v>
      </c>
      <c r="E14" s="22">
        <v>0</v>
      </c>
      <c r="F14" s="23" t="s">
        <v>20</v>
      </c>
      <c r="G14" s="23" t="s">
        <v>345</v>
      </c>
    </row>
    <row r="15" spans="1:7" s="24" customFormat="1" ht="15" customHeight="1">
      <c r="A15" s="16" t="s">
        <v>21</v>
      </c>
      <c r="B15" s="16" t="s">
        <v>3</v>
      </c>
      <c r="C15" s="16" t="s">
        <v>3</v>
      </c>
      <c r="D15" s="16" t="s">
        <v>2</v>
      </c>
      <c r="E15" s="22">
        <v>0</v>
      </c>
      <c r="F15" s="23" t="s">
        <v>22</v>
      </c>
      <c r="G15" s="23" t="s">
        <v>346</v>
      </c>
    </row>
    <row r="16" spans="1:7" s="24" customFormat="1" ht="15" customHeight="1">
      <c r="A16" s="16" t="s">
        <v>23</v>
      </c>
      <c r="B16" s="16" t="s">
        <v>3</v>
      </c>
      <c r="C16" s="16" t="s">
        <v>3</v>
      </c>
      <c r="D16" s="16" t="s">
        <v>2</v>
      </c>
      <c r="E16" s="22">
        <v>0</v>
      </c>
      <c r="F16" s="23" t="s">
        <v>24</v>
      </c>
      <c r="G16" s="23" t="s">
        <v>347</v>
      </c>
    </row>
    <row r="17" spans="1:7" s="4" customFormat="1" ht="15" customHeight="1">
      <c r="A17" s="5" t="s">
        <v>0</v>
      </c>
      <c r="C17" s="5"/>
      <c r="D17" s="5"/>
      <c r="E17" s="8"/>
      <c r="F17" s="6" t="s">
        <v>25</v>
      </c>
      <c r="G17" s="6"/>
    </row>
    <row r="18" spans="1:7" ht="15" customHeight="1">
      <c r="A18" s="1" t="s">
        <v>26</v>
      </c>
      <c r="B18" s="1" t="s">
        <v>3</v>
      </c>
      <c r="C18" s="1" t="s">
        <v>3</v>
      </c>
      <c r="D18" s="1" t="s">
        <v>3</v>
      </c>
      <c r="E18" s="3">
        <v>0</v>
      </c>
      <c r="F18" s="13" t="s">
        <v>348</v>
      </c>
      <c r="G18" s="13" t="s">
        <v>349</v>
      </c>
    </row>
    <row r="19" spans="1:7" ht="15" customHeight="1">
      <c r="A19" s="1" t="s">
        <v>27</v>
      </c>
      <c r="B19" s="1" t="s">
        <v>3</v>
      </c>
      <c r="C19" s="1" t="s">
        <v>3</v>
      </c>
      <c r="D19" s="1" t="s">
        <v>3</v>
      </c>
      <c r="E19" s="3">
        <v>0</v>
      </c>
      <c r="F19" s="13" t="s">
        <v>350</v>
      </c>
      <c r="G19" s="13" t="s">
        <v>351</v>
      </c>
    </row>
    <row r="20" spans="1:7" ht="15" customHeight="1">
      <c r="A20" s="1" t="s">
        <v>28</v>
      </c>
      <c r="B20" s="1" t="s">
        <v>3</v>
      </c>
      <c r="C20" s="1" t="s">
        <v>3</v>
      </c>
      <c r="D20" s="1" t="s">
        <v>2</v>
      </c>
      <c r="E20" s="3">
        <v>0</v>
      </c>
      <c r="F20" s="13" t="s">
        <v>29</v>
      </c>
      <c r="G20" s="13" t="s">
        <v>352</v>
      </c>
    </row>
    <row r="21" spans="1:7" ht="15" customHeight="1">
      <c r="A21" s="1" t="s">
        <v>30</v>
      </c>
      <c r="B21" s="1" t="s">
        <v>3</v>
      </c>
      <c r="C21" s="1" t="s">
        <v>3</v>
      </c>
      <c r="D21" s="1" t="s">
        <v>3</v>
      </c>
      <c r="E21" s="3">
        <v>0</v>
      </c>
      <c r="F21" s="13" t="s">
        <v>146</v>
      </c>
      <c r="G21" s="13" t="s">
        <v>353</v>
      </c>
    </row>
    <row r="22" spans="1:7" ht="15" customHeight="1">
      <c r="A22" s="1" t="s">
        <v>31</v>
      </c>
      <c r="B22" s="1" t="s">
        <v>3</v>
      </c>
      <c r="C22" s="1" t="s">
        <v>3</v>
      </c>
      <c r="D22" s="1" t="s">
        <v>2</v>
      </c>
      <c r="E22" s="3">
        <v>0</v>
      </c>
      <c r="F22" s="13" t="s">
        <v>32</v>
      </c>
      <c r="G22" s="13" t="s">
        <v>354</v>
      </c>
    </row>
    <row r="23" spans="1:7" ht="15" customHeight="1">
      <c r="A23" s="1" t="s">
        <v>33</v>
      </c>
      <c r="B23" s="1" t="s">
        <v>2</v>
      </c>
      <c r="C23" s="1" t="s">
        <v>3</v>
      </c>
      <c r="D23" s="1" t="s">
        <v>3</v>
      </c>
      <c r="E23" s="3">
        <v>0</v>
      </c>
      <c r="F23" s="13" t="s">
        <v>34</v>
      </c>
      <c r="G23" s="13" t="s">
        <v>355</v>
      </c>
    </row>
    <row r="24" spans="1:7" ht="15" customHeight="1">
      <c r="A24" s="1" t="s">
        <v>35</v>
      </c>
      <c r="B24" s="1" t="s">
        <v>3</v>
      </c>
      <c r="C24" s="1" t="s">
        <v>3</v>
      </c>
      <c r="D24" s="1" t="s">
        <v>2</v>
      </c>
      <c r="E24" s="3">
        <v>0</v>
      </c>
      <c r="F24" s="13" t="s">
        <v>36</v>
      </c>
      <c r="G24" s="13" t="s">
        <v>359</v>
      </c>
    </row>
    <row r="25" spans="1:7" ht="15" customHeight="1">
      <c r="A25" s="1" t="s">
        <v>37</v>
      </c>
      <c r="B25" s="1" t="s">
        <v>3</v>
      </c>
      <c r="C25" s="1" t="s">
        <v>3</v>
      </c>
      <c r="D25" s="1" t="s">
        <v>2</v>
      </c>
      <c r="E25" s="3">
        <v>0</v>
      </c>
      <c r="F25" s="13" t="s">
        <v>356</v>
      </c>
      <c r="G25" s="13" t="s">
        <v>357</v>
      </c>
    </row>
    <row r="26" spans="1:7" ht="15" customHeight="1">
      <c r="A26" s="1" t="s">
        <v>38</v>
      </c>
      <c r="B26" s="1" t="s">
        <v>3</v>
      </c>
      <c r="C26" s="1" t="s">
        <v>3</v>
      </c>
      <c r="D26" s="1" t="s">
        <v>3</v>
      </c>
      <c r="E26" s="3">
        <v>0</v>
      </c>
      <c r="F26" s="13" t="s">
        <v>39</v>
      </c>
      <c r="G26" s="13" t="s">
        <v>358</v>
      </c>
    </row>
    <row r="27" spans="1:7" ht="15" customHeight="1">
      <c r="A27" s="1" t="s">
        <v>40</v>
      </c>
      <c r="B27" s="1" t="s">
        <v>3</v>
      </c>
      <c r="C27" s="1" t="s">
        <v>3</v>
      </c>
      <c r="D27" s="1" t="s">
        <v>2</v>
      </c>
      <c r="E27" s="3">
        <v>0</v>
      </c>
      <c r="F27" s="13" t="s">
        <v>147</v>
      </c>
      <c r="G27" s="13" t="s">
        <v>360</v>
      </c>
    </row>
    <row r="28" spans="1:7" s="4" customFormat="1" ht="15" customHeight="1">
      <c r="A28" s="5" t="s">
        <v>0</v>
      </c>
      <c r="C28" s="5"/>
      <c r="D28" s="5"/>
      <c r="E28" s="8"/>
      <c r="F28" s="6" t="s">
        <v>41</v>
      </c>
      <c r="G28" s="6"/>
    </row>
    <row r="29" spans="1:7" ht="15" customHeight="1">
      <c r="A29" s="1" t="s">
        <v>42</v>
      </c>
      <c r="B29" s="1" t="s">
        <v>3</v>
      </c>
      <c r="C29" s="1" t="s">
        <v>2</v>
      </c>
      <c r="D29" s="1" t="s">
        <v>3</v>
      </c>
      <c r="E29" s="3">
        <v>0</v>
      </c>
      <c r="F29" s="13" t="s">
        <v>43</v>
      </c>
    </row>
    <row r="30" spans="1:7" ht="15" customHeight="1">
      <c r="A30" s="1" t="s">
        <v>44</v>
      </c>
      <c r="B30" s="1" t="s">
        <v>3</v>
      </c>
      <c r="C30" s="1" t="s">
        <v>2</v>
      </c>
      <c r="D30" s="1" t="s">
        <v>3</v>
      </c>
      <c r="E30" s="3">
        <v>0</v>
      </c>
      <c r="F30" s="13" t="s">
        <v>45</v>
      </c>
    </row>
    <row r="31" spans="1:7" ht="15" customHeight="1">
      <c r="A31" s="1" t="s">
        <v>46</v>
      </c>
      <c r="B31" s="1" t="s">
        <v>3</v>
      </c>
      <c r="C31" s="1" t="s">
        <v>2</v>
      </c>
      <c r="D31" s="1" t="s">
        <v>3</v>
      </c>
      <c r="E31" s="3">
        <v>0</v>
      </c>
      <c r="F31" s="13" t="s">
        <v>47</v>
      </c>
    </row>
    <row r="32" spans="1:7" ht="15" customHeight="1">
      <c r="A32" s="1" t="s">
        <v>48</v>
      </c>
      <c r="B32" s="1" t="s">
        <v>3</v>
      </c>
      <c r="C32" s="1" t="s">
        <v>2</v>
      </c>
      <c r="D32" s="1" t="s">
        <v>3</v>
      </c>
      <c r="E32" s="3">
        <v>0</v>
      </c>
      <c r="F32" s="13" t="s">
        <v>241</v>
      </c>
    </row>
    <row r="33" spans="1:7" ht="15" customHeight="1">
      <c r="A33" s="1" t="s">
        <v>49</v>
      </c>
      <c r="B33" s="1" t="s">
        <v>3</v>
      </c>
      <c r="C33" s="1" t="s">
        <v>2</v>
      </c>
      <c r="D33" s="1" t="s">
        <v>3</v>
      </c>
      <c r="E33" s="3">
        <v>0</v>
      </c>
      <c r="F33" s="13" t="s">
        <v>50</v>
      </c>
    </row>
    <row r="34" spans="1:7" ht="15" customHeight="1">
      <c r="A34" s="1" t="s">
        <v>51</v>
      </c>
      <c r="B34" s="1" t="s">
        <v>3</v>
      </c>
      <c r="C34" s="1" t="s">
        <v>2</v>
      </c>
      <c r="D34" s="1" t="s">
        <v>3</v>
      </c>
      <c r="E34" s="3">
        <v>0</v>
      </c>
      <c r="F34" s="13" t="s">
        <v>52</v>
      </c>
    </row>
    <row r="35" spans="1:7" ht="15" customHeight="1">
      <c r="A35" s="1" t="s">
        <v>417</v>
      </c>
      <c r="B35" s="1" t="s">
        <v>3</v>
      </c>
      <c r="C35" s="1" t="s">
        <v>2</v>
      </c>
      <c r="D35" s="1" t="s">
        <v>3</v>
      </c>
      <c r="E35" s="3">
        <v>0</v>
      </c>
      <c r="F35" s="13" t="s">
        <v>418</v>
      </c>
    </row>
    <row r="36" spans="1:7" ht="15" customHeight="1">
      <c r="A36" s="1" t="s">
        <v>53</v>
      </c>
      <c r="B36" s="1" t="s">
        <v>3</v>
      </c>
      <c r="C36" s="1" t="s">
        <v>2</v>
      </c>
      <c r="D36" s="1" t="s">
        <v>3</v>
      </c>
      <c r="E36" s="3">
        <v>0</v>
      </c>
      <c r="F36" s="13" t="s">
        <v>54</v>
      </c>
    </row>
    <row r="37" spans="1:7" ht="15" customHeight="1">
      <c r="A37" s="1" t="s">
        <v>55</v>
      </c>
      <c r="B37" s="1" t="s">
        <v>3</v>
      </c>
      <c r="C37" s="1" t="s">
        <v>2</v>
      </c>
      <c r="D37" s="1" t="s">
        <v>3</v>
      </c>
      <c r="E37" s="3">
        <v>0</v>
      </c>
      <c r="F37" s="13" t="s">
        <v>56</v>
      </c>
    </row>
    <row r="38" spans="1:7" ht="15" customHeight="1">
      <c r="A38" s="1" t="s">
        <v>57</v>
      </c>
      <c r="B38" s="1" t="s">
        <v>3</v>
      </c>
      <c r="C38" s="1" t="s">
        <v>2</v>
      </c>
      <c r="D38" s="1" t="s">
        <v>3</v>
      </c>
      <c r="E38" s="3">
        <v>0</v>
      </c>
      <c r="F38" s="13" t="s">
        <v>58</v>
      </c>
    </row>
    <row r="39" spans="1:7" ht="15" customHeight="1">
      <c r="A39" s="1" t="s">
        <v>59</v>
      </c>
      <c r="B39" s="1" t="s">
        <v>3</v>
      </c>
      <c r="C39" s="1" t="s">
        <v>2</v>
      </c>
      <c r="D39" s="1" t="s">
        <v>3</v>
      </c>
      <c r="E39" s="3">
        <v>0</v>
      </c>
      <c r="F39" s="13" t="s">
        <v>60</v>
      </c>
    </row>
    <row r="40" spans="1:7" ht="15" customHeight="1">
      <c r="A40" s="1" t="s">
        <v>61</v>
      </c>
      <c r="B40" s="1" t="s">
        <v>3</v>
      </c>
      <c r="C40" s="1" t="s">
        <v>2</v>
      </c>
      <c r="D40" s="1" t="s">
        <v>3</v>
      </c>
      <c r="E40" s="3">
        <v>0</v>
      </c>
      <c r="F40" s="13" t="s">
        <v>62</v>
      </c>
    </row>
    <row r="41" spans="1:7" ht="15" customHeight="1">
      <c r="A41" s="1" t="s">
        <v>114</v>
      </c>
      <c r="B41" s="1" t="s">
        <v>3</v>
      </c>
      <c r="C41" s="1" t="s">
        <v>2</v>
      </c>
      <c r="D41" s="1" t="s">
        <v>3</v>
      </c>
      <c r="E41" s="3">
        <v>0</v>
      </c>
      <c r="F41" s="13" t="s">
        <v>115</v>
      </c>
    </row>
    <row r="42" spans="1:7" ht="15" customHeight="1">
      <c r="A42" s="1" t="s">
        <v>116</v>
      </c>
      <c r="B42" s="1" t="s">
        <v>3</v>
      </c>
      <c r="C42" s="1" t="s">
        <v>2</v>
      </c>
      <c r="D42" s="1" t="s">
        <v>3</v>
      </c>
      <c r="E42" s="3">
        <v>0</v>
      </c>
      <c r="F42" s="13" t="s">
        <v>117</v>
      </c>
    </row>
    <row r="43" spans="1:7" ht="15" customHeight="1">
      <c r="A43" s="1" t="s">
        <v>249</v>
      </c>
      <c r="B43" s="1" t="s">
        <v>3</v>
      </c>
      <c r="C43" s="1" t="s">
        <v>2</v>
      </c>
      <c r="D43" s="1" t="s">
        <v>3</v>
      </c>
      <c r="E43" s="3">
        <v>0</v>
      </c>
      <c r="F43" s="13" t="s">
        <v>250</v>
      </c>
    </row>
    <row r="44" spans="1:7" s="4" customFormat="1" ht="15" customHeight="1">
      <c r="A44" s="5" t="s">
        <v>0</v>
      </c>
      <c r="C44" s="5"/>
      <c r="D44" s="5"/>
      <c r="E44" s="8"/>
      <c r="F44" s="6" t="s">
        <v>63</v>
      </c>
      <c r="G44" s="6"/>
    </row>
    <row r="45" spans="1:7" ht="15" customHeight="1">
      <c r="A45" s="1" t="s">
        <v>66</v>
      </c>
      <c r="B45" s="1" t="s">
        <v>3</v>
      </c>
      <c r="C45" s="1" t="s">
        <v>3</v>
      </c>
      <c r="D45" s="1" t="s">
        <v>2</v>
      </c>
      <c r="E45" s="3">
        <v>0</v>
      </c>
      <c r="F45" s="13" t="s">
        <v>67</v>
      </c>
    </row>
    <row r="46" spans="1:7" ht="15" customHeight="1">
      <c r="A46" s="1" t="s">
        <v>272</v>
      </c>
      <c r="B46" s="1" t="s">
        <v>3</v>
      </c>
      <c r="C46" s="1" t="s">
        <v>3</v>
      </c>
      <c r="D46" s="1" t="s">
        <v>2</v>
      </c>
      <c r="E46" s="3">
        <v>0</v>
      </c>
      <c r="F46" s="13" t="s">
        <v>273</v>
      </c>
    </row>
    <row r="47" spans="1:7" s="4" customFormat="1" ht="15" customHeight="1">
      <c r="A47" s="5" t="s">
        <v>0</v>
      </c>
      <c r="C47" s="5"/>
      <c r="D47" s="5"/>
      <c r="E47" s="8"/>
      <c r="F47" s="6" t="s">
        <v>68</v>
      </c>
      <c r="G47" s="6"/>
    </row>
    <row r="48" spans="1:7" ht="15" customHeight="1">
      <c r="A48" s="1" t="s">
        <v>69</v>
      </c>
      <c r="B48" s="1" t="s">
        <v>3</v>
      </c>
      <c r="C48" s="1" t="s">
        <v>3</v>
      </c>
      <c r="D48" s="1" t="s">
        <v>2</v>
      </c>
      <c r="E48" s="3">
        <v>0</v>
      </c>
      <c r="F48" s="13" t="s">
        <v>70</v>
      </c>
    </row>
    <row r="49" spans="1:7" ht="15" customHeight="1">
      <c r="A49" s="1" t="s">
        <v>93</v>
      </c>
      <c r="B49" s="1" t="s">
        <v>3</v>
      </c>
      <c r="C49" s="1" t="s">
        <v>3</v>
      </c>
      <c r="D49" s="1" t="s">
        <v>2</v>
      </c>
      <c r="E49" s="3">
        <v>0</v>
      </c>
      <c r="F49" s="13" t="s">
        <v>94</v>
      </c>
    </row>
    <row r="50" spans="1:7" ht="15" customHeight="1">
      <c r="A50" s="1" t="s">
        <v>95</v>
      </c>
      <c r="B50" s="1" t="s">
        <v>3</v>
      </c>
      <c r="C50" s="1" t="s">
        <v>3</v>
      </c>
      <c r="D50" s="1" t="s">
        <v>2</v>
      </c>
      <c r="E50" s="3">
        <v>0</v>
      </c>
      <c r="F50" s="13" t="s">
        <v>96</v>
      </c>
    </row>
    <row r="51" spans="1:7" ht="15" customHeight="1">
      <c r="A51" s="1" t="s">
        <v>104</v>
      </c>
      <c r="B51" s="1" t="s">
        <v>3</v>
      </c>
      <c r="C51" s="1" t="s">
        <v>3</v>
      </c>
      <c r="D51" s="1" t="s">
        <v>2</v>
      </c>
      <c r="E51" s="3">
        <v>0</v>
      </c>
      <c r="F51" s="13" t="s">
        <v>105</v>
      </c>
    </row>
    <row r="52" spans="1:7" ht="15" customHeight="1">
      <c r="A52" s="1" t="s">
        <v>108</v>
      </c>
      <c r="B52" s="1" t="s">
        <v>3</v>
      </c>
      <c r="C52" s="1" t="s">
        <v>3</v>
      </c>
      <c r="D52" s="1" t="s">
        <v>2</v>
      </c>
      <c r="E52" s="3">
        <v>0</v>
      </c>
      <c r="F52" s="13" t="s">
        <v>109</v>
      </c>
    </row>
    <row r="53" spans="1:7" ht="15" customHeight="1">
      <c r="A53" s="1" t="s">
        <v>110</v>
      </c>
      <c r="B53" s="1" t="s">
        <v>3</v>
      </c>
      <c r="C53" s="1" t="s">
        <v>3</v>
      </c>
      <c r="D53" s="1" t="s">
        <v>2</v>
      </c>
      <c r="E53" s="3">
        <v>0</v>
      </c>
      <c r="F53" s="13" t="s">
        <v>111</v>
      </c>
    </row>
    <row r="54" spans="1:7" ht="15" customHeight="1">
      <c r="A54" s="1" t="s">
        <v>112</v>
      </c>
      <c r="B54" s="1" t="s">
        <v>3</v>
      </c>
      <c r="C54" s="1" t="s">
        <v>3</v>
      </c>
      <c r="D54" s="1" t="s">
        <v>2</v>
      </c>
      <c r="E54" s="3">
        <v>0</v>
      </c>
      <c r="F54" s="13" t="s">
        <v>113</v>
      </c>
    </row>
    <row r="55" spans="1:7" ht="15" customHeight="1">
      <c r="A55" s="1" t="s">
        <v>118</v>
      </c>
      <c r="B55" s="1" t="s">
        <v>3</v>
      </c>
      <c r="C55" s="1" t="s">
        <v>3</v>
      </c>
      <c r="D55" s="1" t="s">
        <v>2</v>
      </c>
      <c r="E55" s="3">
        <v>0</v>
      </c>
      <c r="F55" s="13" t="s">
        <v>119</v>
      </c>
    </row>
    <row r="56" spans="1:7" ht="15" customHeight="1">
      <c r="A56" s="1" t="s">
        <v>142</v>
      </c>
      <c r="B56" s="1" t="s">
        <v>3</v>
      </c>
      <c r="C56" s="1" t="s">
        <v>3</v>
      </c>
      <c r="D56" s="1" t="s">
        <v>2</v>
      </c>
      <c r="E56" s="3">
        <v>0</v>
      </c>
      <c r="F56" s="13" t="s">
        <v>143</v>
      </c>
    </row>
    <row r="57" spans="1:7" ht="15" customHeight="1">
      <c r="A57" s="1" t="s">
        <v>144</v>
      </c>
      <c r="B57" s="1" t="s">
        <v>3</v>
      </c>
      <c r="C57" s="1" t="s">
        <v>3</v>
      </c>
      <c r="D57" s="1" t="s">
        <v>2</v>
      </c>
      <c r="E57" s="3">
        <v>0</v>
      </c>
      <c r="F57" s="13" t="s">
        <v>145</v>
      </c>
    </row>
    <row r="58" spans="1:7" s="4" customFormat="1" ht="15" customHeight="1">
      <c r="A58" s="5" t="s">
        <v>0</v>
      </c>
      <c r="C58" s="5"/>
      <c r="D58" s="5"/>
      <c r="E58" s="8"/>
      <c r="F58" s="6" t="s">
        <v>124</v>
      </c>
      <c r="G58" s="6"/>
    </row>
    <row r="59" spans="1:7" ht="15" customHeight="1">
      <c r="A59" s="1" t="s">
        <v>141</v>
      </c>
      <c r="B59" s="1" t="s">
        <v>3</v>
      </c>
      <c r="C59" s="1" t="s">
        <v>3</v>
      </c>
      <c r="D59" s="1" t="s">
        <v>3</v>
      </c>
      <c r="E59" s="3">
        <v>1</v>
      </c>
      <c r="F59" s="14" t="s">
        <v>243</v>
      </c>
    </row>
    <row r="60" spans="1:7" s="33" customFormat="1" ht="15" customHeight="1">
      <c r="A60" s="31"/>
      <c r="B60" s="31"/>
      <c r="C60" s="31"/>
      <c r="D60" s="31"/>
      <c r="E60" s="34"/>
      <c r="F60" s="35"/>
      <c r="G60" s="32"/>
    </row>
    <row r="61" spans="1:7" s="4" customFormat="1" ht="15" customHeight="1">
      <c r="A61" s="5" t="s">
        <v>0</v>
      </c>
      <c r="C61" s="5"/>
      <c r="D61" s="5"/>
      <c r="E61" s="8"/>
      <c r="F61" s="6" t="s">
        <v>248</v>
      </c>
      <c r="G61" s="6"/>
    </row>
    <row r="62" spans="1:7" ht="15" customHeight="1">
      <c r="A62" s="1" t="s">
        <v>125</v>
      </c>
      <c r="B62" s="1" t="s">
        <v>3</v>
      </c>
      <c r="C62" s="1" t="s">
        <v>3</v>
      </c>
      <c r="D62" s="1" t="s">
        <v>3</v>
      </c>
      <c r="E62" s="3">
        <v>1</v>
      </c>
      <c r="F62" s="13" t="s">
        <v>126</v>
      </c>
    </row>
    <row r="63" spans="1:7" ht="15" customHeight="1">
      <c r="A63" s="1" t="s">
        <v>127</v>
      </c>
      <c r="B63" s="1" t="s">
        <v>3</v>
      </c>
      <c r="C63" s="1" t="s">
        <v>3</v>
      </c>
      <c r="D63" s="1" t="s">
        <v>3</v>
      </c>
      <c r="E63" s="3">
        <v>1</v>
      </c>
      <c r="F63" s="13" t="s">
        <v>128</v>
      </c>
    </row>
    <row r="64" spans="1:7" ht="15" customHeight="1">
      <c r="A64" s="1" t="s">
        <v>129</v>
      </c>
      <c r="B64" s="1" t="s">
        <v>3</v>
      </c>
      <c r="C64" s="1" t="s">
        <v>3</v>
      </c>
      <c r="D64" s="1" t="s">
        <v>3</v>
      </c>
      <c r="E64" s="3">
        <v>1</v>
      </c>
      <c r="F64" s="13" t="s">
        <v>130</v>
      </c>
    </row>
    <row r="65" spans="1:7" ht="15" customHeight="1">
      <c r="A65" s="1" t="s">
        <v>131</v>
      </c>
      <c r="B65" s="1" t="s">
        <v>3</v>
      </c>
      <c r="C65" s="1" t="s">
        <v>3</v>
      </c>
      <c r="D65" s="1" t="s">
        <v>3</v>
      </c>
      <c r="E65" s="3">
        <v>1</v>
      </c>
      <c r="F65" s="13" t="s">
        <v>132</v>
      </c>
    </row>
    <row r="66" spans="1:7" ht="15" customHeight="1">
      <c r="A66" s="1" t="s">
        <v>133</v>
      </c>
      <c r="B66" s="1" t="s">
        <v>3</v>
      </c>
      <c r="C66" s="1" t="s">
        <v>3</v>
      </c>
      <c r="D66" s="1" t="s">
        <v>3</v>
      </c>
      <c r="E66" s="3">
        <v>1</v>
      </c>
      <c r="F66" s="13" t="s">
        <v>134</v>
      </c>
    </row>
    <row r="67" spans="1:7" ht="15" customHeight="1">
      <c r="A67" s="1" t="s">
        <v>106</v>
      </c>
      <c r="B67" s="1" t="s">
        <v>3</v>
      </c>
      <c r="C67" s="1" t="s">
        <v>3</v>
      </c>
      <c r="D67" s="1" t="s">
        <v>2</v>
      </c>
      <c r="E67" s="3">
        <v>0</v>
      </c>
      <c r="F67" s="13" t="s">
        <v>107</v>
      </c>
    </row>
    <row r="68" spans="1:7" s="24" customFormat="1" ht="15" customHeight="1">
      <c r="A68" s="16" t="s">
        <v>102</v>
      </c>
      <c r="B68" s="16" t="s">
        <v>3</v>
      </c>
      <c r="C68" s="16" t="s">
        <v>3</v>
      </c>
      <c r="D68" s="16" t="s">
        <v>2</v>
      </c>
      <c r="E68" s="22">
        <v>0</v>
      </c>
      <c r="F68" s="23" t="s">
        <v>103</v>
      </c>
      <c r="G68" s="23"/>
    </row>
    <row r="69" spans="1:7" s="24" customFormat="1" ht="15" customHeight="1">
      <c r="A69" s="16" t="s">
        <v>85</v>
      </c>
      <c r="B69" s="16" t="s">
        <v>3</v>
      </c>
      <c r="C69" s="16" t="s">
        <v>3</v>
      </c>
      <c r="D69" s="16" t="s">
        <v>2</v>
      </c>
      <c r="E69" s="22">
        <v>0</v>
      </c>
      <c r="F69" s="23" t="s">
        <v>86</v>
      </c>
      <c r="G69" s="23"/>
    </row>
    <row r="70" spans="1:7" s="24" customFormat="1" ht="15" customHeight="1">
      <c r="A70" s="16" t="s">
        <v>87</v>
      </c>
      <c r="B70" s="16" t="s">
        <v>3</v>
      </c>
      <c r="C70" s="16" t="s">
        <v>3</v>
      </c>
      <c r="D70" s="16" t="s">
        <v>2</v>
      </c>
      <c r="E70" s="22">
        <v>0</v>
      </c>
      <c r="F70" s="23" t="s">
        <v>88</v>
      </c>
      <c r="G70" s="23"/>
    </row>
    <row r="71" spans="1:7" s="24" customFormat="1" ht="15" customHeight="1">
      <c r="A71" s="16" t="s">
        <v>89</v>
      </c>
      <c r="B71" s="16" t="s">
        <v>3</v>
      </c>
      <c r="C71" s="16" t="s">
        <v>3</v>
      </c>
      <c r="D71" s="16" t="s">
        <v>2</v>
      </c>
      <c r="E71" s="22">
        <v>0</v>
      </c>
      <c r="F71" s="23" t="s">
        <v>90</v>
      </c>
      <c r="G71" s="23"/>
    </row>
    <row r="72" spans="1:7" s="24" customFormat="1" ht="15" customHeight="1">
      <c r="A72" s="16" t="s">
        <v>91</v>
      </c>
      <c r="B72" s="16" t="s">
        <v>3</v>
      </c>
      <c r="C72" s="16" t="s">
        <v>3</v>
      </c>
      <c r="D72" s="16" t="s">
        <v>2</v>
      </c>
      <c r="E72" s="22">
        <v>0</v>
      </c>
      <c r="F72" s="23" t="s">
        <v>92</v>
      </c>
      <c r="G72" s="23"/>
    </row>
    <row r="73" spans="1:7" s="24" customFormat="1" ht="15" customHeight="1">
      <c r="A73" s="16" t="s">
        <v>75</v>
      </c>
      <c r="B73" s="16" t="s">
        <v>3</v>
      </c>
      <c r="C73" s="16" t="s">
        <v>3</v>
      </c>
      <c r="D73" s="16" t="s">
        <v>2</v>
      </c>
      <c r="E73" s="22">
        <v>0</v>
      </c>
      <c r="F73" s="23" t="s">
        <v>76</v>
      </c>
      <c r="G73" s="23"/>
    </row>
    <row r="74" spans="1:7" s="24" customFormat="1" ht="15" customHeight="1">
      <c r="A74" s="16" t="s">
        <v>77</v>
      </c>
      <c r="B74" s="16" t="s">
        <v>3</v>
      </c>
      <c r="C74" s="16" t="s">
        <v>3</v>
      </c>
      <c r="D74" s="16" t="s">
        <v>2</v>
      </c>
      <c r="E74" s="22">
        <v>0</v>
      </c>
      <c r="F74" s="23" t="s">
        <v>78</v>
      </c>
      <c r="G74" s="23"/>
    </row>
    <row r="75" spans="1:7" s="24" customFormat="1" ht="15" customHeight="1">
      <c r="A75" s="16" t="s">
        <v>79</v>
      </c>
      <c r="B75" s="16" t="s">
        <v>3</v>
      </c>
      <c r="C75" s="16" t="s">
        <v>3</v>
      </c>
      <c r="D75" s="16" t="s">
        <v>2</v>
      </c>
      <c r="E75" s="22">
        <v>0</v>
      </c>
      <c r="F75" s="23" t="s">
        <v>80</v>
      </c>
      <c r="G75" s="23"/>
    </row>
    <row r="76" spans="1:7" s="24" customFormat="1" ht="15" customHeight="1">
      <c r="A76" s="16" t="s">
        <v>100</v>
      </c>
      <c r="B76" s="16" t="s">
        <v>3</v>
      </c>
      <c r="C76" s="16" t="s">
        <v>3</v>
      </c>
      <c r="D76" s="16" t="s">
        <v>2</v>
      </c>
      <c r="E76" s="22">
        <v>0</v>
      </c>
      <c r="F76" s="23" t="s">
        <v>101</v>
      </c>
      <c r="G76" s="23"/>
    </row>
    <row r="77" spans="1:7" s="24" customFormat="1" ht="15" customHeight="1">
      <c r="A77" s="16" t="s">
        <v>71</v>
      </c>
      <c r="B77" s="16" t="s">
        <v>3</v>
      </c>
      <c r="C77" s="16" t="s">
        <v>3</v>
      </c>
      <c r="D77" s="16" t="s">
        <v>2</v>
      </c>
      <c r="E77" s="22">
        <v>0</v>
      </c>
      <c r="F77" s="23" t="s">
        <v>72</v>
      </c>
      <c r="G77" s="23"/>
    </row>
    <row r="78" spans="1:7" s="24" customFormat="1" ht="15" customHeight="1">
      <c r="A78" s="16" t="s">
        <v>83</v>
      </c>
      <c r="B78" s="16" t="s">
        <v>3</v>
      </c>
      <c r="C78" s="16" t="s">
        <v>3</v>
      </c>
      <c r="D78" s="16" t="s">
        <v>2</v>
      </c>
      <c r="E78" s="22">
        <v>0</v>
      </c>
      <c r="F78" s="23" t="s">
        <v>84</v>
      </c>
      <c r="G78" s="23"/>
    </row>
    <row r="79" spans="1:7" s="24" customFormat="1" ht="15" customHeight="1">
      <c r="A79" s="16" t="s">
        <v>120</v>
      </c>
      <c r="B79" s="16" t="s">
        <v>3</v>
      </c>
      <c r="C79" s="16" t="s">
        <v>3</v>
      </c>
      <c r="D79" s="16" t="s">
        <v>2</v>
      </c>
      <c r="E79" s="22">
        <v>0</v>
      </c>
      <c r="F79" s="23" t="s">
        <v>121</v>
      </c>
      <c r="G79" s="23"/>
    </row>
    <row r="80" spans="1:7" s="24" customFormat="1" ht="15" customHeight="1">
      <c r="A80" s="16" t="s">
        <v>122</v>
      </c>
      <c r="B80" s="16" t="s">
        <v>3</v>
      </c>
      <c r="C80" s="16" t="s">
        <v>3</v>
      </c>
      <c r="D80" s="16" t="s">
        <v>2</v>
      </c>
      <c r="E80" s="22">
        <v>0</v>
      </c>
      <c r="F80" s="23" t="s">
        <v>123</v>
      </c>
      <c r="G80" s="23"/>
    </row>
    <row r="81" spans="1:7" s="24" customFormat="1" ht="15" customHeight="1">
      <c r="A81" s="16" t="s">
        <v>73</v>
      </c>
      <c r="B81" s="16" t="s">
        <v>3</v>
      </c>
      <c r="C81" s="16" t="s">
        <v>3</v>
      </c>
      <c r="D81" s="16" t="s">
        <v>2</v>
      </c>
      <c r="E81" s="22">
        <v>0</v>
      </c>
      <c r="F81" s="23" t="s">
        <v>74</v>
      </c>
      <c r="G81" s="23"/>
    </row>
    <row r="82" spans="1:7" s="24" customFormat="1" ht="15" customHeight="1">
      <c r="A82" s="16" t="s">
        <v>81</v>
      </c>
      <c r="B82" s="16" t="s">
        <v>3</v>
      </c>
      <c r="C82" s="16" t="s">
        <v>3</v>
      </c>
      <c r="D82" s="16" t="s">
        <v>2</v>
      </c>
      <c r="E82" s="22">
        <v>0</v>
      </c>
      <c r="F82" s="23" t="s">
        <v>82</v>
      </c>
      <c r="G82" s="23"/>
    </row>
    <row r="83" spans="1:7" s="24" customFormat="1" ht="15" customHeight="1">
      <c r="A83" s="16" t="s">
        <v>97</v>
      </c>
      <c r="B83" s="16" t="s">
        <v>3</v>
      </c>
      <c r="C83" s="16" t="s">
        <v>3</v>
      </c>
      <c r="D83" s="16" t="s">
        <v>2</v>
      </c>
      <c r="E83" s="22">
        <v>0</v>
      </c>
      <c r="F83" s="23" t="s">
        <v>74</v>
      </c>
      <c r="G83" s="23"/>
    </row>
    <row r="84" spans="1:7" s="24" customFormat="1" ht="15" customHeight="1">
      <c r="A84" s="16" t="s">
        <v>98</v>
      </c>
      <c r="B84" s="16" t="s">
        <v>3</v>
      </c>
      <c r="C84" s="16" t="s">
        <v>3</v>
      </c>
      <c r="D84" s="16" t="s">
        <v>2</v>
      </c>
      <c r="E84" s="22">
        <v>0</v>
      </c>
      <c r="F84" s="23" t="s">
        <v>99</v>
      </c>
      <c r="G84" s="23"/>
    </row>
    <row r="85" spans="1:7" s="24" customFormat="1" ht="15" customHeight="1">
      <c r="A85" s="16" t="s">
        <v>64</v>
      </c>
      <c r="B85" s="16" t="s">
        <v>3</v>
      </c>
      <c r="C85" s="16" t="s">
        <v>3</v>
      </c>
      <c r="D85" s="16" t="s">
        <v>2</v>
      </c>
      <c r="E85" s="22">
        <v>0</v>
      </c>
      <c r="F85" s="23" t="s">
        <v>65</v>
      </c>
      <c r="G85" s="23"/>
    </row>
    <row r="86" spans="1:7" s="24" customFormat="1" ht="15" customHeight="1">
      <c r="A86" s="16" t="s">
        <v>7</v>
      </c>
      <c r="B86" s="16" t="s">
        <v>3</v>
      </c>
      <c r="C86" s="16" t="s">
        <v>3</v>
      </c>
      <c r="D86" s="16" t="s">
        <v>3</v>
      </c>
      <c r="E86" s="22">
        <v>0</v>
      </c>
      <c r="F86" s="23" t="s">
        <v>8</v>
      </c>
      <c r="G86" s="23"/>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7"/>
  <sheetViews>
    <sheetView tabSelected="1" workbookViewId="0">
      <pane ySplit="1" topLeftCell="A6" activePane="bottomLeft" state="frozen"/>
      <selection pane="bottomLeft" activeCell="D7" sqref="D7"/>
    </sheetView>
  </sheetViews>
  <sheetFormatPr baseColWidth="10" defaultColWidth="8.83203125" defaultRowHeight="14" x14ac:dyDescent="0"/>
  <cols>
    <col min="1" max="3" width="50" style="66" customWidth="1"/>
    <col min="4" max="4" width="71.5" style="15" customWidth="1"/>
  </cols>
  <sheetData>
    <row r="1" spans="1:4" s="5" customFormat="1">
      <c r="A1" s="65" t="s">
        <v>435</v>
      </c>
      <c r="B1" s="65" t="s">
        <v>436</v>
      </c>
      <c r="C1" s="65" t="s">
        <v>437</v>
      </c>
      <c r="D1" s="64" t="s">
        <v>140</v>
      </c>
    </row>
    <row r="2" spans="1:4" ht="42">
      <c r="A2" s="66" t="s">
        <v>0</v>
      </c>
      <c r="B2" s="66" t="s">
        <v>412</v>
      </c>
      <c r="C2" s="66" t="s">
        <v>361</v>
      </c>
      <c r="D2" s="15" t="s">
        <v>510</v>
      </c>
    </row>
    <row r="3" spans="1:4" ht="112">
      <c r="A3" s="66" t="s">
        <v>361</v>
      </c>
      <c r="B3" s="66" t="s">
        <v>363</v>
      </c>
      <c r="C3" s="66" t="s">
        <v>366</v>
      </c>
      <c r="D3" s="15" t="s">
        <v>508</v>
      </c>
    </row>
    <row r="4" spans="1:4" ht="84">
      <c r="A4" s="66" t="s">
        <v>361</v>
      </c>
      <c r="B4" s="66" t="s">
        <v>375</v>
      </c>
      <c r="C4" s="66" t="s">
        <v>376</v>
      </c>
      <c r="D4" s="15" t="s">
        <v>509</v>
      </c>
    </row>
    <row r="5" spans="1:4" ht="84">
      <c r="A5" s="66" t="s">
        <v>0</v>
      </c>
      <c r="B5" s="66" t="s">
        <v>255</v>
      </c>
      <c r="C5" s="66" t="s">
        <v>203</v>
      </c>
      <c r="D5" s="15" t="s">
        <v>511</v>
      </c>
    </row>
    <row r="6" spans="1:4" ht="56">
      <c r="A6" s="66" t="s">
        <v>203</v>
      </c>
      <c r="B6" s="66" t="s">
        <v>367</v>
      </c>
      <c r="C6" s="66" t="s">
        <v>253</v>
      </c>
      <c r="D6" s="15" t="s">
        <v>512</v>
      </c>
    </row>
    <row r="7" spans="1:4">
      <c r="A7" s="66" t="s">
        <v>203</v>
      </c>
      <c r="B7" s="66" t="s">
        <v>368</v>
      </c>
      <c r="C7" s="66" t="s">
        <v>253</v>
      </c>
    </row>
    <row r="8" spans="1:4">
      <c r="A8" s="66" t="s">
        <v>203</v>
      </c>
      <c r="B8" s="66" t="s">
        <v>369</v>
      </c>
      <c r="C8" s="66" t="s">
        <v>253</v>
      </c>
    </row>
    <row r="9" spans="1:4">
      <c r="A9" s="66" t="s">
        <v>0</v>
      </c>
      <c r="B9" s="66" t="s">
        <v>256</v>
      </c>
      <c r="C9" s="66" t="s">
        <v>204</v>
      </c>
    </row>
    <row r="10" spans="1:4">
      <c r="A10" s="66" t="s">
        <v>204</v>
      </c>
      <c r="B10" s="66" t="s">
        <v>370</v>
      </c>
      <c r="C10" s="66" t="s">
        <v>254</v>
      </c>
    </row>
    <row r="11" spans="1:4">
      <c r="A11" s="66" t="s">
        <v>204</v>
      </c>
      <c r="B11" s="66" t="s">
        <v>371</v>
      </c>
      <c r="C11" s="66" t="s">
        <v>254</v>
      </c>
    </row>
    <row r="12" spans="1:4">
      <c r="A12" s="66" t="s">
        <v>204</v>
      </c>
      <c r="B12" s="66" t="s">
        <v>372</v>
      </c>
      <c r="C12" s="66" t="s">
        <v>254</v>
      </c>
    </row>
    <row r="13" spans="1:4">
      <c r="A13" s="66" t="s">
        <v>204</v>
      </c>
      <c r="B13" s="66" t="s">
        <v>373</v>
      </c>
      <c r="C13" s="66" t="s">
        <v>254</v>
      </c>
    </row>
    <row r="14" spans="1:4">
      <c r="A14" s="66" t="s">
        <v>204</v>
      </c>
      <c r="B14" s="66" t="s">
        <v>374</v>
      </c>
      <c r="C14" s="66" t="s">
        <v>254</v>
      </c>
    </row>
    <row r="15" spans="1:4">
      <c r="A15" s="66" t="s">
        <v>0</v>
      </c>
      <c r="B15" s="66" t="s">
        <v>257</v>
      </c>
      <c r="C15" s="66" t="s">
        <v>205</v>
      </c>
    </row>
    <row r="16" spans="1:4">
      <c r="A16" s="66" t="s">
        <v>205</v>
      </c>
      <c r="B16" s="66" t="s">
        <v>378</v>
      </c>
      <c r="C16" s="66" t="s">
        <v>274</v>
      </c>
    </row>
    <row r="17" spans="1:3">
      <c r="A17" s="66" t="s">
        <v>205</v>
      </c>
      <c r="B17" s="66" t="s">
        <v>427</v>
      </c>
      <c r="C17" s="66" t="s">
        <v>428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D47"/>
  <sheetViews>
    <sheetView workbookViewId="0">
      <pane ySplit="1" topLeftCell="A2" activePane="bottomLeft" state="frozen"/>
      <selection pane="bottomLeft"/>
    </sheetView>
  </sheetViews>
  <sheetFormatPr baseColWidth="10" defaultColWidth="8.83203125" defaultRowHeight="15" customHeight="1" x14ac:dyDescent="0"/>
  <cols>
    <col min="1" max="1" width="50" customWidth="1"/>
    <col min="2" max="2" width="50" style="13" customWidth="1"/>
  </cols>
  <sheetData>
    <row r="1" spans="1:2" s="5" customFormat="1" ht="15" customHeight="1">
      <c r="A1" s="5" t="s">
        <v>491</v>
      </c>
      <c r="B1" s="5" t="s">
        <v>492</v>
      </c>
    </row>
    <row r="2" spans="1:2" s="20" customFormat="1" ht="15" customHeight="1">
      <c r="A2" s="20" t="s">
        <v>0</v>
      </c>
      <c r="B2" s="20" t="s">
        <v>195</v>
      </c>
    </row>
    <row r="3" spans="1:2" s="24" customFormat="1" ht="15" customHeight="1">
      <c r="A3" s="24" t="s">
        <v>311</v>
      </c>
      <c r="B3" s="23" t="s">
        <v>313</v>
      </c>
    </row>
    <row r="4" spans="1:2" s="24" customFormat="1" ht="15" customHeight="1">
      <c r="A4" s="24" t="s">
        <v>312</v>
      </c>
      <c r="B4" s="23" t="s">
        <v>314</v>
      </c>
    </row>
    <row r="5" spans="1:2" s="20" customFormat="1" ht="15" customHeight="1">
      <c r="A5" s="20" t="s">
        <v>0</v>
      </c>
      <c r="B5" s="20" t="s">
        <v>197</v>
      </c>
    </row>
    <row r="6" spans="1:2" s="24" customFormat="1" ht="15" customHeight="1">
      <c r="A6" s="24" t="s">
        <v>198</v>
      </c>
      <c r="B6" s="23" t="s">
        <v>199</v>
      </c>
    </row>
    <row r="7" spans="1:2" s="24" customFormat="1" ht="15" customHeight="1">
      <c r="A7" s="24" t="s">
        <v>225</v>
      </c>
      <c r="B7" s="23" t="s">
        <v>200</v>
      </c>
    </row>
    <row r="8" spans="1:2" ht="15" customHeight="1">
      <c r="A8" t="s">
        <v>211</v>
      </c>
      <c r="B8" s="13" t="s">
        <v>214</v>
      </c>
    </row>
    <row r="9" spans="1:2" ht="15" customHeight="1">
      <c r="A9" t="s">
        <v>212</v>
      </c>
      <c r="B9" s="13" t="s">
        <v>213</v>
      </c>
    </row>
    <row r="10" spans="1:2" ht="15" customHeight="1">
      <c r="A10" t="s">
        <v>413</v>
      </c>
      <c r="B10" s="13" t="s">
        <v>415</v>
      </c>
    </row>
    <row r="11" spans="1:2" ht="15" customHeight="1">
      <c r="A11" t="s">
        <v>414</v>
      </c>
      <c r="B11" s="26" t="s">
        <v>416</v>
      </c>
    </row>
    <row r="12" spans="1:2" ht="15" customHeight="1">
      <c r="A12" t="s">
        <v>430</v>
      </c>
      <c r="B12" s="26" t="s">
        <v>415</v>
      </c>
    </row>
    <row r="13" spans="1:2" ht="15" customHeight="1">
      <c r="A13" t="s">
        <v>431</v>
      </c>
      <c r="B13" s="26" t="s">
        <v>432</v>
      </c>
    </row>
    <row r="14" spans="1:2" ht="15" customHeight="1">
      <c r="A14" t="s">
        <v>445</v>
      </c>
      <c r="B14" s="26" t="s">
        <v>503</v>
      </c>
    </row>
    <row r="15" spans="1:2" s="20" customFormat="1" ht="15" customHeight="1">
      <c r="A15" s="20" t="s">
        <v>0</v>
      </c>
      <c r="B15" s="20" t="s">
        <v>362</v>
      </c>
    </row>
    <row r="16" spans="1:2" ht="15" customHeight="1">
      <c r="A16" t="s">
        <v>361</v>
      </c>
      <c r="B16" s="13" t="s">
        <v>365</v>
      </c>
    </row>
    <row r="17" spans="1:2" ht="15" customHeight="1">
      <c r="A17" t="s">
        <v>363</v>
      </c>
      <c r="B17" s="13" t="s">
        <v>364</v>
      </c>
    </row>
    <row r="18" spans="1:2" ht="15" customHeight="1">
      <c r="A18" t="s">
        <v>375</v>
      </c>
      <c r="B18" s="13" t="s">
        <v>377</v>
      </c>
    </row>
    <row r="19" spans="1:2" s="20" customFormat="1" ht="15" customHeight="1">
      <c r="A19" s="20" t="s">
        <v>0</v>
      </c>
      <c r="B19" s="20" t="s">
        <v>215</v>
      </c>
    </row>
    <row r="20" spans="1:2" ht="15" customHeight="1">
      <c r="A20" t="s">
        <v>203</v>
      </c>
      <c r="B20" s="13" t="s">
        <v>208</v>
      </c>
    </row>
    <row r="21" spans="1:2" ht="15" customHeight="1">
      <c r="A21" t="s">
        <v>367</v>
      </c>
      <c r="B21" s="13" t="s">
        <v>261</v>
      </c>
    </row>
    <row r="22" spans="1:2" ht="15" customHeight="1">
      <c r="A22" t="s">
        <v>368</v>
      </c>
      <c r="B22" s="13" t="s">
        <v>262</v>
      </c>
    </row>
    <row r="23" spans="1:2" ht="15" customHeight="1">
      <c r="A23" t="s">
        <v>369</v>
      </c>
      <c r="B23" s="13" t="s">
        <v>263</v>
      </c>
    </row>
    <row r="24" spans="1:2" s="20" customFormat="1" ht="15" customHeight="1">
      <c r="A24" s="20" t="s">
        <v>0</v>
      </c>
      <c r="B24" s="20" t="s">
        <v>216</v>
      </c>
    </row>
    <row r="25" spans="1:2" ht="15" customHeight="1">
      <c r="A25" t="s">
        <v>204</v>
      </c>
      <c r="B25" s="13" t="s">
        <v>209</v>
      </c>
    </row>
    <row r="26" spans="1:2" ht="15" customHeight="1">
      <c r="A26" t="s">
        <v>370</v>
      </c>
      <c r="B26" s="13" t="s">
        <v>266</v>
      </c>
    </row>
    <row r="27" spans="1:2" ht="15" customHeight="1">
      <c r="A27" t="s">
        <v>371</v>
      </c>
      <c r="B27" s="13" t="s">
        <v>267</v>
      </c>
    </row>
    <row r="28" spans="1:2" ht="15" customHeight="1">
      <c r="A28" t="s">
        <v>372</v>
      </c>
      <c r="B28" s="13" t="s">
        <v>268</v>
      </c>
    </row>
    <row r="29" spans="1:2" ht="15" customHeight="1">
      <c r="A29" t="s">
        <v>373</v>
      </c>
      <c r="B29" s="13" t="s">
        <v>269</v>
      </c>
    </row>
    <row r="30" spans="1:2" ht="15" customHeight="1">
      <c r="A30" t="s">
        <v>374</v>
      </c>
      <c r="B30" s="13" t="s">
        <v>270</v>
      </c>
    </row>
    <row r="31" spans="1:2" s="20" customFormat="1" ht="15" customHeight="1">
      <c r="A31" s="20" t="s">
        <v>0</v>
      </c>
      <c r="B31" s="20" t="s">
        <v>219</v>
      </c>
    </row>
    <row r="32" spans="1:2" ht="15" customHeight="1">
      <c r="A32" t="s">
        <v>205</v>
      </c>
      <c r="B32" s="13" t="s">
        <v>210</v>
      </c>
    </row>
    <row r="33" spans="1:4" ht="15" customHeight="1">
      <c r="A33" t="s">
        <v>378</v>
      </c>
      <c r="B33" s="13" t="s">
        <v>271</v>
      </c>
    </row>
    <row r="34" spans="1:4" ht="15" customHeight="1">
      <c r="A34" t="s">
        <v>427</v>
      </c>
      <c r="B34" s="13" t="s">
        <v>429</v>
      </c>
    </row>
    <row r="35" spans="1:4" s="20" customFormat="1" ht="15" customHeight="1">
      <c r="A35" s="20" t="s">
        <v>0</v>
      </c>
      <c r="B35" s="20" t="s">
        <v>465</v>
      </c>
    </row>
    <row r="36" spans="1:4" s="24" customFormat="1" ht="15" customHeight="1">
      <c r="A36" s="29" t="s">
        <v>236</v>
      </c>
      <c r="B36" s="23" t="s">
        <v>237</v>
      </c>
    </row>
    <row r="37" spans="1:4" ht="15" customHeight="1">
      <c r="A37" s="25" t="s">
        <v>279</v>
      </c>
      <c r="B37" s="13" t="s">
        <v>280</v>
      </c>
    </row>
    <row r="38" spans="1:4" s="24" customFormat="1" ht="15" customHeight="1">
      <c r="A38" s="24" t="s">
        <v>189</v>
      </c>
      <c r="B38" s="23" t="s">
        <v>223</v>
      </c>
    </row>
    <row r="39" spans="1:4" ht="15" customHeight="1">
      <c r="A39" s="25" t="s">
        <v>176</v>
      </c>
      <c r="B39" s="13" t="s">
        <v>222</v>
      </c>
    </row>
    <row r="40" spans="1:4" s="20" customFormat="1" ht="15" customHeight="1">
      <c r="A40" s="20" t="s">
        <v>0</v>
      </c>
      <c r="B40" s="27" t="s">
        <v>466</v>
      </c>
    </row>
    <row r="41" spans="1:4" s="24" customFormat="1" ht="15" customHeight="1">
      <c r="A41" s="29" t="s">
        <v>238</v>
      </c>
      <c r="B41" s="23" t="s">
        <v>239</v>
      </c>
      <c r="C41" s="23"/>
      <c r="D41" s="23"/>
    </row>
    <row r="42" spans="1:4" ht="15" customHeight="1">
      <c r="A42" t="s">
        <v>194</v>
      </c>
      <c r="B42" s="13" t="s">
        <v>224</v>
      </c>
      <c r="C42" s="13"/>
      <c r="D42" s="13"/>
    </row>
    <row r="43" spans="1:4" ht="15" customHeight="1">
      <c r="A43" t="s">
        <v>293</v>
      </c>
      <c r="B43" s="13" t="s">
        <v>294</v>
      </c>
      <c r="C43" s="13"/>
      <c r="D43" s="13"/>
    </row>
    <row r="44" spans="1:4" s="20" customFormat="1" ht="14">
      <c r="A44" s="20" t="s">
        <v>0</v>
      </c>
      <c r="B44" s="20" t="s">
        <v>470</v>
      </c>
    </row>
    <row r="45" spans="1:4" ht="15" customHeight="1">
      <c r="A45" t="s">
        <v>298</v>
      </c>
      <c r="B45" s="13" t="s">
        <v>299</v>
      </c>
      <c r="C45" s="13"/>
      <c r="D45" s="13"/>
    </row>
    <row r="46" spans="1:4" s="20" customFormat="1" ht="15" customHeight="1">
      <c r="A46" s="20" t="s">
        <v>0</v>
      </c>
      <c r="B46" s="19" t="s">
        <v>472</v>
      </c>
    </row>
    <row r="47" spans="1:4" ht="15" customHeight="1">
      <c r="A47" s="24" t="s">
        <v>227</v>
      </c>
      <c r="B47" s="23" t="s">
        <v>228</v>
      </c>
      <c r="C47" s="23"/>
      <c r="D47" s="23"/>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D23"/>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5" customFormat="1">
      <c r="A1" s="5" t="s">
        <v>493</v>
      </c>
      <c r="B1" s="5" t="s">
        <v>492</v>
      </c>
    </row>
    <row r="2" spans="1:2" s="20" customFormat="1" ht="15" customHeight="1">
      <c r="A2" s="20" t="s">
        <v>0</v>
      </c>
      <c r="B2" s="20" t="s">
        <v>148</v>
      </c>
    </row>
    <row r="3" spans="1:2" s="24" customFormat="1" ht="15" customHeight="1">
      <c r="A3" s="24" t="s">
        <v>150</v>
      </c>
      <c r="B3" s="28" t="s">
        <v>159</v>
      </c>
    </row>
    <row r="4" spans="1:2" s="20" customFormat="1" ht="15" customHeight="1">
      <c r="A4" s="20" t="s">
        <v>0</v>
      </c>
      <c r="B4" s="20" t="s">
        <v>151</v>
      </c>
    </row>
    <row r="5" spans="1:2" s="24" customFormat="1" ht="15" customHeight="1">
      <c r="A5" s="24" t="s">
        <v>165</v>
      </c>
      <c r="B5" s="23">
        <v>611057</v>
      </c>
    </row>
    <row r="6" spans="1:2" s="24" customFormat="1" ht="15" customHeight="1">
      <c r="A6" s="24" t="s">
        <v>166</v>
      </c>
      <c r="B6" s="23">
        <v>286421</v>
      </c>
    </row>
    <row r="7" spans="1:2" s="24" customFormat="1" ht="15" customHeight="1">
      <c r="A7" s="24" t="s">
        <v>152</v>
      </c>
      <c r="B7" s="23">
        <v>126989</v>
      </c>
    </row>
    <row r="8" spans="1:2" s="24" customFormat="1" ht="15" customHeight="1">
      <c r="A8" s="24" t="s">
        <v>329</v>
      </c>
      <c r="B8" s="23">
        <v>1.5</v>
      </c>
    </row>
    <row r="9" spans="1:2" s="20" customFormat="1" ht="15" customHeight="1">
      <c r="A9" s="20" t="s">
        <v>0</v>
      </c>
      <c r="B9" s="20" t="s">
        <v>322</v>
      </c>
    </row>
    <row r="10" spans="1:2" s="24" customFormat="1" ht="15" customHeight="1">
      <c r="A10" s="24" t="s">
        <v>321</v>
      </c>
      <c r="B10" s="23">
        <f>B21+B23</f>
        <v>610</v>
      </c>
    </row>
    <row r="11" spans="1:2" s="24" customFormat="1" ht="15" customHeight="1">
      <c r="A11" s="24" t="s">
        <v>318</v>
      </c>
      <c r="B11" s="23">
        <f>COUNTA(IM.Initialize!A:A)-COUNTIF(IM.Initialize!A:A,"#")-1</f>
        <v>12</v>
      </c>
    </row>
    <row r="12" spans="1:2" s="24" customFormat="1" ht="15" customHeight="1">
      <c r="A12" s="24" t="s">
        <v>319</v>
      </c>
      <c r="B12" s="23">
        <f>COUNTA(LM.Initialize!A:A)-COUNTIF(LM.Initialize!A:A,"#")</f>
        <v>76</v>
      </c>
    </row>
    <row r="13" spans="1:2" s="24" customFormat="1" ht="15" customHeight="1">
      <c r="A13" s="24" t="s">
        <v>320</v>
      </c>
      <c r="B13" s="23">
        <f>COUNTIF(def.env.var!C:C,"Data_int")+COUNTIF(def.V1.var!C:C,"Data_int")+COUNTIF(def.MT.var!C:C,"Data_int")+COUNTIF(def.lin.var!C:C,"Data_int")+COUNTIF(def.sim.var!C:C,"Data_int")</f>
        <v>2</v>
      </c>
    </row>
    <row r="14" spans="1:2" s="24" customFormat="1" ht="15" customHeight="1">
      <c r="A14" s="24" t="s">
        <v>324</v>
      </c>
      <c r="B14" s="23">
        <f>COUNTIF(def.env.var!C:C,"Data_float")+COUNTIF(def.V1.var!C:C,"Data_float")+COUNTIF(def.MT.var!C:C,"Data_float")+COUNTIF(def.lin.var!C:C,"Data_float")+COUNTIF(def.sim.var!C:C,"Data_float")</f>
        <v>0</v>
      </c>
    </row>
    <row r="15" spans="1:2" s="24" customFormat="1" ht="15" customHeight="1">
      <c r="A15" s="24" t="s">
        <v>323</v>
      </c>
      <c r="B15" s="23">
        <f>COUNTIF(def.env.var!C:C,"Data_double")+COUNTIF(def.V1.var!C:C,"Data_double")+COUNTIF(def.MT.var!C:C,"Data_double")+COUNTIF(def.lin.var!C:C,"Data_double")+COUNTIF(def.sim.var!C:C,"Data_double")+B21*B21</f>
        <v>360022</v>
      </c>
    </row>
    <row r="16" spans="1:2" s="24" customFormat="1" ht="15" customHeight="1">
      <c r="A16" s="24" t="s">
        <v>325</v>
      </c>
      <c r="B16" s="23">
        <f>COUNTIF(def.env.var!C:C,"Data_string")+COUNTIF(def.V1.var!C:C,"Data_string")+COUNTIF(def.MT.var!C:C,"Data_string")+COUNTIF(def.lin.var!C:C,"Data_string")+COUNTIF(def.sim.var!C:C,"Data_string")</f>
        <v>10</v>
      </c>
    </row>
    <row r="17" spans="1:4" s="24" customFormat="1" ht="15" customHeight="1">
      <c r="A17" s="24" t="s">
        <v>326</v>
      </c>
      <c r="B17" s="23">
        <f>COUNTIF(def.env.var!C:C,"Data_bool")+COUNTIF(def.V1.var!C:C,"Data_bool")+COUNTIF(def.MT.var!C:C,"Data_bool")+COUNTIF(def.lin.var!C:C,"Data_bool")+COUNTIF(def.sim.var!C:C,"Data_bool")</f>
        <v>2</v>
      </c>
    </row>
    <row r="18" spans="1:4" s="24" customFormat="1" ht="15" customHeight="1">
      <c r="A18" s="24" t="s">
        <v>328</v>
      </c>
      <c r="B18" s="23" t="str">
        <f>CONCATENATEDELIMETER(A13:A17," + ")</f>
        <v>SETTINGS_MANAGER_INT_HASH_SIZE + SETTINGS_MANAGER_FLOAT_HASH_SIZE + SETTINGS_MANAGER_DOUBLE_HASH_SIZE + SETTINGS_MANAGER_STRING_HASH_SIZE + SETTINGS_MANAGER_BOOL_HASH_SIZE</v>
      </c>
    </row>
    <row r="19" spans="1:4" s="24" customFormat="1" ht="15" customHeight="1">
      <c r="A19" s="24" t="s">
        <v>327</v>
      </c>
      <c r="B19" s="23" t="str">
        <f>CONCATENATEDELIMETER(A13:A17," + ")</f>
        <v>SETTINGS_MANAGER_INT_HASH_SIZE + SETTINGS_MANAGER_FLOAT_HASH_SIZE + SETTINGS_MANAGER_DOUBLE_HASH_SIZE + SETTINGS_MANAGER_STRING_HASH_SIZE + SETTINGS_MANAGER_BOOL_HASH_SIZE</v>
      </c>
    </row>
    <row r="20" spans="1:4" s="20" customFormat="1">
      <c r="A20" s="20" t="s">
        <v>0</v>
      </c>
      <c r="B20" s="20" t="s">
        <v>465</v>
      </c>
    </row>
    <row r="21" spans="1:4" ht="15" customHeight="1">
      <c r="A21" s="25" t="s">
        <v>482</v>
      </c>
      <c r="B21" s="13">
        <v>600</v>
      </c>
    </row>
    <row r="22" spans="1:4" s="20" customFormat="1">
      <c r="A22" s="20" t="s">
        <v>0</v>
      </c>
      <c r="B22" s="20" t="s">
        <v>466</v>
      </c>
    </row>
    <row r="23" spans="1:4" ht="15" customHeight="1">
      <c r="A23" t="s">
        <v>483</v>
      </c>
      <c r="B23" s="13">
        <v>10</v>
      </c>
      <c r="C23" s="13"/>
      <c r="D23" s="13"/>
    </row>
  </sheetData>
  <pageMargins left="0.7" right="0.7" top="0.75" bottom="0.75" header="0.3" footer="0.3"/>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4"/>
  <sheetViews>
    <sheetView workbookViewId="0">
      <pane ySplit="1" topLeftCell="A2" activePane="bottomLeft" state="frozen"/>
      <selection pane="bottomLeft" activeCell="F1" sqref="F1"/>
    </sheetView>
  </sheetViews>
  <sheetFormatPr baseColWidth="10" defaultColWidth="8.83203125" defaultRowHeight="14" x14ac:dyDescent="0"/>
  <cols>
    <col min="1" max="3" width="50" customWidth="1"/>
    <col min="4" max="4" width="9.1640625" customWidth="1"/>
  </cols>
  <sheetData>
    <row r="1" spans="1:6" s="5" customFormat="1">
      <c r="A1" s="5" t="s">
        <v>494</v>
      </c>
      <c r="B1" s="5" t="s">
        <v>493</v>
      </c>
      <c r="C1" s="5" t="s">
        <v>495</v>
      </c>
      <c r="D1" s="5" t="s">
        <v>496</v>
      </c>
      <c r="E1" s="5" t="s">
        <v>502</v>
      </c>
      <c r="F1" s="5" t="s">
        <v>507</v>
      </c>
    </row>
    <row r="2" spans="1:6" ht="15" customHeight="1">
      <c r="A2" s="13" t="s">
        <v>408</v>
      </c>
      <c r="B2" s="25" t="s">
        <v>251</v>
      </c>
      <c r="C2" s="13" t="s">
        <v>164</v>
      </c>
      <c r="D2" s="13">
        <v>1</v>
      </c>
      <c r="E2" s="13"/>
    </row>
    <row r="3" spans="1:6" ht="15" customHeight="1">
      <c r="A3" s="13" t="s">
        <v>421</v>
      </c>
      <c r="B3" s="25" t="s">
        <v>422</v>
      </c>
      <c r="C3" s="13" t="s">
        <v>242</v>
      </c>
      <c r="D3" s="13">
        <v>1</v>
      </c>
      <c r="E3" s="13"/>
    </row>
    <row r="4" spans="1:6" ht="15" customHeight="1">
      <c r="A4" s="13" t="s">
        <v>434</v>
      </c>
      <c r="B4" s="25" t="s">
        <v>433</v>
      </c>
      <c r="C4" s="13" t="s">
        <v>164</v>
      </c>
      <c r="D4" s="13">
        <v>1</v>
      </c>
      <c r="E4" s="13"/>
    </row>
  </sheetData>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B7"/>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5" customFormat="1">
      <c r="A1" s="5" t="s">
        <v>493</v>
      </c>
      <c r="B1" s="5" t="s">
        <v>497</v>
      </c>
    </row>
    <row r="2" spans="1:2" ht="15" customHeight="1">
      <c r="A2" t="s">
        <v>155</v>
      </c>
      <c r="B2" s="26" t="s">
        <v>157</v>
      </c>
    </row>
    <row r="3" spans="1:2" ht="15" customHeight="1">
      <c r="A3" t="s">
        <v>156</v>
      </c>
      <c r="B3" s="26" t="s">
        <v>158</v>
      </c>
    </row>
    <row r="4" spans="1:2" ht="15" customHeight="1">
      <c r="A4" t="s">
        <v>426</v>
      </c>
      <c r="B4" s="26" t="s">
        <v>158</v>
      </c>
    </row>
    <row r="5" spans="1:2" ht="15" customHeight="1">
      <c r="A5" s="25" t="s">
        <v>441</v>
      </c>
      <c r="B5" s="26" t="s">
        <v>158</v>
      </c>
    </row>
    <row r="6" spans="1:2" ht="15" customHeight="1">
      <c r="A6" s="25" t="s">
        <v>442</v>
      </c>
      <c r="B6" s="26">
        <v>10</v>
      </c>
    </row>
    <row r="7" spans="1:2" ht="15" customHeight="1">
      <c r="A7" s="25" t="s">
        <v>443</v>
      </c>
      <c r="B7" s="26" t="s">
        <v>158</v>
      </c>
    </row>
  </sheetData>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F26"/>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5" customFormat="1">
      <c r="A1" s="5" t="s">
        <v>494</v>
      </c>
      <c r="B1" s="5" t="s">
        <v>493</v>
      </c>
      <c r="C1" s="5" t="s">
        <v>495</v>
      </c>
      <c r="D1" s="5" t="s">
        <v>496</v>
      </c>
      <c r="E1" s="5" t="s">
        <v>502</v>
      </c>
      <c r="F1" s="5" t="s">
        <v>507</v>
      </c>
    </row>
    <row r="2" spans="1:6" ht="15" customHeight="1">
      <c r="A2" s="13" t="s">
        <v>438</v>
      </c>
      <c r="B2" s="25" t="s">
        <v>446</v>
      </c>
      <c r="C2" s="13" t="s">
        <v>179</v>
      </c>
      <c r="D2" s="13">
        <v>8</v>
      </c>
      <c r="E2" s="13" t="s">
        <v>501</v>
      </c>
      <c r="F2" s="15" t="s">
        <v>505</v>
      </c>
    </row>
    <row r="3" spans="1:6" ht="15" customHeight="1">
      <c r="A3" s="13" t="s">
        <v>407</v>
      </c>
      <c r="B3" s="25" t="s">
        <v>308</v>
      </c>
      <c r="C3" s="13" t="s">
        <v>171</v>
      </c>
      <c r="D3" s="13">
        <v>1</v>
      </c>
    </row>
    <row r="4" spans="1:6" ht="15" customHeight="1">
      <c r="A4" s="13" t="s">
        <v>406</v>
      </c>
      <c r="B4" s="25" t="s">
        <v>170</v>
      </c>
      <c r="C4" s="13" t="s">
        <v>171</v>
      </c>
      <c r="D4" s="13">
        <v>1</v>
      </c>
    </row>
    <row r="5" spans="1:6" ht="15" customHeight="1">
      <c r="A5" s="13" t="s">
        <v>405</v>
      </c>
      <c r="B5" s="25" t="s">
        <v>173</v>
      </c>
      <c r="C5" s="13" t="s">
        <v>171</v>
      </c>
      <c r="D5" s="13">
        <v>1</v>
      </c>
    </row>
    <row r="6" spans="1:6" ht="15" customHeight="1">
      <c r="A6" s="13" t="s">
        <v>404</v>
      </c>
      <c r="B6" s="25" t="s">
        <v>233</v>
      </c>
      <c r="C6" s="13" t="s">
        <v>171</v>
      </c>
      <c r="D6" s="13">
        <v>1</v>
      </c>
    </row>
    <row r="7" spans="1:6" s="46" customFormat="1" ht="15" customHeight="1">
      <c r="A7" s="47" t="s">
        <v>0</v>
      </c>
      <c r="B7" s="48" t="s">
        <v>278</v>
      </c>
      <c r="C7" s="47"/>
      <c r="D7" s="47"/>
    </row>
    <row r="8" spans="1:6" s="20" customFormat="1" ht="15" customHeight="1">
      <c r="A8" s="19" t="s">
        <v>0</v>
      </c>
      <c r="B8" s="27" t="s">
        <v>284</v>
      </c>
      <c r="C8" s="19"/>
      <c r="D8" s="19"/>
    </row>
    <row r="9" spans="1:6" ht="15" customHeight="1">
      <c r="A9" s="13" t="s">
        <v>403</v>
      </c>
      <c r="B9" s="25" t="s">
        <v>315</v>
      </c>
      <c r="C9" s="13" t="s">
        <v>179</v>
      </c>
      <c r="D9" s="13">
        <v>1</v>
      </c>
    </row>
    <row r="10" spans="1:6" ht="15" customHeight="1">
      <c r="A10" s="13" t="s">
        <v>402</v>
      </c>
      <c r="B10" s="25" t="s">
        <v>316</v>
      </c>
      <c r="C10" s="13" t="s">
        <v>179</v>
      </c>
      <c r="D10" s="13">
        <v>1</v>
      </c>
    </row>
    <row r="11" spans="1:6" ht="15" customHeight="1">
      <c r="A11" s="13" t="s">
        <v>401</v>
      </c>
      <c r="B11" s="25" t="s">
        <v>317</v>
      </c>
      <c r="C11" s="13" t="s">
        <v>179</v>
      </c>
      <c r="D11" s="13">
        <v>1</v>
      </c>
    </row>
    <row r="12" spans="1:6" s="46" customFormat="1" ht="15" customHeight="1">
      <c r="A12" s="47" t="s">
        <v>0</v>
      </c>
      <c r="B12" s="48" t="s">
        <v>282</v>
      </c>
      <c r="C12" s="47"/>
      <c r="D12" s="47"/>
    </row>
    <row r="13" spans="1:6" s="20" customFormat="1" ht="15" customHeight="1">
      <c r="A13" s="19" t="s">
        <v>0</v>
      </c>
      <c r="B13" s="27" t="s">
        <v>283</v>
      </c>
      <c r="C13" s="19"/>
      <c r="D13" s="19"/>
    </row>
    <row r="14" spans="1:6" ht="15" customHeight="1">
      <c r="A14" s="13" t="s">
        <v>400</v>
      </c>
      <c r="B14" s="25" t="s">
        <v>178</v>
      </c>
      <c r="C14" s="13" t="s">
        <v>179</v>
      </c>
      <c r="D14" s="13">
        <v>1</v>
      </c>
    </row>
    <row r="15" spans="1:6" ht="15" customHeight="1">
      <c r="A15" s="13" t="s">
        <v>399</v>
      </c>
      <c r="B15" s="25" t="s">
        <v>180</v>
      </c>
      <c r="C15" s="13" t="s">
        <v>179</v>
      </c>
      <c r="D15" s="13">
        <v>1</v>
      </c>
    </row>
    <row r="16" spans="1:6" ht="15" customHeight="1">
      <c r="A16" s="13" t="s">
        <v>398</v>
      </c>
      <c r="B16" s="25" t="s">
        <v>181</v>
      </c>
      <c r="C16" s="13" t="s">
        <v>179</v>
      </c>
      <c r="D16" s="13">
        <v>1</v>
      </c>
    </row>
    <row r="17" spans="1:4" ht="15" customHeight="1">
      <c r="A17" s="13" t="s">
        <v>397</v>
      </c>
      <c r="B17" s="25" t="s">
        <v>331</v>
      </c>
      <c r="C17" s="13" t="s">
        <v>179</v>
      </c>
      <c r="D17" s="13">
        <v>1</v>
      </c>
    </row>
    <row r="18" spans="1:4" s="46" customFormat="1" ht="15" customHeight="1">
      <c r="A18" s="47" t="s">
        <v>0</v>
      </c>
      <c r="B18" s="46" t="s">
        <v>444</v>
      </c>
      <c r="C18" s="47"/>
      <c r="D18" s="47"/>
    </row>
    <row r="19" spans="1:4" s="20" customFormat="1" ht="15" customHeight="1">
      <c r="A19" s="19" t="s">
        <v>0</v>
      </c>
      <c r="B19" s="20" t="s">
        <v>286</v>
      </c>
      <c r="C19" s="19"/>
      <c r="D19" s="19"/>
    </row>
    <row r="20" spans="1:4" ht="15" customHeight="1">
      <c r="A20" t="s">
        <v>396</v>
      </c>
      <c r="B20" t="s">
        <v>182</v>
      </c>
      <c r="C20" s="13" t="s">
        <v>179</v>
      </c>
      <c r="D20" s="13">
        <v>1</v>
      </c>
    </row>
    <row r="21" spans="1:4" ht="15" customHeight="1">
      <c r="A21" t="s">
        <v>395</v>
      </c>
      <c r="B21" t="s">
        <v>183</v>
      </c>
      <c r="C21" s="13" t="s">
        <v>179</v>
      </c>
      <c r="D21" s="13">
        <v>1</v>
      </c>
    </row>
    <row r="22" spans="1:4" ht="15" customHeight="1">
      <c r="A22" t="s">
        <v>394</v>
      </c>
      <c r="B22" t="s">
        <v>184</v>
      </c>
      <c r="C22" s="13" t="s">
        <v>179</v>
      </c>
      <c r="D22" s="13">
        <v>1</v>
      </c>
    </row>
    <row r="23" spans="1:4" ht="15" customHeight="1">
      <c r="A23" t="s">
        <v>393</v>
      </c>
      <c r="B23" t="s">
        <v>185</v>
      </c>
      <c r="C23" s="13" t="s">
        <v>179</v>
      </c>
      <c r="D23" s="13">
        <v>1</v>
      </c>
    </row>
    <row r="24" spans="1:4" ht="15" customHeight="1">
      <c r="A24" t="s">
        <v>392</v>
      </c>
      <c r="B24" t="s">
        <v>186</v>
      </c>
      <c r="C24" s="13" t="s">
        <v>179</v>
      </c>
      <c r="D24" s="13">
        <v>1</v>
      </c>
    </row>
    <row r="25" spans="1:4" ht="15" customHeight="1">
      <c r="A25" t="s">
        <v>391</v>
      </c>
      <c r="B25" t="s">
        <v>187</v>
      </c>
      <c r="C25" s="13" t="s">
        <v>179</v>
      </c>
      <c r="D25" s="13">
        <v>1</v>
      </c>
    </row>
    <row r="26" spans="1:4" ht="15" customHeight="1">
      <c r="A26" t="s">
        <v>390</v>
      </c>
      <c r="B26" t="s">
        <v>188</v>
      </c>
      <c r="C26" s="13" t="s">
        <v>242</v>
      </c>
      <c r="D26" s="13">
        <v>1</v>
      </c>
    </row>
  </sheetData>
  <pageMargins left="0.7" right="0.7" top="0.75" bottom="0.75" header="0.3" footer="0.3"/>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B19"/>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5" customFormat="1">
      <c r="A1" s="5" t="s">
        <v>493</v>
      </c>
      <c r="B1" s="5" t="s">
        <v>497</v>
      </c>
    </row>
    <row r="2" spans="1:2" ht="15" customHeight="1">
      <c r="A2" s="25" t="s">
        <v>447</v>
      </c>
      <c r="B2" s="13" t="s">
        <v>172</v>
      </c>
    </row>
    <row r="3" spans="1:2" ht="15" customHeight="1">
      <c r="A3" s="25" t="s">
        <v>448</v>
      </c>
      <c r="B3" s="13" t="s">
        <v>172</v>
      </c>
    </row>
    <row r="4" spans="1:2" ht="15" customHeight="1">
      <c r="A4" s="25" t="s">
        <v>449</v>
      </c>
      <c r="B4" s="13" t="s">
        <v>172</v>
      </c>
    </row>
    <row r="5" spans="1:2" ht="15" customHeight="1">
      <c r="A5" s="25" t="s">
        <v>450</v>
      </c>
      <c r="B5" s="13" t="s">
        <v>172</v>
      </c>
    </row>
    <row r="6" spans="1:2" ht="15" customHeight="1">
      <c r="A6" s="25" t="s">
        <v>451</v>
      </c>
      <c r="B6" s="13">
        <v>1</v>
      </c>
    </row>
    <row r="7" spans="1:2" ht="15" customHeight="1">
      <c r="A7" s="25" t="s">
        <v>452</v>
      </c>
      <c r="B7" s="13">
        <v>5</v>
      </c>
    </row>
    <row r="8" spans="1:2" ht="15" customHeight="1">
      <c r="A8" s="25" t="s">
        <v>453</v>
      </c>
      <c r="B8" s="13">
        <v>0.17</v>
      </c>
    </row>
    <row r="9" spans="1:2" ht="15" customHeight="1">
      <c r="A9" s="25" t="s">
        <v>454</v>
      </c>
      <c r="B9" s="13">
        <v>-0.1</v>
      </c>
    </row>
    <row r="10" spans="1:2" ht="15" customHeight="1">
      <c r="A10" s="25" t="s">
        <v>455</v>
      </c>
      <c r="B10" s="13">
        <v>0.2</v>
      </c>
    </row>
    <row r="11" spans="1:2" ht="15" customHeight="1">
      <c r="A11" s="25" t="s">
        <v>456</v>
      </c>
      <c r="B11" s="13">
        <v>-0.8</v>
      </c>
    </row>
    <row r="12" spans="1:2" ht="15" customHeight="1">
      <c r="A12" s="25" t="s">
        <v>457</v>
      </c>
      <c r="B12" s="13">
        <v>100</v>
      </c>
    </row>
    <row r="13" spans="1:2" ht="15" customHeight="1">
      <c r="A13" t="s">
        <v>458</v>
      </c>
      <c r="B13" s="13">
        <v>0</v>
      </c>
    </row>
    <row r="14" spans="1:2" ht="15" customHeight="1">
      <c r="A14" t="s">
        <v>459</v>
      </c>
      <c r="B14" s="13">
        <v>0</v>
      </c>
    </row>
    <row r="15" spans="1:2" ht="15" customHeight="1">
      <c r="A15" t="s">
        <v>460</v>
      </c>
      <c r="B15" s="13">
        <v>0</v>
      </c>
    </row>
    <row r="16" spans="1:2" ht="15" customHeight="1">
      <c r="A16" t="s">
        <v>461</v>
      </c>
      <c r="B16" s="13">
        <v>0</v>
      </c>
    </row>
    <row r="17" spans="1:2" ht="15" customHeight="1">
      <c r="A17" t="s">
        <v>462</v>
      </c>
      <c r="B17" s="13">
        <v>0</v>
      </c>
    </row>
    <row r="18" spans="1:2" ht="15" customHeight="1">
      <c r="A18" t="s">
        <v>463</v>
      </c>
      <c r="B18" s="13">
        <v>0</v>
      </c>
    </row>
    <row r="19" spans="1:2" ht="15" customHeight="1">
      <c r="A19" t="s">
        <v>464</v>
      </c>
      <c r="B19" s="13">
        <v>0</v>
      </c>
    </row>
  </sheetData>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F9"/>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5" customFormat="1">
      <c r="A1" s="5" t="s">
        <v>494</v>
      </c>
      <c r="B1" s="5" t="s">
        <v>493</v>
      </c>
      <c r="C1" s="5" t="s">
        <v>495</v>
      </c>
      <c r="D1" s="5" t="s">
        <v>496</v>
      </c>
      <c r="E1" s="5" t="s">
        <v>502</v>
      </c>
      <c r="F1" s="5" t="s">
        <v>507</v>
      </c>
    </row>
    <row r="2" spans="1:6" ht="15" customHeight="1">
      <c r="A2" s="13" t="s">
        <v>439</v>
      </c>
      <c r="B2" s="25" t="s">
        <v>498</v>
      </c>
      <c r="C2" s="13" t="s">
        <v>179</v>
      </c>
      <c r="D2" s="13">
        <v>6</v>
      </c>
      <c r="E2" s="13" t="s">
        <v>501</v>
      </c>
      <c r="F2" s="15" t="s">
        <v>506</v>
      </c>
    </row>
    <row r="3" spans="1:6" ht="15" customHeight="1">
      <c r="A3" s="13" t="s">
        <v>389</v>
      </c>
      <c r="B3" s="25" t="s">
        <v>310</v>
      </c>
      <c r="C3" s="13" t="s">
        <v>171</v>
      </c>
      <c r="D3" s="13">
        <v>1</v>
      </c>
    </row>
    <row r="4" spans="1:6" ht="15" customHeight="1">
      <c r="A4" s="13" t="s">
        <v>388</v>
      </c>
      <c r="B4" t="s">
        <v>192</v>
      </c>
      <c r="C4" s="13" t="s">
        <v>171</v>
      </c>
      <c r="D4" s="13">
        <v>1</v>
      </c>
    </row>
    <row r="5" spans="1:6" ht="15" customHeight="1">
      <c r="A5" s="13" t="s">
        <v>387</v>
      </c>
      <c r="B5" t="s">
        <v>193</v>
      </c>
      <c r="C5" s="13" t="s">
        <v>171</v>
      </c>
      <c r="D5" s="13">
        <v>1</v>
      </c>
    </row>
    <row r="6" spans="1:6" s="46" customFormat="1" ht="15" customHeight="1">
      <c r="A6" s="46" t="s">
        <v>0</v>
      </c>
      <c r="B6" s="46" t="s">
        <v>291</v>
      </c>
      <c r="C6" s="47"/>
      <c r="D6" s="47"/>
    </row>
    <row r="7" spans="1:6" s="20" customFormat="1" ht="15" customHeight="1">
      <c r="A7" s="20" t="s">
        <v>0</v>
      </c>
      <c r="B7" s="20" t="s">
        <v>289</v>
      </c>
      <c r="C7" s="19"/>
      <c r="D7" s="19"/>
    </row>
    <row r="8" spans="1:6" s="46" customFormat="1" ht="15" customHeight="1">
      <c r="A8" s="46" t="s">
        <v>0</v>
      </c>
      <c r="B8" s="46" t="s">
        <v>292</v>
      </c>
      <c r="C8" s="47"/>
      <c r="D8" s="47"/>
    </row>
    <row r="9" spans="1:6" s="20" customFormat="1" ht="15" customHeight="1">
      <c r="A9" s="20" t="s">
        <v>0</v>
      </c>
      <c r="B9" s="20" t="s">
        <v>295</v>
      </c>
      <c r="C9" s="19"/>
      <c r="D9" s="19"/>
    </row>
  </sheetData>
  <pageMargins left="0.7" right="0.7" top="0.75" bottom="0.75" header="0.3" footer="0.3"/>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B4"/>
  <sheetViews>
    <sheetView workbookViewId="0">
      <pane ySplit="1" topLeftCell="A2" activePane="bottomLeft" state="frozen"/>
      <selection pane="bottomLeft" sqref="A1:XFD1"/>
    </sheetView>
  </sheetViews>
  <sheetFormatPr baseColWidth="10" defaultColWidth="8.83203125" defaultRowHeight="14" x14ac:dyDescent="0"/>
  <cols>
    <col min="1" max="2" width="50" customWidth="1"/>
  </cols>
  <sheetData>
    <row r="1" spans="1:2" s="5" customFormat="1">
      <c r="A1" s="5" t="s">
        <v>493</v>
      </c>
      <c r="B1" s="5" t="s">
        <v>497</v>
      </c>
    </row>
    <row r="2" spans="1:2" ht="15" customHeight="1">
      <c r="A2" s="25" t="s">
        <v>467</v>
      </c>
      <c r="B2" s="13" t="s">
        <v>172</v>
      </c>
    </row>
    <row r="3" spans="1:2" ht="15" customHeight="1">
      <c r="A3" t="s">
        <v>468</v>
      </c>
      <c r="B3" s="13" t="s">
        <v>172</v>
      </c>
    </row>
    <row r="4" spans="1:2" ht="15" customHeight="1">
      <c r="A4" t="s">
        <v>469</v>
      </c>
      <c r="B4" s="13" t="s">
        <v>172</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J20"/>
  <sheetViews>
    <sheetView workbookViewId="0">
      <pane ySplit="1" topLeftCell="A2" activePane="bottomLeft" state="frozen"/>
      <selection pane="bottomLeft"/>
    </sheetView>
  </sheetViews>
  <sheetFormatPr baseColWidth="10" defaultColWidth="8.83203125" defaultRowHeight="14" x14ac:dyDescent="0"/>
  <cols>
    <col min="1" max="3" width="50" customWidth="1"/>
  </cols>
  <sheetData>
    <row r="1" spans="1:6" s="5" customFormat="1">
      <c r="A1" s="5" t="s">
        <v>494</v>
      </c>
      <c r="B1" s="5" t="s">
        <v>493</v>
      </c>
      <c r="C1" s="5" t="s">
        <v>495</v>
      </c>
      <c r="D1" s="5" t="s">
        <v>496</v>
      </c>
      <c r="E1" s="5" t="s">
        <v>502</v>
      </c>
      <c r="F1" s="5" t="s">
        <v>507</v>
      </c>
    </row>
    <row r="2" spans="1:6" s="46" customFormat="1" ht="15" customHeight="1">
      <c r="A2" s="47" t="s">
        <v>0</v>
      </c>
      <c r="B2" s="46" t="s">
        <v>297</v>
      </c>
      <c r="C2" s="47"/>
      <c r="D2" s="47"/>
    </row>
    <row r="3" spans="1:6" ht="15" customHeight="1">
      <c r="A3" s="13" t="s">
        <v>440</v>
      </c>
      <c r="B3" s="25" t="s">
        <v>471</v>
      </c>
      <c r="C3" s="13" t="s">
        <v>179</v>
      </c>
      <c r="D3" s="13">
        <v>1</v>
      </c>
      <c r="E3" s="13" t="s">
        <v>501</v>
      </c>
      <c r="F3" s="15" t="s">
        <v>504</v>
      </c>
    </row>
    <row r="4" spans="1:6" s="24" customFormat="1" ht="15" customHeight="1">
      <c r="A4" s="23" t="s">
        <v>386</v>
      </c>
      <c r="B4" s="24" t="s">
        <v>306</v>
      </c>
      <c r="C4" s="23" t="s">
        <v>171</v>
      </c>
      <c r="D4" s="23">
        <v>1</v>
      </c>
    </row>
    <row r="5" spans="1:6" s="20" customFormat="1" ht="15" customHeight="1">
      <c r="A5" s="19" t="s">
        <v>0</v>
      </c>
      <c r="B5" s="20" t="s">
        <v>300</v>
      </c>
      <c r="C5" s="19"/>
      <c r="D5" s="19"/>
    </row>
    <row r="6" spans="1:6" s="24" customFormat="1" ht="15" customHeight="1">
      <c r="A6" s="23" t="s">
        <v>385</v>
      </c>
      <c r="B6" s="24" t="s">
        <v>302</v>
      </c>
      <c r="C6" s="23" t="s">
        <v>171</v>
      </c>
      <c r="D6" s="23">
        <v>1</v>
      </c>
    </row>
    <row r="7" spans="1:6" ht="15" customHeight="1">
      <c r="A7" s="13" t="s">
        <v>384</v>
      </c>
      <c r="B7" s="24" t="s">
        <v>303</v>
      </c>
      <c r="C7" s="13" t="s">
        <v>179</v>
      </c>
      <c r="D7" s="13">
        <v>1</v>
      </c>
    </row>
    <row r="8" spans="1:6" s="46" customFormat="1" ht="15" customHeight="1">
      <c r="A8" s="47" t="s">
        <v>0</v>
      </c>
      <c r="B8" s="46" t="s">
        <v>304</v>
      </c>
      <c r="C8" s="47"/>
      <c r="D8" s="47"/>
    </row>
    <row r="9" spans="1:6" s="24" customFormat="1" ht="15" customHeight="1">
      <c r="A9" s="23" t="s">
        <v>383</v>
      </c>
      <c r="B9" s="24" t="s">
        <v>226</v>
      </c>
      <c r="C9" s="23" t="s">
        <v>171</v>
      </c>
      <c r="D9" s="23">
        <v>1</v>
      </c>
    </row>
    <row r="10" spans="1:6" s="20" customFormat="1" ht="15" customHeight="1">
      <c r="A10" s="19" t="s">
        <v>0</v>
      </c>
      <c r="B10" s="20" t="s">
        <v>305</v>
      </c>
      <c r="C10" s="19"/>
      <c r="D10" s="19"/>
    </row>
    <row r="11" spans="1:6" s="24" customFormat="1" ht="15" customHeight="1">
      <c r="A11" s="23" t="s">
        <v>382</v>
      </c>
      <c r="B11" s="24" t="s">
        <v>229</v>
      </c>
      <c r="C11" s="23" t="s">
        <v>179</v>
      </c>
      <c r="D11" s="23">
        <v>1</v>
      </c>
    </row>
    <row r="12" spans="1:6" s="24" customFormat="1" ht="15" customHeight="1">
      <c r="A12" s="23" t="s">
        <v>381</v>
      </c>
      <c r="B12" s="24" t="s">
        <v>230</v>
      </c>
      <c r="C12" s="23" t="s">
        <v>179</v>
      </c>
      <c r="D12" s="23">
        <v>1</v>
      </c>
    </row>
    <row r="13" spans="1:6" s="24" customFormat="1" ht="15" customHeight="1">
      <c r="A13" s="23" t="s">
        <v>380</v>
      </c>
      <c r="B13" s="24" t="s">
        <v>231</v>
      </c>
      <c r="C13" s="23" t="s">
        <v>179</v>
      </c>
      <c r="D13" s="23">
        <v>1</v>
      </c>
    </row>
    <row r="14" spans="1:6" s="24" customFormat="1" ht="15" customHeight="1">
      <c r="A14" s="23" t="s">
        <v>379</v>
      </c>
      <c r="B14" s="24" t="s">
        <v>232</v>
      </c>
      <c r="C14" s="23" t="s">
        <v>179</v>
      </c>
      <c r="D14" s="23">
        <v>1</v>
      </c>
    </row>
    <row r="17" spans="1:10" s="24" customFormat="1" ht="15" customHeight="1">
      <c r="A17" s="21"/>
      <c r="B17" s="21"/>
      <c r="C17" s="16"/>
      <c r="D17" s="16"/>
      <c r="F17" s="23"/>
      <c r="G17" s="23"/>
      <c r="H17" s="23"/>
      <c r="I17" s="23"/>
      <c r="J17" s="16"/>
    </row>
    <row r="18" spans="1:10" s="24" customFormat="1" ht="15" customHeight="1">
      <c r="A18" s="21"/>
      <c r="B18" s="21"/>
      <c r="C18" s="16"/>
      <c r="D18" s="16"/>
      <c r="F18" s="23"/>
      <c r="G18" s="23"/>
      <c r="H18" s="23"/>
      <c r="I18" s="23"/>
      <c r="J18" s="16"/>
    </row>
    <row r="19" spans="1:10" s="24" customFormat="1" ht="15" customHeight="1">
      <c r="A19" s="21"/>
      <c r="B19" s="21"/>
      <c r="C19" s="16"/>
      <c r="D19" s="16"/>
      <c r="F19" s="23"/>
      <c r="G19" s="23"/>
      <c r="H19" s="23"/>
      <c r="I19" s="51"/>
      <c r="J19" s="52"/>
    </row>
    <row r="20" spans="1:10" s="24" customFormat="1" ht="15" customHeight="1">
      <c r="A20" s="21"/>
      <c r="B20" s="21"/>
      <c r="C20" s="16"/>
      <c r="D20" s="16"/>
      <c r="F20" s="23"/>
      <c r="G20" s="23"/>
      <c r="H20" s="23"/>
      <c r="I20" s="53"/>
      <c r="J20" s="54"/>
    </row>
  </sheetData>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B9"/>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5" customFormat="1">
      <c r="A1" s="5" t="s">
        <v>493</v>
      </c>
      <c r="B1" s="5" t="s">
        <v>497</v>
      </c>
    </row>
    <row r="2" spans="1:2" s="24" customFormat="1" ht="15" customHeight="1">
      <c r="A2" s="24" t="s">
        <v>473</v>
      </c>
      <c r="B2" s="23" t="s">
        <v>172</v>
      </c>
    </row>
    <row r="3" spans="1:2" s="24" customFormat="1" ht="15" customHeight="1">
      <c r="A3" s="24" t="s">
        <v>474</v>
      </c>
      <c r="B3" s="23" t="s">
        <v>172</v>
      </c>
    </row>
    <row r="4" spans="1:2" ht="15" customHeight="1">
      <c r="A4" s="24" t="s">
        <v>475</v>
      </c>
      <c r="B4" s="13">
        <v>0</v>
      </c>
    </row>
    <row r="5" spans="1:2" s="24" customFormat="1" ht="15" customHeight="1">
      <c r="A5" s="24" t="s">
        <v>476</v>
      </c>
      <c r="B5" s="23" t="s">
        <v>172</v>
      </c>
    </row>
    <row r="6" spans="1:2" s="24" customFormat="1" ht="15" customHeight="1">
      <c r="A6" s="24" t="s">
        <v>477</v>
      </c>
      <c r="B6" s="23">
        <v>46</v>
      </c>
    </row>
    <row r="7" spans="1:2" s="24" customFormat="1" ht="15" customHeight="1">
      <c r="A7" s="24" t="s">
        <v>478</v>
      </c>
      <c r="B7" s="23">
        <v>1</v>
      </c>
    </row>
    <row r="8" spans="1:2" s="24" customFormat="1" ht="15" customHeight="1">
      <c r="A8" s="24" t="s">
        <v>479</v>
      </c>
      <c r="B8" s="61">
        <v>0.66666666666666596</v>
      </c>
    </row>
    <row r="9" spans="1:2" s="24" customFormat="1" ht="15" customHeight="1">
      <c r="A9" s="24" t="s">
        <v>480</v>
      </c>
      <c r="B9" s="62">
        <v>5.33648681640625</v>
      </c>
    </row>
  </sheetData>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F2"/>
  <sheetViews>
    <sheetView workbookViewId="0">
      <pane ySplit="1" topLeftCell="A2" activePane="bottomLeft" state="frozen"/>
      <selection pane="bottomLeft" activeCell="F2" sqref="F2"/>
    </sheetView>
  </sheetViews>
  <sheetFormatPr baseColWidth="10" defaultColWidth="8.83203125" defaultRowHeight="14" x14ac:dyDescent="0"/>
  <cols>
    <col min="1" max="3" width="50" customWidth="1"/>
  </cols>
  <sheetData>
    <row r="1" spans="1:6" s="5" customFormat="1">
      <c r="A1" s="5" t="s">
        <v>494</v>
      </c>
      <c r="B1" s="5" t="s">
        <v>493</v>
      </c>
      <c r="C1" s="5" t="s">
        <v>495</v>
      </c>
      <c r="D1" s="5" t="s">
        <v>496</v>
      </c>
      <c r="E1" s="5" t="s">
        <v>502</v>
      </c>
      <c r="F1" s="5" t="s">
        <v>507</v>
      </c>
    </row>
    <row r="2" spans="1:6" ht="15" customHeight="1">
      <c r="A2" s="13" t="s">
        <v>409</v>
      </c>
      <c r="B2" s="24" t="s">
        <v>196</v>
      </c>
      <c r="C2" s="13" t="s">
        <v>179</v>
      </c>
      <c r="D2" s="13">
        <v>1</v>
      </c>
    </row>
  </sheetData>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B2"/>
  <sheetViews>
    <sheetView workbookViewId="0">
      <pane ySplit="1" topLeftCell="A2" activePane="bottomLeft" state="frozen"/>
      <selection pane="bottomLeft"/>
    </sheetView>
  </sheetViews>
  <sheetFormatPr baseColWidth="10" defaultColWidth="8.83203125" defaultRowHeight="14" x14ac:dyDescent="0"/>
  <cols>
    <col min="1" max="2" width="50" customWidth="1"/>
  </cols>
  <sheetData>
    <row r="1" spans="1:2" s="5" customFormat="1">
      <c r="A1" s="5" t="s">
        <v>493</v>
      </c>
      <c r="B1" s="5" t="s">
        <v>497</v>
      </c>
    </row>
    <row r="2" spans="1:2" ht="15" customHeight="1">
      <c r="A2" s="24" t="s">
        <v>481</v>
      </c>
      <c r="B2" s="13">
        <v>5.0000000000000001E-3</v>
      </c>
    </row>
  </sheetData>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R135"/>
  <sheetViews>
    <sheetView workbookViewId="0">
      <pane ySplit="1" topLeftCell="A2" activePane="bottomLeft" state="frozen"/>
      <selection pane="bottomLeft" activeCell="B82" sqref="B82"/>
    </sheetView>
  </sheetViews>
  <sheetFormatPr baseColWidth="10" defaultColWidth="8.83203125" defaultRowHeight="15" customHeight="1" x14ac:dyDescent="0"/>
  <cols>
    <col min="1" max="2" width="2.83203125" style="15" customWidth="1"/>
    <col min="3" max="4" width="2.83203125" style="1" customWidth="1"/>
    <col min="5" max="5" width="57.1640625" customWidth="1"/>
    <col min="6" max="6" width="34.33203125" style="13" bestFit="1" customWidth="1"/>
    <col min="7" max="7" width="12.33203125" style="13" bestFit="1" customWidth="1"/>
    <col min="8" max="8" width="12.33203125" style="13" customWidth="1"/>
    <col min="9" max="9" width="34.6640625" style="13" bestFit="1" customWidth="1"/>
    <col min="10" max="10" width="2.83203125" style="1" customWidth="1"/>
  </cols>
  <sheetData>
    <row r="1" spans="1:11" s="20" customFormat="1" ht="15" customHeight="1">
      <c r="A1" s="17" t="str">
        <f t="shared" ref="A1:A12" si="0">IF(C1="","",IF(C1="C",CHAR(10) &amp; "// " &amp; E1,IF(C1="I","#define " &amp; E1 &amp; " " &amp; I1,IF(C1="P","#define " &amp; E1 &amp; " """ &amp; F1 &amp; """" &amp; CHAR(10) &amp; "#define DEFAULT_" &amp; E1 &amp; " " &amp; I1,IF(C1="S","","ERROR")))))</f>
        <v xml:space="preserve">
// Math</v>
      </c>
      <c r="B1" s="17" t="str">
        <f t="shared" ref="B1:B2" si="1">IF(C1="","",IF(C1="C","  // "&amp;E1,IF(C1="P",IF(D1="E","  Environment.",IF(D1="S","  Simulation.","ERROR"))&amp;"SetSetting("&amp;E1&amp;", "&amp;G1&amp;", "&amp;H1&amp;");",IF(C1="S",
IF(L1=1,"  for (int i = 0; i &lt; "&amp;N1&amp;"; i++) {"&amp;CHAR(10)&amp;IF(D1="E","    Environment.",IF(D1="S","    Simulation.","ERROR"))&amp;"SetSetting("&amp;M1&amp;" + "&amp;O1&amp;", "&amp;G1&amp;", "&amp;H1&amp;");"&amp;CHAR(10)&amp;"  }",
IF(L1=2,"  for (int i = 0; i &lt; "&amp;N1&amp;"; i++) {"&amp;CHAR(10)&amp;"    for (int j = 0; j &lt; "&amp;Q1&amp;"; j++) {"&amp;CHAR(10)&amp;IF(D1="E","      Environment.",IF(D1="S","      Simulation.","ERROR"))&amp;"SetSetting("&amp;M1&amp;" + "&amp;O1&amp;" + "&amp;P1&amp;" + "&amp;R1&amp;", "&amp;G1&amp;", "&amp;H1&amp;");"&amp;CHAR(10)&amp;"    }"&amp;CHAR(10)&amp;"  }","ERROR")),""))))</f>
        <v xml:space="preserve">  // Math</v>
      </c>
      <c r="C1" s="18" t="s">
        <v>149</v>
      </c>
      <c r="D1" s="18"/>
      <c r="E1" s="20" t="s">
        <v>148</v>
      </c>
      <c r="F1" s="19"/>
      <c r="G1" s="19"/>
      <c r="H1" s="19"/>
      <c r="I1" s="19"/>
      <c r="J1" s="18" t="str">
        <f t="shared" ref="J1:J6" si="2">IF(OR(C1="P",C1="S"),IF(L1="",1,IF(L1=1,N1,IF(L1=2,N1&amp;" * "&amp;Q1,"ERROR"))),"")</f>
        <v/>
      </c>
    </row>
    <row r="2" spans="1:11" s="24" customFormat="1" ht="15" customHeight="1">
      <c r="A2" s="21" t="str">
        <f t="shared" si="0"/>
        <v>#define PI 3.1415926535</v>
      </c>
      <c r="B2" s="21" t="str">
        <f t="shared" si="1"/>
        <v/>
      </c>
      <c r="C2" s="16" t="s">
        <v>137</v>
      </c>
      <c r="D2" s="16"/>
      <c r="E2" s="24" t="s">
        <v>150</v>
      </c>
      <c r="F2" s="23"/>
      <c r="G2" s="23"/>
      <c r="H2" s="23"/>
      <c r="I2" s="28" t="s">
        <v>159</v>
      </c>
      <c r="J2" s="49" t="str">
        <f t="shared" si="2"/>
        <v/>
      </c>
      <c r="K2" s="24" t="s">
        <v>154</v>
      </c>
    </row>
    <row r="3" spans="1:11" s="20" customFormat="1" ht="15" customHeight="1">
      <c r="A3" s="17" t="str">
        <f t="shared" si="0"/>
        <v xml:space="preserve">
// HashTable</v>
      </c>
      <c r="B3" s="17" t="str">
        <f t="shared" ref="B3:B67" si="3">IF(C3="","",IF(C3="C","  // "&amp;E3,IF(C3="P",IF(D3="E","  Variables.",IF(D3="S","  Variables.","ERROR"))&amp;"SetSetting("&amp;E3&amp;", "&amp;G3&amp;", "&amp;H3&amp;");",IF(C3="S",
IF(L3=1,"  for (int i = 0; i &lt; "&amp;N3&amp;"; i++) {"&amp;CHAR(10)&amp;IF(D3="E","    Variables.",IF(D3="S","    Variables.","ERROR"))&amp;"SetSetting("&amp;M3&amp;" + "&amp;O3&amp;", "&amp;G3&amp;", "&amp;H3&amp;");"&amp;CHAR(10)&amp;"  }",
IF(L3=2,"  for (int i = 0; i &lt; "&amp;N3&amp;"; i++) {"&amp;CHAR(10)&amp;"    for (int j = 0; j &lt; "&amp;Q3&amp;"; j++) {"&amp;CHAR(10)&amp;IF(D3="E","      Variables.",IF(D3="S","      Variables.","ERROR"))&amp;"SetSetting("&amp;M3&amp;" + "&amp;O3&amp;" + "&amp;P3&amp;" + "&amp;R3&amp;", "&amp;G3&amp;", "&amp;H3&amp;");"&amp;CHAR(10)&amp;"    }"&amp;CHAR(10)&amp;"  }","ERROR")),""))))</f>
        <v xml:space="preserve">  // HashTable</v>
      </c>
      <c r="C3" s="18" t="s">
        <v>149</v>
      </c>
      <c r="D3" s="18"/>
      <c r="E3" s="20" t="s">
        <v>151</v>
      </c>
      <c r="F3" s="19"/>
      <c r="G3" s="19"/>
      <c r="H3" s="19"/>
      <c r="I3" s="19"/>
      <c r="J3" s="18" t="str">
        <f t="shared" si="2"/>
        <v/>
      </c>
    </row>
    <row r="4" spans="1:11" s="24" customFormat="1" ht="15" customHeight="1">
      <c r="A4" s="21" t="str">
        <f t="shared" si="0"/>
        <v>#define HASH_A 611057</v>
      </c>
      <c r="B4" s="21" t="str">
        <f t="shared" si="3"/>
        <v/>
      </c>
      <c r="C4" s="16" t="s">
        <v>137</v>
      </c>
      <c r="D4" s="16"/>
      <c r="E4" s="24" t="s">
        <v>165</v>
      </c>
      <c r="F4" s="23"/>
      <c r="G4" s="23"/>
      <c r="H4" s="23"/>
      <c r="I4" s="23">
        <v>611057</v>
      </c>
      <c r="J4" s="16" t="str">
        <f t="shared" si="2"/>
        <v/>
      </c>
      <c r="K4" s="24" t="s">
        <v>244</v>
      </c>
    </row>
    <row r="5" spans="1:11" s="24" customFormat="1" ht="15" customHeight="1">
      <c r="A5" s="21" t="str">
        <f t="shared" si="0"/>
        <v>#define HASH_B 286421</v>
      </c>
      <c r="B5" s="21" t="str">
        <f t="shared" si="3"/>
        <v/>
      </c>
      <c r="C5" s="16" t="s">
        <v>137</v>
      </c>
      <c r="D5" s="16"/>
      <c r="E5" s="24" t="s">
        <v>166</v>
      </c>
      <c r="F5" s="23"/>
      <c r="G5" s="23"/>
      <c r="H5" s="23"/>
      <c r="I5" s="23">
        <v>286421</v>
      </c>
      <c r="J5" s="16" t="str">
        <f t="shared" si="2"/>
        <v/>
      </c>
      <c r="K5" s="24" t="s">
        <v>245</v>
      </c>
    </row>
    <row r="6" spans="1:11" s="24" customFormat="1" ht="15" customHeight="1">
      <c r="A6" s="21" t="str">
        <f t="shared" si="0"/>
        <v>#define HASH_C 126989</v>
      </c>
      <c r="B6" s="21" t="str">
        <f t="shared" si="3"/>
        <v/>
      </c>
      <c r="C6" s="16" t="s">
        <v>137</v>
      </c>
      <c r="D6" s="16"/>
      <c r="E6" s="24" t="s">
        <v>152</v>
      </c>
      <c r="F6" s="23"/>
      <c r="G6" s="23"/>
      <c r="H6" s="23"/>
      <c r="I6" s="23">
        <v>126989</v>
      </c>
      <c r="J6" s="16" t="str">
        <f t="shared" si="2"/>
        <v/>
      </c>
      <c r="K6" s="24" t="s">
        <v>246</v>
      </c>
    </row>
    <row r="7" spans="1:11" s="24" customFormat="1" ht="15" customHeight="1">
      <c r="A7" s="21" t="str">
        <f t="shared" si="0"/>
        <v>#define HASH_CAPACITY_MULTIPLICATOR 1.5</v>
      </c>
      <c r="B7" s="21" t="str">
        <f t="shared" si="3"/>
        <v/>
      </c>
      <c r="C7" s="16" t="s">
        <v>137</v>
      </c>
      <c r="D7" s="16"/>
      <c r="E7" s="24" t="s">
        <v>329</v>
      </c>
      <c r="F7" s="23"/>
      <c r="G7" s="23"/>
      <c r="H7" s="23"/>
      <c r="I7" s="23">
        <v>1.5</v>
      </c>
      <c r="J7" s="16"/>
    </row>
    <row r="8" spans="1:11" s="20" customFormat="1" ht="15" customHeight="1">
      <c r="A8" s="17" t="str">
        <f t="shared" si="0"/>
        <v xml:space="preserve">
// HashTables Sizes</v>
      </c>
      <c r="B8" s="17" t="str">
        <f t="shared" si="3"/>
        <v xml:space="preserve">  // HashTables Sizes</v>
      </c>
      <c r="C8" s="18" t="s">
        <v>149</v>
      </c>
      <c r="D8" s="18"/>
      <c r="E8" s="20" t="s">
        <v>322</v>
      </c>
      <c r="F8" s="19"/>
      <c r="G8" s="19"/>
      <c r="H8" s="19"/>
      <c r="I8" s="19"/>
      <c r="J8" s="18" t="str">
        <f>IF(OR(C8="P",C8="S"),IF(L8="",1,IF(L8=1,N8,IF(L8=2,N8&amp;" * "&amp;Q8,"ERROR"))),"")</f>
        <v/>
      </c>
    </row>
    <row r="9" spans="1:11" s="24" customFormat="1" ht="15" customHeight="1">
      <c r="A9" s="21" t="str">
        <f t="shared" si="0"/>
        <v>#define MAX_LINKING_NEURONS MAX_V1_NEURONS + MAX_MT_NEURONS</v>
      </c>
      <c r="B9" s="21" t="str">
        <f t="shared" si="3"/>
        <v/>
      </c>
      <c r="C9" s="16" t="s">
        <v>137</v>
      </c>
      <c r="D9" s="16"/>
      <c r="E9" s="24" t="s">
        <v>321</v>
      </c>
      <c r="F9" s="23"/>
      <c r="G9" s="23"/>
      <c r="H9" s="23"/>
      <c r="I9" s="23" t="str">
        <f>E30&amp;" + "&amp;E63</f>
        <v>MAX_V1_NEURONS + MAX_MT_NEURONS</v>
      </c>
      <c r="J9" s="16"/>
    </row>
    <row r="10" spans="1:11" s="24" customFormat="1" ht="15" customHeight="1">
      <c r="A10" s="21" t="str">
        <f t="shared" si="0"/>
        <v>#define INTERPRETER_MANAGER_COMMANDS_HASH_SIZE 12</v>
      </c>
      <c r="B10" s="21" t="str">
        <f t="shared" si="3"/>
        <v/>
      </c>
      <c r="C10" s="16" t="s">
        <v>137</v>
      </c>
      <c r="D10" s="16"/>
      <c r="E10" s="24" t="s">
        <v>318</v>
      </c>
      <c r="F10" s="23"/>
      <c r="G10" s="23"/>
      <c r="H10" s="23"/>
      <c r="I10" s="23">
        <f>COUNTA(IM.Initialize!A:A)-COUNTIF(IM.Initialize!A:A,"#")-1</f>
        <v>12</v>
      </c>
      <c r="J10" s="16" t="str">
        <f>IF(OR(C10="P",C10="S"),IF(L10="",1,IF(L10=1,N10,IF(L10=2,N10&amp;" * "&amp;Q10,"ERROR"))),"")</f>
        <v/>
      </c>
    </row>
    <row r="11" spans="1:11" s="24" customFormat="1" ht="15" customHeight="1">
      <c r="A11" s="21" t="str">
        <f t="shared" si="0"/>
        <v>#define LOG_MANAGER_MESSAGES_HASH_SIZE 76</v>
      </c>
      <c r="B11" s="21" t="str">
        <f t="shared" si="3"/>
        <v/>
      </c>
      <c r="C11" s="16" t="s">
        <v>137</v>
      </c>
      <c r="D11" s="16"/>
      <c r="E11" s="24" t="s">
        <v>319</v>
      </c>
      <c r="F11" s="23"/>
      <c r="G11" s="23"/>
      <c r="H11" s="23"/>
      <c r="I11" s="23">
        <f>COUNTA(LM.Initialize!A:A)-COUNTIF(LM.Initialize!A:A,"#")</f>
        <v>76</v>
      </c>
      <c r="J11" s="16" t="str">
        <f>IF(OR(C11="P",C11="S"),IF(L11="",1,IF(L11=1,N11,IF(L11=2,N11&amp;" * "&amp;Q11,"ERROR"))),"")</f>
        <v/>
      </c>
    </row>
    <row r="12" spans="1:11" s="24" customFormat="1" ht="15" customHeight="1">
      <c r="A12" s="21" t="str">
        <f t="shared" si="0"/>
        <v>#define SETTINGS_MANAGER_INT_HASH_SIZE 2</v>
      </c>
      <c r="B12" s="21" t="str">
        <f t="shared" si="3"/>
        <v/>
      </c>
      <c r="C12" s="16" t="s">
        <v>137</v>
      </c>
      <c r="D12" s="16"/>
      <c r="E12" s="24" t="s">
        <v>320</v>
      </c>
      <c r="F12" s="23"/>
      <c r="G12" s="23"/>
      <c r="H12" s="23"/>
      <c r="I12" s="23" t="str">
        <f>SUMIFS(J:J,G:G,"=Data_int",C:C,"=P")&amp;CONCATENATEIFS(C1:C515,"S",G1:G515,"Data_int",J1:J515)</f>
        <v>2</v>
      </c>
      <c r="J12" s="16" t="str">
        <f>IF(OR(C12="P",C12="S"),IF(L12="",1,IF(L12=1,N12,IF(L12=2,N12&amp;" * "&amp;Q12,"ERROR"))),"")</f>
        <v/>
      </c>
    </row>
    <row r="13" spans="1:11" s="24" customFormat="1" ht="15" customHeight="1">
      <c r="A13" s="21" t="str">
        <f t="shared" ref="A13:A18" si="4">IF(C13="","",IF(C13="C",CHAR(10) &amp; "// " &amp; E13,IF(C13="I","#define " &amp; E13 &amp; " " &amp; I13,IF(C13="P","#define " &amp; E13 &amp; " """ &amp; F13 &amp; """" &amp; CHAR(10) &amp; "#define DEFAULT_" &amp; E13 &amp; " " &amp; I13,IF(C13="S","","ERROR")))))</f>
        <v>#define SETTINGS_MANAGER_FLOAT_HASH_SIZE 0</v>
      </c>
      <c r="B13" s="21" t="str">
        <f t="shared" si="3"/>
        <v/>
      </c>
      <c r="C13" s="16" t="s">
        <v>137</v>
      </c>
      <c r="D13" s="16"/>
      <c r="E13" s="24" t="s">
        <v>324</v>
      </c>
      <c r="F13" s="23"/>
      <c r="G13" s="23"/>
      <c r="H13" s="23"/>
      <c r="I13" s="23" t="str">
        <f>SUMIFS(J:J,G:G,"=Data_float",C:C,"=P")&amp;CONCATENATEIFS(C1:C515,"S",G1:G515,"Data_float",J1:J515)</f>
        <v>0</v>
      </c>
      <c r="J13" s="16"/>
    </row>
    <row r="14" spans="1:11" s="24" customFormat="1" ht="15" customHeight="1">
      <c r="A14" s="21" t="str">
        <f t="shared" si="4"/>
        <v>#define SETTINGS_MANAGER_DOUBLE_HASH_SIZE 19 + MAX_V1_NEURONS + MAX_MT_NEURONS + MAX_V1_NEURONS * MAX_V1_NEURONS</v>
      </c>
      <c r="B14" s="21" t="str">
        <f t="shared" si="3"/>
        <v/>
      </c>
      <c r="C14" s="16" t="s">
        <v>137</v>
      </c>
      <c r="D14" s="16"/>
      <c r="E14" s="24" t="s">
        <v>323</v>
      </c>
      <c r="F14" s="23"/>
      <c r="G14" s="23"/>
      <c r="H14" s="23"/>
      <c r="I14" s="23" t="str">
        <f>SUMIFS(J:J,G:G,"=Data_double",C:C,"=P")&amp;CONCATENATEIFS(C1:C515,"S",G1:G515,"Data_double",J1:J515)</f>
        <v>19 + MAX_V1_NEURONS + MAX_MT_NEURONS + MAX_V1_NEURONS * MAX_V1_NEURONS</v>
      </c>
      <c r="J14" s="16"/>
    </row>
    <row r="15" spans="1:11" s="24" customFormat="1" ht="15" customHeight="1">
      <c r="A15" s="21" t="str">
        <f t="shared" si="4"/>
        <v>#define SETTINGS_MANAGER_STRING_HASH_SIZE 10</v>
      </c>
      <c r="B15" s="21" t="str">
        <f t="shared" si="3"/>
        <v/>
      </c>
      <c r="C15" s="16" t="s">
        <v>137</v>
      </c>
      <c r="D15" s="16"/>
      <c r="E15" s="24" t="s">
        <v>325</v>
      </c>
      <c r="F15" s="23"/>
      <c r="G15" s="23"/>
      <c r="H15" s="23"/>
      <c r="I15" s="23" t="str">
        <f>SUMIFS(J:J,G:G,"=Data_string",C:C,"=P")&amp;CONCATENATEIFS(C1:C515,"S",G1:G515,"Data_string",J1:J515)</f>
        <v>10</v>
      </c>
      <c r="J15" s="16"/>
    </row>
    <row r="16" spans="1:11" s="24" customFormat="1" ht="15" customHeight="1">
      <c r="A16" s="21" t="str">
        <f t="shared" si="4"/>
        <v>#define SETTINGS_MANAGER_BOOL_HASH_SIZE 2</v>
      </c>
      <c r="B16" s="21" t="str">
        <f t="shared" si="3"/>
        <v/>
      </c>
      <c r="C16" s="16" t="s">
        <v>137</v>
      </c>
      <c r="D16" s="16"/>
      <c r="E16" s="24" t="s">
        <v>326</v>
      </c>
      <c r="F16" s="23"/>
      <c r="G16" s="23"/>
      <c r="H16" s="23"/>
      <c r="I16" s="23" t="str">
        <f>SUMIFS(J:J,G:G,"=Data_bool",C:C,"=P")&amp;CONCATENATEIFS(C1:C515,"S",G1:G515,"Data_bool",J1:J515)</f>
        <v>2</v>
      </c>
      <c r="J16" s="16"/>
    </row>
    <row r="17" spans="1:15" s="24" customFormat="1" ht="15" customHeight="1">
      <c r="A17" s="21" t="str">
        <f t="shared" ref="A17" si="5">IF(C17="","",IF(C17="C",CHAR(10) &amp; "// " &amp; E17,IF(C17="I","#define " &amp; E17 &amp; " " &amp; I17,IF(C17="P","#define " &amp; E17 &amp; " """ &amp; F17 &amp; """" &amp; CHAR(10) &amp; "#define DEFAULT_" &amp; E17 &amp; " " &amp; I17,IF(C17="S","","ERROR")))))</f>
        <v>#define SETTINGS_MANAGER_SETTINGTYPE_HASH_SIZE SETTINGS_MANAGER_INT_HASH_SIZE + SETTINGS_MANAGER_FLOAT_HASH_SIZE + SETTINGS_MANAGER_DOUBLE_HASH_SIZE + SETTINGS_MANAGER_STRING_HASH_SIZE + SETTINGS_MANAGER_BOOL_HASH_SIZE</v>
      </c>
      <c r="B17" s="21" t="str">
        <f t="shared" si="3"/>
        <v/>
      </c>
      <c r="C17" s="16" t="s">
        <v>137</v>
      </c>
      <c r="D17" s="16"/>
      <c r="E17" s="24" t="s">
        <v>328</v>
      </c>
      <c r="F17" s="23"/>
      <c r="G17" s="23"/>
      <c r="H17" s="23"/>
      <c r="I17" s="23" t="str">
        <f>CONCATENATEDELIMETER(E12:E16," + ")</f>
        <v>SETTINGS_MANAGER_INT_HASH_SIZE + SETTINGS_MANAGER_FLOAT_HASH_SIZE + SETTINGS_MANAGER_DOUBLE_HASH_SIZE + SETTINGS_MANAGER_STRING_HASH_SIZE + SETTINGS_MANAGER_BOOL_HASH_SIZE</v>
      </c>
      <c r="J17" s="16"/>
    </row>
    <row r="18" spans="1:15" s="24" customFormat="1" ht="15" customHeight="1">
      <c r="A18" s="21" t="str">
        <f t="shared" si="4"/>
        <v>#define SETTINGS_MANAGER_SETTINGSIZE_HASH_SIZE SETTINGS_MANAGER_INT_HASH_SIZE + SETTINGS_MANAGER_FLOAT_HASH_SIZE + SETTINGS_MANAGER_DOUBLE_HASH_SIZE + SETTINGS_MANAGER_STRING_HASH_SIZE + SETTINGS_MANAGER_BOOL_HASH_SIZE</v>
      </c>
      <c r="B18" s="21" t="str">
        <f t="shared" si="3"/>
        <v/>
      </c>
      <c r="C18" s="16" t="s">
        <v>137</v>
      </c>
      <c r="D18" s="16"/>
      <c r="E18" s="24" t="s">
        <v>327</v>
      </c>
      <c r="F18" s="23"/>
      <c r="G18" s="23"/>
      <c r="H18" s="23"/>
      <c r="I18" s="23" t="str">
        <f>CONCATENATEDELIMETER(E12:E16," + ")</f>
        <v>SETTINGS_MANAGER_INT_HASH_SIZE + SETTINGS_MANAGER_FLOAT_HASH_SIZE + SETTINGS_MANAGER_DOUBLE_HASH_SIZE + SETTINGS_MANAGER_STRING_HASH_SIZE + SETTINGS_MANAGER_BOOL_HASH_SIZE</v>
      </c>
      <c r="J18" s="16"/>
    </row>
    <row r="19" spans="1:15" s="20" customFormat="1" ht="15" customHeight="1">
      <c r="A19" s="17" t="str">
        <f t="shared" ref="A19:A24" si="6">IF(C19="","",IF(C19="C",CHAR(10) &amp; "// " &amp; E19,IF(C19="I","#define " &amp; E19 &amp; " " &amp; I19,IF(C19="P","#define " &amp; E19 &amp; " """ &amp; F19 &amp; """" &amp; CHAR(10) &amp; "#define DEFAULT_" &amp; E19 &amp; " " &amp; I19,IF(C19="S","","ERROR")))))</f>
        <v xml:space="preserve">
// Default Log Verbose Behavior</v>
      </c>
      <c r="B19" s="17" t="str">
        <f t="shared" si="3"/>
        <v xml:space="preserve">  // Default Log Verbose Behavior</v>
      </c>
      <c r="C19" s="18" t="s">
        <v>149</v>
      </c>
      <c r="D19" s="18"/>
      <c r="E19" s="20" t="s">
        <v>275</v>
      </c>
      <c r="F19" s="19"/>
      <c r="G19" s="19"/>
      <c r="H19" s="19"/>
      <c r="I19" s="19"/>
      <c r="J19" s="18" t="str">
        <f t="shared" ref="J19:J52" si="7">IF(OR(C19="P",C19="S"),IF(L19="",1,IF(L19=1,N19,IF(L19=2,N19&amp;" * "&amp;Q19,"ERROR"))),"")</f>
        <v/>
      </c>
    </row>
    <row r="20" spans="1:15" ht="15" customHeight="1">
      <c r="A20" s="15" t="str">
        <f t="shared" si="6"/>
        <v>#define DEFAULT_MESSAGES true</v>
      </c>
      <c r="B20" s="21" t="str">
        <f t="shared" si="3"/>
        <v/>
      </c>
      <c r="C20" s="1" t="s">
        <v>137</v>
      </c>
      <c r="E20" t="s">
        <v>155</v>
      </c>
      <c r="I20" s="26" t="s">
        <v>157</v>
      </c>
      <c r="J20" s="50" t="str">
        <f t="shared" si="7"/>
        <v/>
      </c>
      <c r="K20" t="s">
        <v>161</v>
      </c>
    </row>
    <row r="21" spans="1:15" ht="15" customHeight="1">
      <c r="A21" s="15" t="str">
        <f t="shared" si="6"/>
        <v>#define DEFAULT_SILENT_OUTPUT false</v>
      </c>
      <c r="B21" s="21" t="str">
        <f t="shared" si="3"/>
        <v/>
      </c>
      <c r="C21" s="1" t="s">
        <v>137</v>
      </c>
      <c r="E21" t="s">
        <v>156</v>
      </c>
      <c r="I21" s="26" t="s">
        <v>158</v>
      </c>
      <c r="J21" s="50" t="str">
        <f t="shared" si="7"/>
        <v/>
      </c>
      <c r="K21" t="s">
        <v>162</v>
      </c>
    </row>
    <row r="22" spans="1:15" ht="15" customHeight="1">
      <c r="A22" s="15" t="str">
        <f t="shared" ref="A22" si="8">IF(C22="","",IF(C22="C",CHAR(10) &amp; "// " &amp; E22,IF(C22="I","#define " &amp; E22 &amp; " " &amp; I22,IF(C22="P","#define " &amp; E22 &amp; " """ &amp; F22 &amp; """" &amp; CHAR(10) &amp; "#define DEFAULT_" &amp; E22 &amp; " " &amp; I22,IF(C22="S","","ERROR")))))</f>
        <v>#define DEFAULT_FULL_SILENT_OUTPUT false</v>
      </c>
      <c r="B22" s="21" t="str">
        <f t="shared" ref="B22" si="9">IF(C22="","",IF(C22="C","  // "&amp;E22,IF(C22="P",IF(D22="E","  Variables.",IF(D22="S","  Variables.","ERROR"))&amp;"SetSetting("&amp;E22&amp;", "&amp;G22&amp;", "&amp;H22&amp;");",IF(C22="S",
IF(L22=1,"  for (int i = 0; i &lt; "&amp;N22&amp;"; i++) {"&amp;CHAR(10)&amp;IF(D22="E","    Variables.",IF(D22="S","    Variables.","ERROR"))&amp;"SetSetting("&amp;M22&amp;" + "&amp;O22&amp;", "&amp;G22&amp;", "&amp;H22&amp;");"&amp;CHAR(10)&amp;"  }",
IF(L22=2,"  for (int i = 0; i &lt; "&amp;N22&amp;"; i++) {"&amp;CHAR(10)&amp;"    for (int j = 0; j &lt; "&amp;Q22&amp;"; j++) {"&amp;CHAR(10)&amp;IF(D22="E","      Variables.",IF(D22="S","      Variables.","ERROR"))&amp;"SetSetting("&amp;M22&amp;" + "&amp;O22&amp;" + "&amp;P22&amp;" + "&amp;R22&amp;", "&amp;G22&amp;", "&amp;H22&amp;");"&amp;CHAR(10)&amp;"    }"&amp;CHAR(10)&amp;"  }","ERROR")),""))))</f>
        <v/>
      </c>
      <c r="C22" s="1" t="s">
        <v>137</v>
      </c>
      <c r="E22" t="s">
        <v>426</v>
      </c>
      <c r="I22" s="26" t="s">
        <v>158</v>
      </c>
      <c r="J22" s="50" t="str">
        <f t="shared" ref="J22" si="10">IF(OR(C22="P",C22="S"),IF(L22="",1,IF(L22=1,N22,IF(L22=2,N22&amp;" * "&amp;Q22,"ERROR"))),"")</f>
        <v/>
      </c>
    </row>
    <row r="23" spans="1:15" s="20" customFormat="1" ht="15" customHeight="1">
      <c r="A23" s="17" t="str">
        <f t="shared" si="6"/>
        <v xml:space="preserve">
// Environment Variables</v>
      </c>
      <c r="B23" s="17" t="str">
        <f t="shared" si="3"/>
        <v xml:space="preserve">  // Environment Variables</v>
      </c>
      <c r="C23" s="18" t="s">
        <v>149</v>
      </c>
      <c r="D23" s="18"/>
      <c r="E23" s="20" t="s">
        <v>160</v>
      </c>
      <c r="F23" s="19"/>
      <c r="G23" s="19"/>
      <c r="H23" s="19"/>
      <c r="I23" s="19"/>
      <c r="J23" s="18" t="str">
        <f t="shared" si="7"/>
        <v/>
      </c>
    </row>
    <row r="24" spans="1:15" ht="15" customHeight="1">
      <c r="A24" s="15" t="str">
        <f t="shared" si="6"/>
        <v>#define HIDE_END "ENV:hide_end"
#define DEFAULT_HIDE_END false</v>
      </c>
      <c r="B24" s="21" t="str">
        <f t="shared" si="3"/>
        <v xml:space="preserve">  Variables.SetSetting(HIDE_END, Data_bool, 1);</v>
      </c>
      <c r="C24" s="1" t="s">
        <v>163</v>
      </c>
      <c r="D24" s="1" t="s">
        <v>235</v>
      </c>
      <c r="E24" s="25" t="s">
        <v>251</v>
      </c>
      <c r="F24" s="13" t="s">
        <v>408</v>
      </c>
      <c r="G24" s="13" t="s">
        <v>164</v>
      </c>
      <c r="H24" s="13">
        <v>1</v>
      </c>
      <c r="I24" s="26" t="s">
        <v>158</v>
      </c>
      <c r="J24" s="50">
        <f t="shared" si="7"/>
        <v>1</v>
      </c>
      <c r="K24" s="13" t="s">
        <v>252</v>
      </c>
    </row>
    <row r="25" spans="1:15" ht="15" customHeight="1">
      <c r="A25" s="15" t="str">
        <f t="shared" ref="A25:A26" si="11">IF(C25="","",IF(C25="C",CHAR(10) &amp; "// " &amp; E25,IF(C25="I","#define " &amp; E25 &amp; " " &amp; I25,IF(C25="P","#define " &amp; E25 &amp; " """ &amp; F25 &amp; """" &amp; CHAR(10) &amp; "#define DEFAULT_" &amp; E25 &amp; " " &amp; I25,IF(C25="S","","ERROR")))))</f>
        <v>#define MAX_NPROC_NESTING "ENV:max_nproc_nesting"
#define DEFAULT_MAX_NPROC_NESTING 10</v>
      </c>
      <c r="B25" s="21" t="str">
        <f t="shared" ref="B25:B26" si="12">IF(C25="","",IF(C25="C","  // "&amp;E25,IF(C25="P",IF(D25="E","  Variables.",IF(D25="S","  Variables.","ERROR"))&amp;"SetSetting("&amp;E25&amp;", "&amp;G25&amp;", "&amp;H25&amp;");",IF(C25="S",
IF(L25=1,"  for (int i = 0; i &lt; "&amp;N25&amp;"; i++) {"&amp;CHAR(10)&amp;IF(D25="E","    Variables.",IF(D25="S","    Variables.","ERROR"))&amp;"SetSetting("&amp;M25&amp;" + "&amp;O25&amp;", "&amp;G25&amp;", "&amp;H25&amp;");"&amp;CHAR(10)&amp;"  }",
IF(L25=2,"  for (int i = 0; i &lt; "&amp;N25&amp;"; i++) {"&amp;CHAR(10)&amp;"    for (int j = 0; j &lt; "&amp;Q25&amp;"; j++) {"&amp;CHAR(10)&amp;IF(D25="E","      Variables.",IF(D25="S","      Variables.","ERROR"))&amp;"SetSetting("&amp;M25&amp;" + "&amp;O25&amp;" + "&amp;P25&amp;" + "&amp;R25&amp;", "&amp;G25&amp;", "&amp;H25&amp;");"&amp;CHAR(10)&amp;"    }"&amp;CHAR(10)&amp;"  }","ERROR")),""))))</f>
        <v xml:space="preserve">  Variables.SetSetting(MAX_NPROC_NESTING, Data_int, 1);</v>
      </c>
      <c r="C25" s="1" t="s">
        <v>163</v>
      </c>
      <c r="D25" s="1" t="s">
        <v>235</v>
      </c>
      <c r="E25" s="25" t="s">
        <v>422</v>
      </c>
      <c r="F25" s="13" t="s">
        <v>421</v>
      </c>
      <c r="G25" s="13" t="s">
        <v>242</v>
      </c>
      <c r="H25" s="13">
        <v>1</v>
      </c>
      <c r="I25" s="26">
        <v>10</v>
      </c>
      <c r="J25" s="50">
        <f t="shared" si="7"/>
        <v>1</v>
      </c>
      <c r="K25" s="13" t="s">
        <v>423</v>
      </c>
    </row>
    <row r="26" spans="1:15" ht="15" customHeight="1">
      <c r="A26" s="15" t="str">
        <f t="shared" si="11"/>
        <v>#define SHOW_ELAPSED_TIME "ENV:show_elapsed_time"
#define DEFAULT_SHOW_ELAPSED_TIME false</v>
      </c>
      <c r="B26" s="21" t="str">
        <f t="shared" si="12"/>
        <v xml:space="preserve">  Variables.SetSetting(SHOW_ELAPSED_TIME, Data_bool, 1);</v>
      </c>
      <c r="C26" s="1" t="s">
        <v>163</v>
      </c>
      <c r="D26" s="1" t="s">
        <v>235</v>
      </c>
      <c r="E26" s="25" t="s">
        <v>433</v>
      </c>
      <c r="F26" s="13" t="s">
        <v>434</v>
      </c>
      <c r="G26" s="13" t="s">
        <v>164</v>
      </c>
      <c r="H26" s="13">
        <v>1</v>
      </c>
      <c r="I26" s="26" t="s">
        <v>158</v>
      </c>
      <c r="J26" s="50">
        <f t="shared" si="7"/>
        <v>1</v>
      </c>
      <c r="K26" s="13"/>
    </row>
    <row r="27" spans="1:15" s="42" customFormat="1" ht="15" customHeight="1">
      <c r="A27" s="40" t="str">
        <f t="shared" ref="A27:A59" si="13">IF(C27="","",IF(C27="C",CHAR(10) &amp; "// " &amp; E27,IF(C27="I","#define " &amp; E27 &amp; " " &amp; I27,IF(C27="P","#define " &amp; E27 &amp; " """ &amp; F27 &amp; """" &amp; CHAR(10) &amp; "#define DEFAULT_" &amp; E27 &amp; " " &amp; I27,IF(C27="S","","ERROR")))))</f>
        <v xml:space="preserve">
// V1 Neuron Settings</v>
      </c>
      <c r="B27" s="40" t="str">
        <f t="shared" si="3"/>
        <v xml:space="preserve">  // V1 Neuron Settings</v>
      </c>
      <c r="C27" s="41" t="s">
        <v>149</v>
      </c>
      <c r="D27" s="41"/>
      <c r="E27" s="42" t="s">
        <v>287</v>
      </c>
      <c r="F27" s="43"/>
      <c r="G27" s="43"/>
      <c r="H27" s="43"/>
      <c r="I27" s="43"/>
      <c r="J27" s="41" t="str">
        <f t="shared" si="7"/>
        <v/>
      </c>
    </row>
    <row r="28" spans="1:15" s="20" customFormat="1" ht="15" customHeight="1">
      <c r="A28" s="17" t="str">
        <f t="shared" si="13"/>
        <v xml:space="preserve">
// V1 Neuron Parameters</v>
      </c>
      <c r="B28" s="17" t="str">
        <f t="shared" si="3"/>
        <v xml:space="preserve">  // V1 Neuron Parameters</v>
      </c>
      <c r="C28" s="18" t="s">
        <v>149</v>
      </c>
      <c r="D28" s="18"/>
      <c r="E28" s="20" t="s">
        <v>167</v>
      </c>
      <c r="F28" s="19"/>
      <c r="G28" s="19"/>
      <c r="H28" s="19"/>
      <c r="I28" s="19"/>
      <c r="J28" s="18" t="str">
        <f t="shared" si="7"/>
        <v/>
      </c>
    </row>
    <row r="29" spans="1:15" s="24" customFormat="1" ht="15" customHeight="1">
      <c r="A29" s="21" t="str">
        <f t="shared" si="13"/>
        <v>#define V1_LABEL "V1"</v>
      </c>
      <c r="B29" s="21" t="str">
        <f t="shared" si="3"/>
        <v/>
      </c>
      <c r="C29" s="16" t="s">
        <v>137</v>
      </c>
      <c r="D29" s="16"/>
      <c r="E29" s="29" t="s">
        <v>236</v>
      </c>
      <c r="F29" s="23"/>
      <c r="G29" s="23"/>
      <c r="H29" s="23"/>
      <c r="I29" s="23" t="s">
        <v>237</v>
      </c>
      <c r="J29" s="16" t="str">
        <f t="shared" si="7"/>
        <v/>
      </c>
    </row>
    <row r="30" spans="1:15" ht="15" customHeight="1">
      <c r="A30" s="15" t="str">
        <f t="shared" si="13"/>
        <v>#define MAX_V1_NEURONS 600</v>
      </c>
      <c r="B30" s="21" t="str">
        <f t="shared" si="3"/>
        <v/>
      </c>
      <c r="C30" s="1" t="s">
        <v>137</v>
      </c>
      <c r="E30" s="25" t="s">
        <v>168</v>
      </c>
      <c r="I30" s="13">
        <v>600</v>
      </c>
      <c r="J30" s="1" t="str">
        <f t="shared" si="7"/>
        <v/>
      </c>
      <c r="K30" t="s">
        <v>277</v>
      </c>
    </row>
    <row r="31" spans="1:15" ht="15" customHeight="1">
      <c r="A31" s="15" t="str">
        <f t="shared" si="13"/>
        <v/>
      </c>
      <c r="B31" s="21" t="str">
        <f t="shared" si="3"/>
        <v xml:space="preserve">  for (int i = 0; i &lt; MAX_V1_NEURONS; i++) {
    Variables.SetSetting(string("SIM:") + V1_LABEL + string("'") + IIntToString(i), Data_double, 8);
  }</v>
      </c>
      <c r="C31" s="1" t="s">
        <v>234</v>
      </c>
      <c r="D31" s="1" t="s">
        <v>234</v>
      </c>
      <c r="E31" s="25"/>
      <c r="G31" s="13" t="s">
        <v>179</v>
      </c>
      <c r="H31" s="13">
        <v>8</v>
      </c>
      <c r="J31" s="1" t="str">
        <f t="shared" si="7"/>
        <v>MAX_V1_NEURONS</v>
      </c>
      <c r="L31">
        <v>1</v>
      </c>
      <c r="M31" t="s">
        <v>410</v>
      </c>
      <c r="N31" t="s">
        <v>168</v>
      </c>
      <c r="O31" t="s">
        <v>419</v>
      </c>
    </row>
    <row r="32" spans="1:15" ht="15" customHeight="1">
      <c r="A32" s="15" t="str">
        <f t="shared" si="13"/>
        <v>#define V1_FIRST_CALCULATION "SIM:V1_first_calculation"
#define DEFAULT_V1_FIRST_CALCULATION "none"</v>
      </c>
      <c r="B32" s="21" t="str">
        <f t="shared" si="3"/>
        <v xml:space="preserve">  Variables.SetSetting(V1_FIRST_CALCULATION, Data_string, 1);</v>
      </c>
      <c r="C32" s="1" t="s">
        <v>163</v>
      </c>
      <c r="D32" s="1" t="s">
        <v>234</v>
      </c>
      <c r="E32" s="25" t="s">
        <v>308</v>
      </c>
      <c r="F32" s="13" t="s">
        <v>407</v>
      </c>
      <c r="G32" s="13" t="s">
        <v>171</v>
      </c>
      <c r="H32" s="13">
        <v>1</v>
      </c>
      <c r="I32" s="13" t="s">
        <v>172</v>
      </c>
      <c r="J32" s="1">
        <f t="shared" si="7"/>
        <v>1</v>
      </c>
      <c r="K32" t="s">
        <v>309</v>
      </c>
    </row>
    <row r="33" spans="1:11" ht="15" customHeight="1">
      <c r="A33" s="15" t="str">
        <f t="shared" si="13"/>
        <v>#define V1_ACTIVATION_METHOD "SIM:V1_act_method"
#define DEFAULT_V1_ACTIVATION_METHOD "none"</v>
      </c>
      <c r="B33" s="21" t="str">
        <f t="shared" si="3"/>
        <v xml:space="preserve">  Variables.SetSetting(V1_ACTIVATION_METHOD, Data_string, 1);</v>
      </c>
      <c r="C33" s="1" t="s">
        <v>163</v>
      </c>
      <c r="D33" s="1" t="s">
        <v>234</v>
      </c>
      <c r="E33" s="25" t="s">
        <v>170</v>
      </c>
      <c r="F33" s="13" t="s">
        <v>406</v>
      </c>
      <c r="G33" s="13" t="s">
        <v>171</v>
      </c>
      <c r="H33" s="13">
        <v>1</v>
      </c>
      <c r="I33" s="13" t="s">
        <v>172</v>
      </c>
      <c r="J33" s="1">
        <f t="shared" si="7"/>
        <v>1</v>
      </c>
      <c r="K33" t="s">
        <v>175</v>
      </c>
    </row>
    <row r="34" spans="1:11" ht="15" customHeight="1">
      <c r="A34" s="15" t="str">
        <f t="shared" si="13"/>
        <v>#define V1_DACTIVATION_METHOD "SIM:V1_dac_method"
#define DEFAULT_V1_DACTIVATION_METHOD "none"</v>
      </c>
      <c r="B34" s="21" t="str">
        <f t="shared" si="3"/>
        <v xml:space="preserve">  Variables.SetSetting(V1_DACTIVATION_METHOD, Data_string, 1);</v>
      </c>
      <c r="C34" s="1" t="s">
        <v>163</v>
      </c>
      <c r="D34" s="1" t="s">
        <v>234</v>
      </c>
      <c r="E34" s="25" t="s">
        <v>173</v>
      </c>
      <c r="F34" s="13" t="s">
        <v>405</v>
      </c>
      <c r="G34" s="13" t="s">
        <v>171</v>
      </c>
      <c r="H34" s="13">
        <v>1</v>
      </c>
      <c r="I34" s="13" t="s">
        <v>172</v>
      </c>
      <c r="J34" s="1">
        <f t="shared" si="7"/>
        <v>1</v>
      </c>
      <c r="K34" t="s">
        <v>174</v>
      </c>
    </row>
    <row r="35" spans="1:11" ht="15" customHeight="1">
      <c r="A35" s="15" t="str">
        <f t="shared" si="13"/>
        <v>#define V1_EXTERNAL_EXCITATION_METHOD "SIM:V1_external_excitation_method"
#define DEFAULT_V1_EXTERNAL_EXCITATION_METHOD "none"</v>
      </c>
      <c r="B35" s="21" t="str">
        <f t="shared" si="3"/>
        <v xml:space="preserve">  Variables.SetSetting(V1_EXTERNAL_EXCITATION_METHOD, Data_string, 1);</v>
      </c>
      <c r="C35" s="1" t="s">
        <v>163</v>
      </c>
      <c r="D35" s="1" t="s">
        <v>234</v>
      </c>
      <c r="E35" s="25" t="s">
        <v>233</v>
      </c>
      <c r="F35" s="13" t="s">
        <v>404</v>
      </c>
      <c r="G35" s="13" t="s">
        <v>171</v>
      </c>
      <c r="H35" s="13">
        <v>1</v>
      </c>
      <c r="I35" s="13" t="s">
        <v>172</v>
      </c>
      <c r="J35" s="1">
        <f t="shared" si="7"/>
        <v>1</v>
      </c>
    </row>
    <row r="36" spans="1:11" s="46" customFormat="1" ht="15" customHeight="1">
      <c r="A36" s="44" t="str">
        <f t="shared" si="13"/>
        <v xml:space="preserve">
// V1 Activation Methods</v>
      </c>
      <c r="B36" s="44" t="str">
        <f t="shared" si="3"/>
        <v xml:space="preserve">  // V1 Activation Methods</v>
      </c>
      <c r="C36" s="45" t="s">
        <v>149</v>
      </c>
      <c r="D36" s="45"/>
      <c r="E36" s="48" t="s">
        <v>278</v>
      </c>
      <c r="F36" s="47"/>
      <c r="G36" s="47"/>
      <c r="H36" s="47"/>
      <c r="I36" s="47"/>
      <c r="J36" s="45" t="str">
        <f t="shared" si="7"/>
        <v/>
      </c>
    </row>
    <row r="37" spans="1:11" ht="15" customHeight="1">
      <c r="A37" s="15" t="str">
        <f t="shared" si="13"/>
        <v>#define V1_A001 "V1_A001"</v>
      </c>
      <c r="B37" s="21" t="str">
        <f t="shared" si="3"/>
        <v/>
      </c>
      <c r="C37" s="1" t="s">
        <v>137</v>
      </c>
      <c r="E37" s="25" t="s">
        <v>279</v>
      </c>
      <c r="I37" s="13" t="s">
        <v>280</v>
      </c>
      <c r="J37" s="1" t="str">
        <f t="shared" si="7"/>
        <v/>
      </c>
      <c r="K37" t="s">
        <v>281</v>
      </c>
    </row>
    <row r="38" spans="1:11" s="20" customFormat="1" ht="15" customHeight="1">
      <c r="A38" s="17" t="str">
        <f t="shared" si="13"/>
        <v xml:space="preserve">
// V1_A001 Method Parameters</v>
      </c>
      <c r="B38" s="17" t="str">
        <f t="shared" si="3"/>
        <v xml:space="preserve">  // V1_A001 Method Parameters</v>
      </c>
      <c r="C38" s="18" t="s">
        <v>149</v>
      </c>
      <c r="D38" s="18"/>
      <c r="E38" s="27" t="s">
        <v>284</v>
      </c>
      <c r="F38" s="19"/>
      <c r="G38" s="19"/>
      <c r="H38" s="19"/>
      <c r="I38" s="19"/>
      <c r="J38" s="18" t="str">
        <f t="shared" si="7"/>
        <v/>
      </c>
    </row>
    <row r="39" spans="1:11" ht="15" customHeight="1">
      <c r="A39" s="15" t="str">
        <f t="shared" si="13"/>
        <v>#define V1_A001_NL_MAX "SIM:V1_A001_nl_max"
#define DEFAULT_V1_A001_NL_MAX 1</v>
      </c>
      <c r="B39" s="21" t="str">
        <f t="shared" si="3"/>
        <v xml:space="preserve">  Variables.SetSetting(V1_A001_NL_MAX, Data_double, 1);</v>
      </c>
      <c r="C39" s="1" t="s">
        <v>163</v>
      </c>
      <c r="D39" s="1" t="s">
        <v>234</v>
      </c>
      <c r="E39" s="25" t="s">
        <v>315</v>
      </c>
      <c r="F39" s="13" t="s">
        <v>403</v>
      </c>
      <c r="G39" s="13" t="s">
        <v>179</v>
      </c>
      <c r="H39" s="13">
        <v>1</v>
      </c>
      <c r="I39" s="13">
        <v>1</v>
      </c>
      <c r="J39" s="1">
        <f t="shared" si="7"/>
        <v>1</v>
      </c>
    </row>
    <row r="40" spans="1:11" ht="15" customHeight="1">
      <c r="A40" s="15" t="str">
        <f t="shared" si="13"/>
        <v>#define V1_A001_NL_A "SIM:V1_A001_nl_a"
#define DEFAULT_V1_A001_NL_A 5</v>
      </c>
      <c r="B40" s="21" t="str">
        <f t="shared" si="3"/>
        <v xml:space="preserve">  Variables.SetSetting(V1_A001_NL_A, Data_double, 1);</v>
      </c>
      <c r="C40" s="1" t="s">
        <v>163</v>
      </c>
      <c r="D40" s="1" t="s">
        <v>234</v>
      </c>
      <c r="E40" s="25" t="s">
        <v>316</v>
      </c>
      <c r="F40" s="13" t="s">
        <v>402</v>
      </c>
      <c r="G40" s="13" t="s">
        <v>179</v>
      </c>
      <c r="H40" s="13">
        <v>1</v>
      </c>
      <c r="I40" s="13">
        <v>5</v>
      </c>
      <c r="J40" s="1">
        <f t="shared" si="7"/>
        <v>1</v>
      </c>
    </row>
    <row r="41" spans="1:11" ht="15" customHeight="1">
      <c r="A41" s="15" t="str">
        <f t="shared" si="13"/>
        <v>#define V1_A001_NL_B "SIM:V1_A001_nl_b"
#define DEFAULT_V1_A001_NL_B 0.17</v>
      </c>
      <c r="B41" s="21" t="str">
        <f t="shared" si="3"/>
        <v xml:space="preserve">  Variables.SetSetting(V1_A001_NL_B, Data_double, 1);</v>
      </c>
      <c r="C41" s="1" t="s">
        <v>163</v>
      </c>
      <c r="D41" s="1" t="s">
        <v>234</v>
      </c>
      <c r="E41" s="25" t="s">
        <v>317</v>
      </c>
      <c r="F41" s="13" t="s">
        <v>401</v>
      </c>
      <c r="G41" s="13" t="s">
        <v>179</v>
      </c>
      <c r="H41" s="13">
        <v>1</v>
      </c>
      <c r="I41" s="13">
        <v>0.17</v>
      </c>
      <c r="J41" s="1">
        <f t="shared" si="7"/>
        <v>1</v>
      </c>
    </row>
    <row r="42" spans="1:11" s="20" customFormat="1" ht="15" customHeight="1">
      <c r="A42" s="17" t="str">
        <f t="shared" si="13"/>
        <v xml:space="preserve">
// None</v>
      </c>
      <c r="B42" s="17" t="str">
        <f t="shared" si="3"/>
        <v xml:space="preserve">  // None</v>
      </c>
      <c r="C42" s="18" t="s">
        <v>149</v>
      </c>
      <c r="D42" s="18"/>
      <c r="E42" s="27" t="s">
        <v>290</v>
      </c>
      <c r="F42" s="19"/>
      <c r="G42" s="19"/>
      <c r="H42" s="19"/>
      <c r="I42" s="19"/>
      <c r="J42" s="18" t="str">
        <f t="shared" si="7"/>
        <v/>
      </c>
    </row>
    <row r="43" spans="1:11" s="46" customFormat="1" ht="15" customHeight="1">
      <c r="A43" s="44" t="str">
        <f t="shared" si="13"/>
        <v xml:space="preserve">
// V1 Derivate Activation Methods</v>
      </c>
      <c r="B43" s="44" t="str">
        <f t="shared" si="3"/>
        <v xml:space="preserve">  // V1 Derivate Activation Methods</v>
      </c>
      <c r="C43" s="45" t="s">
        <v>149</v>
      </c>
      <c r="D43" s="45"/>
      <c r="E43" s="48" t="s">
        <v>282</v>
      </c>
      <c r="F43" s="47"/>
      <c r="G43" s="47"/>
      <c r="H43" s="47"/>
      <c r="I43" s="47"/>
      <c r="J43" s="45" t="str">
        <f t="shared" si="7"/>
        <v/>
      </c>
    </row>
    <row r="44" spans="1:11" ht="15" customHeight="1">
      <c r="A44" s="15" t="str">
        <f t="shared" si="13"/>
        <v>#define V1_D001 "V1_D001"</v>
      </c>
      <c r="B44" s="21" t="str">
        <f t="shared" si="3"/>
        <v/>
      </c>
      <c r="C44" s="1" t="s">
        <v>137</v>
      </c>
      <c r="E44" s="25" t="s">
        <v>176</v>
      </c>
      <c r="I44" s="13" t="s">
        <v>222</v>
      </c>
      <c r="J44" s="1" t="str">
        <f t="shared" si="7"/>
        <v/>
      </c>
      <c r="K44" t="s">
        <v>177</v>
      </c>
    </row>
    <row r="45" spans="1:11" s="20" customFormat="1" ht="15" customHeight="1">
      <c r="A45" s="17" t="str">
        <f t="shared" si="13"/>
        <v xml:space="preserve">
// V1_D001 Method Parameters</v>
      </c>
      <c r="B45" s="17" t="str">
        <f t="shared" si="3"/>
        <v xml:space="preserve">  // V1_D001 Method Parameters</v>
      </c>
      <c r="C45" s="18" t="s">
        <v>149</v>
      </c>
      <c r="D45" s="18"/>
      <c r="E45" s="27" t="s">
        <v>283</v>
      </c>
      <c r="F45" s="19"/>
      <c r="G45" s="19"/>
      <c r="H45" s="19"/>
      <c r="I45" s="19"/>
      <c r="J45" s="18" t="str">
        <f t="shared" si="7"/>
        <v/>
      </c>
    </row>
    <row r="46" spans="1:11" ht="15" customHeight="1">
      <c r="A46" s="15" t="str">
        <f t="shared" si="13"/>
        <v>#define V1_D001_CONDUCTANCE_LEAK "SIM:V1_D001_conductance_leak"
#define DEFAULT_V1_D001_CONDUCTANCE_LEAK -0.1</v>
      </c>
      <c r="B46" s="21" t="str">
        <f t="shared" si="3"/>
        <v xml:space="preserve">  Variables.SetSetting(V1_D001_CONDUCTANCE_LEAK, Data_double, 1);</v>
      </c>
      <c r="C46" s="1" t="s">
        <v>163</v>
      </c>
      <c r="D46" s="1" t="s">
        <v>234</v>
      </c>
      <c r="E46" s="25" t="s">
        <v>178</v>
      </c>
      <c r="F46" s="13" t="s">
        <v>400</v>
      </c>
      <c r="G46" s="13" t="s">
        <v>179</v>
      </c>
      <c r="H46" s="13">
        <v>1</v>
      </c>
      <c r="I46" s="13">
        <v>-0.1</v>
      </c>
      <c r="J46" s="1">
        <f t="shared" si="7"/>
        <v>1</v>
      </c>
    </row>
    <row r="47" spans="1:11" ht="15" customHeight="1">
      <c r="A47" s="15" t="str">
        <f t="shared" si="13"/>
        <v>#define V1_D001_EXCITATORY_FACTOR "SIM:V1_D001_excitatory_factor"
#define DEFAULT_V1_D001_EXCITATORY_FACTOR 0.2</v>
      </c>
      <c r="B47" s="21" t="str">
        <f t="shared" si="3"/>
        <v xml:space="preserve">  Variables.SetSetting(V1_D001_EXCITATORY_FACTOR, Data_double, 1);</v>
      </c>
      <c r="C47" s="1" t="s">
        <v>163</v>
      </c>
      <c r="D47" s="1" t="s">
        <v>234</v>
      </c>
      <c r="E47" s="25" t="s">
        <v>180</v>
      </c>
      <c r="F47" s="13" t="s">
        <v>399</v>
      </c>
      <c r="G47" s="13" t="s">
        <v>179</v>
      </c>
      <c r="H47" s="13">
        <v>1</v>
      </c>
      <c r="I47" s="13">
        <v>0.2</v>
      </c>
      <c r="J47" s="1">
        <f t="shared" si="7"/>
        <v>1</v>
      </c>
    </row>
    <row r="48" spans="1:11" ht="15" customHeight="1">
      <c r="A48" s="15" t="str">
        <f t="shared" si="13"/>
        <v>#define V1_D001_INHIBITION_FACTOR "SIM:V1_D001_inhibition_factor"
#define DEFAULT_V1_D001_INHIBITION_FACTOR -0.8</v>
      </c>
      <c r="B48" s="21" t="str">
        <f t="shared" si="3"/>
        <v xml:space="preserve">  Variables.SetSetting(V1_D001_INHIBITION_FACTOR, Data_double, 1);</v>
      </c>
      <c r="C48" s="1" t="s">
        <v>163</v>
      </c>
      <c r="D48" s="1" t="s">
        <v>234</v>
      </c>
      <c r="E48" s="25" t="s">
        <v>181</v>
      </c>
      <c r="F48" s="13" t="s">
        <v>398</v>
      </c>
      <c r="G48" s="13" t="s">
        <v>179</v>
      </c>
      <c r="H48" s="13">
        <v>1</v>
      </c>
      <c r="I48" s="13">
        <v>-0.8</v>
      </c>
      <c r="J48" s="1">
        <f t="shared" si="7"/>
        <v>1</v>
      </c>
    </row>
    <row r="49" spans="1:15" ht="15" customHeight="1">
      <c r="A49" s="15" t="str">
        <f t="shared" ref="A49" si="14">IF(C49="","",IF(C49="C",CHAR(10) &amp; "// " &amp; E49,IF(C49="I","#define " &amp; E49 &amp; " " &amp; I49,IF(C49="P","#define " &amp; E49 &amp; " """ &amp; F49 &amp; """" &amp; CHAR(10) &amp; "#define DEFAULT_" &amp; E49 &amp; " " &amp; I49,IF(C49="S","","ERROR")))))</f>
        <v>#define V1_D001_WEIGHT_FACTOR "SIM:V1_D001_weight_factor"
#define DEFAULT_V1_D001_WEIGHT_FACTOR 100</v>
      </c>
      <c r="B49" s="21" t="str">
        <f t="shared" si="3"/>
        <v xml:space="preserve">  Variables.SetSetting(V1_D001_WEIGHT_FACTOR, Data_double, 1);</v>
      </c>
      <c r="C49" s="1" t="s">
        <v>163</v>
      </c>
      <c r="D49" s="1" t="s">
        <v>234</v>
      </c>
      <c r="E49" s="25" t="s">
        <v>331</v>
      </c>
      <c r="F49" s="13" t="s">
        <v>397</v>
      </c>
      <c r="G49" s="13" t="s">
        <v>179</v>
      </c>
      <c r="H49" s="13">
        <v>1</v>
      </c>
      <c r="I49" s="13">
        <v>100</v>
      </c>
      <c r="J49" s="1">
        <f t="shared" si="7"/>
        <v>1</v>
      </c>
    </row>
    <row r="50" spans="1:15" s="46" customFormat="1" ht="15" customHeight="1">
      <c r="A50" s="44" t="str">
        <f t="shared" si="13"/>
        <v xml:space="preserve">
// V1 Diffusion Imput Methods</v>
      </c>
      <c r="B50" s="44" t="str">
        <f t="shared" si="3"/>
        <v xml:space="preserve">  // V1 Diffusion Imput Methods</v>
      </c>
      <c r="C50" s="45" t="s">
        <v>149</v>
      </c>
      <c r="D50" s="45"/>
      <c r="E50" s="46" t="s">
        <v>285</v>
      </c>
      <c r="F50" s="47"/>
      <c r="G50" s="47"/>
      <c r="H50" s="47"/>
      <c r="I50" s="47"/>
      <c r="J50" s="45" t="str">
        <f t="shared" si="7"/>
        <v/>
      </c>
    </row>
    <row r="51" spans="1:15" s="24" customFormat="1" ht="15" customHeight="1">
      <c r="A51" s="21" t="str">
        <f t="shared" si="13"/>
        <v>#define V1_F001 "V1_F001"</v>
      </c>
      <c r="B51" s="21" t="str">
        <f t="shared" si="3"/>
        <v/>
      </c>
      <c r="C51" s="16" t="s">
        <v>137</v>
      </c>
      <c r="D51" s="16"/>
      <c r="E51" s="24" t="s">
        <v>189</v>
      </c>
      <c r="F51" s="23"/>
      <c r="G51" s="23"/>
      <c r="H51" s="23"/>
      <c r="I51" s="23" t="s">
        <v>223</v>
      </c>
      <c r="J51" s="16" t="str">
        <f t="shared" si="7"/>
        <v/>
      </c>
    </row>
    <row r="52" spans="1:15" s="20" customFormat="1" ht="15" customHeight="1">
      <c r="A52" s="17" t="str">
        <f t="shared" si="13"/>
        <v xml:space="preserve">
// V1_F001 Method Parameters</v>
      </c>
      <c r="B52" s="17" t="str">
        <f t="shared" si="3"/>
        <v xml:space="preserve">  // V1_F001 Method Parameters</v>
      </c>
      <c r="C52" s="18" t="s">
        <v>149</v>
      </c>
      <c r="D52" s="18"/>
      <c r="E52" s="20" t="s">
        <v>286</v>
      </c>
      <c r="F52" s="19"/>
      <c r="G52" s="19"/>
      <c r="H52" s="19"/>
      <c r="I52" s="19"/>
      <c r="J52" s="18" t="str">
        <f t="shared" si="7"/>
        <v/>
      </c>
    </row>
    <row r="53" spans="1:15" ht="15" customHeight="1">
      <c r="A53" s="15" t="str">
        <f t="shared" si="13"/>
        <v>#define V1_F001_A "SIM:V1_F001_a"
#define DEFAULT_V1_F001_A 0</v>
      </c>
      <c r="B53" s="21" t="str">
        <f t="shared" si="3"/>
        <v xml:space="preserve">  Variables.SetSetting(V1_F001_A, Data_double, 1);</v>
      </c>
      <c r="C53" s="1" t="s">
        <v>163</v>
      </c>
      <c r="D53" s="1" t="s">
        <v>234</v>
      </c>
      <c r="E53" t="s">
        <v>182</v>
      </c>
      <c r="F53" t="s">
        <v>396</v>
      </c>
      <c r="G53" s="13" t="s">
        <v>179</v>
      </c>
      <c r="H53" s="13">
        <v>1</v>
      </c>
      <c r="I53" s="13">
        <v>0</v>
      </c>
      <c r="J53" s="1">
        <f t="shared" ref="J53:J84" si="15">IF(OR(C53="P",C53="S"),IF(L53="",1,IF(L53=1,N53,IF(L53=2,N53&amp;" * "&amp;Q53,"ERROR"))),"")</f>
        <v>1</v>
      </c>
    </row>
    <row r="54" spans="1:15" ht="15" customHeight="1">
      <c r="A54" s="15" t="str">
        <f t="shared" si="13"/>
        <v>#define V1_F001_B "SIM:V1_F001_b"
#define DEFAULT_V1_F001_B 0</v>
      </c>
      <c r="B54" s="21" t="str">
        <f t="shared" si="3"/>
        <v xml:space="preserve">  Variables.SetSetting(V1_F001_B, Data_double, 1);</v>
      </c>
      <c r="C54" s="1" t="s">
        <v>163</v>
      </c>
      <c r="D54" s="1" t="s">
        <v>234</v>
      </c>
      <c r="E54" t="s">
        <v>183</v>
      </c>
      <c r="F54" t="s">
        <v>395</v>
      </c>
      <c r="G54" s="13" t="s">
        <v>179</v>
      </c>
      <c r="H54" s="13">
        <v>1</v>
      </c>
      <c r="I54" s="13">
        <v>0</v>
      </c>
      <c r="J54" s="1">
        <f t="shared" si="15"/>
        <v>1</v>
      </c>
    </row>
    <row r="55" spans="1:15" ht="15" customHeight="1">
      <c r="A55" s="15" t="str">
        <f t="shared" si="13"/>
        <v>#define V1_F001_ORIENTATION "SIM:V1_F001_orientation"
#define DEFAULT_V1_F001_ORIENTATION 0</v>
      </c>
      <c r="B55" s="21" t="str">
        <f t="shared" si="3"/>
        <v xml:space="preserve">  Variables.SetSetting(V1_F001_ORIENTATION, Data_double, 1);</v>
      </c>
      <c r="C55" s="1" t="s">
        <v>163</v>
      </c>
      <c r="D55" s="1" t="s">
        <v>234</v>
      </c>
      <c r="E55" t="s">
        <v>184</v>
      </c>
      <c r="F55" t="s">
        <v>394</v>
      </c>
      <c r="G55" s="13" t="s">
        <v>179</v>
      </c>
      <c r="H55" s="13">
        <v>1</v>
      </c>
      <c r="I55" s="13">
        <v>0</v>
      </c>
      <c r="J55" s="1">
        <f t="shared" si="15"/>
        <v>1</v>
      </c>
    </row>
    <row r="56" spans="1:15" ht="15" customHeight="1">
      <c r="A56" s="15" t="str">
        <f t="shared" si="13"/>
        <v>#define V1_F001_SPATIAL_FREQUENCY "SIM:V1_F001_spatial_frequency"
#define DEFAULT_V1_F001_SPATIAL_FREQUENCY 0</v>
      </c>
      <c r="B56" s="21" t="str">
        <f t="shared" si="3"/>
        <v xml:space="preserve">  Variables.SetSetting(V1_F001_SPATIAL_FREQUENCY, Data_double, 1);</v>
      </c>
      <c r="C56" s="1" t="s">
        <v>163</v>
      </c>
      <c r="D56" s="1" t="s">
        <v>234</v>
      </c>
      <c r="E56" t="s">
        <v>185</v>
      </c>
      <c r="F56" t="s">
        <v>393</v>
      </c>
      <c r="G56" s="13" t="s">
        <v>179</v>
      </c>
      <c r="H56" s="13">
        <v>1</v>
      </c>
      <c r="I56" s="13">
        <v>0</v>
      </c>
      <c r="J56" s="1">
        <f t="shared" si="15"/>
        <v>1</v>
      </c>
    </row>
    <row r="57" spans="1:15" ht="15" customHeight="1">
      <c r="A57" s="15" t="str">
        <f t="shared" si="13"/>
        <v>#define V1_F001_TEMPORAL_FREQUENCY "SIM:V1_F001_temporal_frequency"
#define DEFAULT_V1_F001_TEMPORAL_FREQUENCY 0</v>
      </c>
      <c r="B57" s="21" t="str">
        <f t="shared" si="3"/>
        <v xml:space="preserve">  Variables.SetSetting(V1_F001_TEMPORAL_FREQUENCY, Data_double, 1);</v>
      </c>
      <c r="C57" s="1" t="s">
        <v>163</v>
      </c>
      <c r="D57" s="1" t="s">
        <v>234</v>
      </c>
      <c r="E57" t="s">
        <v>186</v>
      </c>
      <c r="F57" t="s">
        <v>392</v>
      </c>
      <c r="G57" s="13" t="s">
        <v>179</v>
      </c>
      <c r="H57" s="13">
        <v>1</v>
      </c>
      <c r="I57" s="13">
        <v>0</v>
      </c>
      <c r="J57" s="1">
        <f t="shared" si="15"/>
        <v>1</v>
      </c>
    </row>
    <row r="58" spans="1:15" ht="15" customHeight="1">
      <c r="A58" s="15" t="str">
        <f t="shared" si="13"/>
        <v>#define V1_F001_MAGNITUDE "SIM:V1_F001_magnitude"
#define DEFAULT_V1_F001_MAGNITUDE 0</v>
      </c>
      <c r="B58" s="21" t="str">
        <f t="shared" si="3"/>
        <v xml:space="preserve">  Variables.SetSetting(V1_F001_MAGNITUDE, Data_double, 1);</v>
      </c>
      <c r="C58" s="1" t="s">
        <v>163</v>
      </c>
      <c r="D58" s="1" t="s">
        <v>234</v>
      </c>
      <c r="E58" t="s">
        <v>187</v>
      </c>
      <c r="F58" t="s">
        <v>391</v>
      </c>
      <c r="G58" s="13" t="s">
        <v>179</v>
      </c>
      <c r="H58" s="13">
        <v>1</v>
      </c>
      <c r="I58" s="13">
        <v>0</v>
      </c>
      <c r="J58" s="1">
        <f t="shared" si="15"/>
        <v>1</v>
      </c>
    </row>
    <row r="59" spans="1:15" ht="15" customHeight="1">
      <c r="A59" s="15" t="str">
        <f t="shared" si="13"/>
        <v>#define V1_F001_PHASE "SIM:V1_F001_phase"
#define DEFAULT_V1_F001_PHASE 0</v>
      </c>
      <c r="B59" s="21" t="str">
        <f t="shared" si="3"/>
        <v xml:space="preserve">  Variables.SetSetting(V1_F001_PHASE, Data_int, 1);</v>
      </c>
      <c r="C59" s="1" t="s">
        <v>163</v>
      </c>
      <c r="D59" s="1" t="s">
        <v>234</v>
      </c>
      <c r="E59" t="s">
        <v>188</v>
      </c>
      <c r="F59" t="s">
        <v>390</v>
      </c>
      <c r="G59" s="13" t="s">
        <v>242</v>
      </c>
      <c r="H59" s="13">
        <v>1</v>
      </c>
      <c r="I59" s="13">
        <v>0</v>
      </c>
      <c r="J59" s="1">
        <f t="shared" si="15"/>
        <v>1</v>
      </c>
    </row>
    <row r="60" spans="1:15" s="42" customFormat="1" ht="15" customHeight="1">
      <c r="A60" s="40" t="str">
        <f t="shared" ref="A60:A91" si="16">IF(C60="","",IF(C60="C",CHAR(10) &amp; "// " &amp; E60,IF(C60="I","#define " &amp; E60 &amp; " " &amp; I60,IF(C60="P","#define " &amp; E60 &amp; " """ &amp; F60 &amp; """" &amp; CHAR(10) &amp; "#define DEFAULT_" &amp; E60 &amp; " " &amp; I60,IF(C60="S","","ERROR")))))</f>
        <v xml:space="preserve">
// MT Neuron Settings</v>
      </c>
      <c r="B60" s="40" t="str">
        <f t="shared" si="3"/>
        <v xml:space="preserve">  // MT Neuron Settings</v>
      </c>
      <c r="C60" s="41" t="s">
        <v>149</v>
      </c>
      <c r="D60" s="41"/>
      <c r="E60" s="42" t="s">
        <v>288</v>
      </c>
      <c r="F60" s="43"/>
      <c r="G60" s="43"/>
      <c r="H60" s="43"/>
      <c r="I60" s="43"/>
      <c r="J60" s="41" t="str">
        <f t="shared" si="15"/>
        <v/>
      </c>
    </row>
    <row r="61" spans="1:15" s="20" customFormat="1" ht="15" customHeight="1">
      <c r="A61" s="17" t="str">
        <f t="shared" si="16"/>
        <v xml:space="preserve">
// MT Neuron Parameters</v>
      </c>
      <c r="B61" s="17" t="str">
        <f t="shared" si="3"/>
        <v xml:space="preserve">  // MT Neuron Parameters</v>
      </c>
      <c r="C61" s="18" t="s">
        <v>149</v>
      </c>
      <c r="D61" s="18"/>
      <c r="E61" s="20" t="s">
        <v>190</v>
      </c>
      <c r="F61" s="19"/>
      <c r="G61" s="19"/>
      <c r="H61" s="19"/>
      <c r="I61" s="19"/>
      <c r="J61" s="18" t="str">
        <f t="shared" si="15"/>
        <v/>
      </c>
    </row>
    <row r="62" spans="1:15" s="24" customFormat="1" ht="15" customHeight="1">
      <c r="A62" s="21" t="str">
        <f t="shared" si="16"/>
        <v>#define MT_LABEL "MT"</v>
      </c>
      <c r="B62" s="21" t="str">
        <f t="shared" si="3"/>
        <v/>
      </c>
      <c r="C62" s="16" t="s">
        <v>137</v>
      </c>
      <c r="D62" s="16"/>
      <c r="E62" s="29" t="s">
        <v>238</v>
      </c>
      <c r="F62" s="23"/>
      <c r="G62" s="23"/>
      <c r="H62" s="23"/>
      <c r="I62" s="23" t="s">
        <v>239</v>
      </c>
      <c r="J62" s="16" t="str">
        <f t="shared" si="15"/>
        <v/>
      </c>
    </row>
    <row r="63" spans="1:15" ht="15" customHeight="1">
      <c r="A63" s="15" t="str">
        <f t="shared" si="16"/>
        <v>#define MAX_MT_NEURONS 10</v>
      </c>
      <c r="B63" s="21" t="str">
        <f t="shared" si="3"/>
        <v/>
      </c>
      <c r="C63" s="1" t="s">
        <v>137</v>
      </c>
      <c r="E63" t="s">
        <v>191</v>
      </c>
      <c r="I63" s="13">
        <v>10</v>
      </c>
      <c r="J63" s="1" t="str">
        <f t="shared" si="15"/>
        <v/>
      </c>
    </row>
    <row r="64" spans="1:15" ht="15" customHeight="1">
      <c r="A64" s="15" t="str">
        <f t="shared" si="16"/>
        <v/>
      </c>
      <c r="B64" s="21" t="str">
        <f t="shared" si="3"/>
        <v xml:space="preserve">  for (int i = 0; i &lt; MAX_MT_NEURONS; i++) {
    Variables.SetSetting(string("SIM:") + MT_LABEL + string("'") + IIntToString(i), Data_double, 6);
  }</v>
      </c>
      <c r="C64" s="1" t="s">
        <v>234</v>
      </c>
      <c r="D64" s="1" t="s">
        <v>234</v>
      </c>
      <c r="E64" s="25"/>
      <c r="G64" s="13" t="s">
        <v>179</v>
      </c>
      <c r="H64" s="13">
        <v>6</v>
      </c>
      <c r="J64" s="1" t="str">
        <f t="shared" si="15"/>
        <v>MAX_MT_NEURONS</v>
      </c>
      <c r="L64">
        <v>1</v>
      </c>
      <c r="M64" t="s">
        <v>411</v>
      </c>
      <c r="N64" t="s">
        <v>191</v>
      </c>
      <c r="O64" t="s">
        <v>419</v>
      </c>
    </row>
    <row r="65" spans="1:11" ht="15" customHeight="1">
      <c r="A65" s="15" t="str">
        <f t="shared" si="16"/>
        <v>#define MT_FIRST_CALCULATION "SIM:MT_first_calculation"
#define DEFAULT_MT_FIRST_CALCULATION "none"</v>
      </c>
      <c r="B65" s="21" t="str">
        <f t="shared" si="3"/>
        <v xml:space="preserve">  Variables.SetSetting(MT_FIRST_CALCULATION, Data_string, 1);</v>
      </c>
      <c r="C65" s="1" t="s">
        <v>163</v>
      </c>
      <c r="D65" s="1" t="s">
        <v>234</v>
      </c>
      <c r="E65" s="25" t="s">
        <v>310</v>
      </c>
      <c r="F65" s="13" t="s">
        <v>389</v>
      </c>
      <c r="G65" s="13" t="s">
        <v>171</v>
      </c>
      <c r="H65" s="13">
        <v>1</v>
      </c>
      <c r="I65" s="13" t="s">
        <v>172</v>
      </c>
      <c r="J65" s="1">
        <f t="shared" si="15"/>
        <v>1</v>
      </c>
      <c r="K65" t="s">
        <v>309</v>
      </c>
    </row>
    <row r="66" spans="1:11" ht="15" customHeight="1">
      <c r="A66" s="15" t="str">
        <f t="shared" si="16"/>
        <v>#define MT_ACTIVATION_METHOD "SIM:MT_act_method"
#define DEFAULT_MT_ACTIVATION_METHOD "none"</v>
      </c>
      <c r="B66" s="21" t="str">
        <f t="shared" si="3"/>
        <v xml:space="preserve">  Variables.SetSetting(MT_ACTIVATION_METHOD, Data_string, 1);</v>
      </c>
      <c r="C66" s="1" t="s">
        <v>163</v>
      </c>
      <c r="D66" s="1" t="s">
        <v>234</v>
      </c>
      <c r="E66" t="s">
        <v>192</v>
      </c>
      <c r="F66" s="13" t="s">
        <v>388</v>
      </c>
      <c r="G66" s="13" t="s">
        <v>171</v>
      </c>
      <c r="H66" s="13">
        <v>1</v>
      </c>
      <c r="I66" s="13" t="s">
        <v>172</v>
      </c>
      <c r="J66" s="1">
        <f t="shared" si="15"/>
        <v>1</v>
      </c>
    </row>
    <row r="67" spans="1:11" ht="15" customHeight="1">
      <c r="A67" s="15" t="str">
        <f t="shared" si="16"/>
        <v>#define MT_DACTIVATION_METHOD "SIM:MT_dac_method"
#define DEFAULT_MT_DACTIVATION_METHOD "none"</v>
      </c>
      <c r="B67" s="21" t="str">
        <f t="shared" si="3"/>
        <v xml:space="preserve">  Variables.SetSetting(MT_DACTIVATION_METHOD, Data_string, 1);</v>
      </c>
      <c r="C67" s="1" t="s">
        <v>163</v>
      </c>
      <c r="D67" s="1" t="s">
        <v>234</v>
      </c>
      <c r="E67" t="s">
        <v>193</v>
      </c>
      <c r="F67" s="13" t="s">
        <v>387</v>
      </c>
      <c r="G67" s="13" t="s">
        <v>171</v>
      </c>
      <c r="H67" s="13">
        <v>1</v>
      </c>
      <c r="I67" s="13" t="s">
        <v>172</v>
      </c>
      <c r="J67" s="1">
        <f t="shared" si="15"/>
        <v>1</v>
      </c>
    </row>
    <row r="68" spans="1:11" s="46" customFormat="1" ht="15" customHeight="1">
      <c r="A68" s="44" t="str">
        <f t="shared" si="16"/>
        <v xml:space="preserve">
// MT Activation Methods</v>
      </c>
      <c r="B68" s="44" t="str">
        <f t="shared" ref="B68:B91" si="17">IF(C68="","",IF(C68="C","  // "&amp;E68,IF(C68="P",IF(D68="E","  Variables.",IF(D68="S","  Variables.","ERROR"))&amp;"SetSetting("&amp;E68&amp;", "&amp;G68&amp;", "&amp;H68&amp;");",IF(C68="S",
IF(L68=1,"  for (int i = 0; i &lt; "&amp;N68&amp;"; i++) {"&amp;CHAR(10)&amp;IF(D68="E","    Variables.",IF(D68="S","    Variables.","ERROR"))&amp;"SetSetting("&amp;M68&amp;" + "&amp;O68&amp;", "&amp;G68&amp;", "&amp;H68&amp;");"&amp;CHAR(10)&amp;"  }",
IF(L68=2,"  for (int i = 0; i &lt; "&amp;N68&amp;"; i++) {"&amp;CHAR(10)&amp;"    for (int j = 0; j &lt; "&amp;Q68&amp;"; j++) {"&amp;CHAR(10)&amp;IF(D68="E","      Variables.",IF(D68="S","      Variables.","ERROR"))&amp;"SetSetting("&amp;M68&amp;" + "&amp;O68&amp;" + "&amp;P68&amp;" + "&amp;R68&amp;", "&amp;G68&amp;", "&amp;H68&amp;");"&amp;CHAR(10)&amp;"    }"&amp;CHAR(10)&amp;"  }","ERROR")),""))))</f>
        <v xml:space="preserve">  // MT Activation Methods</v>
      </c>
      <c r="C68" s="45" t="s">
        <v>149</v>
      </c>
      <c r="D68" s="45"/>
      <c r="E68" s="46" t="s">
        <v>291</v>
      </c>
      <c r="F68" s="47"/>
      <c r="G68" s="47"/>
      <c r="H68" s="47"/>
      <c r="I68" s="47"/>
      <c r="J68" s="45" t="str">
        <f t="shared" si="15"/>
        <v/>
      </c>
    </row>
    <row r="69" spans="1:11" ht="15" customHeight="1">
      <c r="A69" s="15" t="str">
        <f t="shared" si="16"/>
        <v>#define MT_A001 "MT_A001"</v>
      </c>
      <c r="B69" s="21" t="str">
        <f t="shared" si="17"/>
        <v/>
      </c>
      <c r="C69" s="1" t="s">
        <v>137</v>
      </c>
      <c r="E69" t="s">
        <v>194</v>
      </c>
      <c r="I69" s="13" t="s">
        <v>224</v>
      </c>
      <c r="J69" s="1" t="str">
        <f t="shared" si="15"/>
        <v/>
      </c>
    </row>
    <row r="70" spans="1:11" s="20" customFormat="1" ht="15" customHeight="1">
      <c r="A70" s="17" t="str">
        <f t="shared" si="16"/>
        <v xml:space="preserve">
// MT_A001 Parameters</v>
      </c>
      <c r="B70" s="17" t="str">
        <f t="shared" si="17"/>
        <v xml:space="preserve">  // MT_A001 Parameters</v>
      </c>
      <c r="C70" s="18" t="s">
        <v>149</v>
      </c>
      <c r="D70" s="18"/>
      <c r="E70" s="20" t="s">
        <v>289</v>
      </c>
      <c r="F70" s="19"/>
      <c r="G70" s="19"/>
      <c r="H70" s="19"/>
      <c r="I70" s="19"/>
      <c r="J70" s="18" t="str">
        <f t="shared" si="15"/>
        <v/>
      </c>
    </row>
    <row r="71" spans="1:11" s="20" customFormat="1" ht="15" customHeight="1">
      <c r="A71" s="17" t="str">
        <f t="shared" si="16"/>
        <v xml:space="preserve">
// None</v>
      </c>
      <c r="B71" s="17" t="str">
        <f t="shared" si="17"/>
        <v xml:space="preserve">  // None</v>
      </c>
      <c r="C71" s="18" t="s">
        <v>149</v>
      </c>
      <c r="D71" s="18"/>
      <c r="E71" s="20" t="s">
        <v>290</v>
      </c>
      <c r="F71" s="19"/>
      <c r="G71" s="19"/>
      <c r="H71" s="19"/>
      <c r="I71" s="19"/>
      <c r="J71" s="18" t="str">
        <f t="shared" si="15"/>
        <v/>
      </c>
    </row>
    <row r="72" spans="1:11" s="46" customFormat="1" ht="15" customHeight="1">
      <c r="A72" s="44" t="str">
        <f t="shared" si="16"/>
        <v xml:space="preserve">
// MT Derivate Activation Methods</v>
      </c>
      <c r="B72" s="44" t="str">
        <f t="shared" si="17"/>
        <v xml:space="preserve">  // MT Derivate Activation Methods</v>
      </c>
      <c r="C72" s="45" t="s">
        <v>149</v>
      </c>
      <c r="D72" s="45"/>
      <c r="E72" s="46" t="s">
        <v>292</v>
      </c>
      <c r="F72" s="47"/>
      <c r="G72" s="47"/>
      <c r="H72" s="47"/>
      <c r="I72" s="47"/>
      <c r="J72" s="45" t="str">
        <f t="shared" si="15"/>
        <v/>
      </c>
    </row>
    <row r="73" spans="1:11" ht="15" customHeight="1">
      <c r="A73" s="15" t="str">
        <f t="shared" si="16"/>
        <v>#define MT_D001 "MT_D001"</v>
      </c>
      <c r="B73" s="21" t="str">
        <f t="shared" si="17"/>
        <v/>
      </c>
      <c r="C73" s="1" t="s">
        <v>137</v>
      </c>
      <c r="E73" t="s">
        <v>293</v>
      </c>
      <c r="I73" s="13" t="s">
        <v>294</v>
      </c>
      <c r="J73" s="1" t="str">
        <f t="shared" si="15"/>
        <v/>
      </c>
    </row>
    <row r="74" spans="1:11" s="20" customFormat="1" ht="15" customHeight="1">
      <c r="A74" s="17" t="str">
        <f t="shared" si="16"/>
        <v xml:space="preserve">
// MT_D001 Parameters</v>
      </c>
      <c r="B74" s="17" t="str">
        <f t="shared" si="17"/>
        <v xml:space="preserve">  // MT_D001 Parameters</v>
      </c>
      <c r="C74" s="18" t="s">
        <v>149</v>
      </c>
      <c r="D74" s="18"/>
      <c r="E74" s="20" t="s">
        <v>295</v>
      </c>
      <c r="F74" s="19"/>
      <c r="G74" s="19"/>
      <c r="H74" s="19"/>
      <c r="I74" s="19"/>
      <c r="J74" s="18" t="str">
        <f t="shared" si="15"/>
        <v/>
      </c>
    </row>
    <row r="75" spans="1:11" s="20" customFormat="1" ht="15" customHeight="1">
      <c r="A75" s="17" t="str">
        <f t="shared" si="16"/>
        <v xml:space="preserve">
// None</v>
      </c>
      <c r="B75" s="17" t="str">
        <f t="shared" si="17"/>
        <v xml:space="preserve">  // None</v>
      </c>
      <c r="C75" s="18" t="s">
        <v>149</v>
      </c>
      <c r="D75" s="18"/>
      <c r="E75" s="20" t="s">
        <v>290</v>
      </c>
      <c r="F75" s="19"/>
      <c r="G75" s="19"/>
      <c r="H75" s="19"/>
      <c r="I75" s="19"/>
      <c r="J75" s="18" t="str">
        <f t="shared" si="15"/>
        <v/>
      </c>
    </row>
    <row r="76" spans="1:11" s="42" customFormat="1" ht="15" customHeight="1">
      <c r="A76" s="40" t="str">
        <f t="shared" si="16"/>
        <v xml:space="preserve">
// Neuron Linking</v>
      </c>
      <c r="B76" s="40" t="str">
        <f t="shared" si="17"/>
        <v xml:space="preserve">  // Neuron Linking</v>
      </c>
      <c r="C76" s="41" t="s">
        <v>149</v>
      </c>
      <c r="D76" s="41"/>
      <c r="E76" s="42" t="s">
        <v>296</v>
      </c>
      <c r="F76" s="43"/>
      <c r="G76" s="43"/>
      <c r="H76" s="43"/>
      <c r="I76" s="43"/>
      <c r="J76" s="41" t="str">
        <f t="shared" si="15"/>
        <v/>
      </c>
    </row>
    <row r="77" spans="1:11" s="46" customFormat="1" ht="15" customHeight="1">
      <c r="A77" s="44" t="str">
        <f t="shared" si="16"/>
        <v xml:space="preserve">
// V1V1 Linking Methods</v>
      </c>
      <c r="B77" s="44" t="str">
        <f t="shared" si="17"/>
        <v xml:space="preserve">  // V1V1 Linking Methods</v>
      </c>
      <c r="C77" s="45" t="s">
        <v>149</v>
      </c>
      <c r="D77" s="45"/>
      <c r="E77" s="46" t="s">
        <v>297</v>
      </c>
      <c r="F77" s="47"/>
      <c r="G77" s="47"/>
      <c r="H77" s="47"/>
      <c r="I77" s="47"/>
      <c r="J77" s="45" t="str">
        <f t="shared" si="15"/>
        <v/>
      </c>
    </row>
    <row r="78" spans="1:11" s="24" customFormat="1" ht="15" customHeight="1">
      <c r="A78" s="21" t="str">
        <f t="shared" si="16"/>
        <v>#define V1V1_CONNECTION_METHOD "SIM:V1V1_connection_method"
#define DEFAULT_V1V1_CONNECTION_METHOD "none"</v>
      </c>
      <c r="B78" s="21" t="str">
        <f t="shared" si="17"/>
        <v xml:space="preserve">  Variables.SetSetting(V1V1_CONNECTION_METHOD, Data_string, 1);</v>
      </c>
      <c r="C78" s="16" t="s">
        <v>163</v>
      </c>
      <c r="D78" s="16" t="s">
        <v>234</v>
      </c>
      <c r="E78" s="24" t="s">
        <v>306</v>
      </c>
      <c r="F78" s="23" t="s">
        <v>386</v>
      </c>
      <c r="G78" s="23" t="s">
        <v>171</v>
      </c>
      <c r="H78" s="23">
        <v>1</v>
      </c>
      <c r="I78" s="23" t="s">
        <v>172</v>
      </c>
      <c r="J78" s="16">
        <f t="shared" si="15"/>
        <v>1</v>
      </c>
    </row>
    <row r="79" spans="1:11" ht="15" customHeight="1">
      <c r="A79" s="15" t="str">
        <f t="shared" si="16"/>
        <v>#define V1V1_L001 "V1V1_L001"</v>
      </c>
      <c r="B79" s="21" t="str">
        <f t="shared" si="17"/>
        <v/>
      </c>
      <c r="C79" s="1" t="s">
        <v>137</v>
      </c>
      <c r="E79" t="s">
        <v>298</v>
      </c>
      <c r="I79" s="13" t="s">
        <v>299</v>
      </c>
      <c r="J79" s="1" t="str">
        <f t="shared" si="15"/>
        <v/>
      </c>
    </row>
    <row r="80" spans="1:11" s="20" customFormat="1" ht="15" customHeight="1">
      <c r="A80" s="17" t="str">
        <f t="shared" si="16"/>
        <v xml:space="preserve">
// V1V1_L001 Link Parameters</v>
      </c>
      <c r="B80" s="17" t="str">
        <f t="shared" si="17"/>
        <v xml:space="preserve">  // V1V1_L001 Link Parameters</v>
      </c>
      <c r="C80" s="18" t="s">
        <v>149</v>
      </c>
      <c r="D80" s="18"/>
      <c r="E80" s="20" t="s">
        <v>300</v>
      </c>
      <c r="F80" s="19"/>
      <c r="G80" s="19"/>
      <c r="H80" s="19"/>
      <c r="I80" s="19"/>
      <c r="J80" s="18" t="str">
        <f t="shared" si="15"/>
        <v/>
      </c>
    </row>
    <row r="81" spans="1:18" s="24" customFormat="1" ht="15" customHeight="1">
      <c r="A81" s="21" t="str">
        <f t="shared" si="16"/>
        <v>#define V1V1_L001_BASE_WEIGHT_SOURCE "SIM:V1V1_L001_base_weight_source"
#define DEFAULT_V1V1_L001_BASE_WEIGHT_SOURCE "none"</v>
      </c>
      <c r="B81" s="21" t="str">
        <f t="shared" si="17"/>
        <v xml:space="preserve">  Variables.SetSetting(V1V1_L001_BASE_WEIGHT_SOURCE, Data_string, 1);</v>
      </c>
      <c r="C81" s="16" t="s">
        <v>163</v>
      </c>
      <c r="D81" s="16" t="s">
        <v>234</v>
      </c>
      <c r="E81" s="24" t="s">
        <v>302</v>
      </c>
      <c r="F81" s="23" t="s">
        <v>385</v>
      </c>
      <c r="G81" s="23" t="s">
        <v>171</v>
      </c>
      <c r="H81" s="23">
        <v>1</v>
      </c>
      <c r="I81" s="23" t="s">
        <v>172</v>
      </c>
      <c r="J81" s="1">
        <f t="shared" si="15"/>
        <v>1</v>
      </c>
    </row>
    <row r="82" spans="1:18" ht="15" customHeight="1">
      <c r="A82" s="15" t="str">
        <f t="shared" si="16"/>
        <v>#define V1V1_L001_DEFAULT_WEIGHT "SIM:V1V1_L001_default_weight"
#define DEFAULT_V1V1_L001_DEFAULT_WEIGHT 0</v>
      </c>
      <c r="B82" s="21" t="str">
        <f t="shared" si="17"/>
        <v xml:space="preserve">  Variables.SetSetting(V1V1_L001_DEFAULT_WEIGHT, Data_double, 1);</v>
      </c>
      <c r="C82" s="1" t="s">
        <v>163</v>
      </c>
      <c r="D82" s="1" t="s">
        <v>234</v>
      </c>
      <c r="E82" s="24" t="s">
        <v>303</v>
      </c>
      <c r="F82" s="13" t="s">
        <v>384</v>
      </c>
      <c r="G82" s="13" t="s">
        <v>179</v>
      </c>
      <c r="H82" s="13">
        <v>1</v>
      </c>
      <c r="I82" s="13">
        <v>0</v>
      </c>
      <c r="J82" s="1">
        <f t="shared" si="15"/>
        <v>1</v>
      </c>
    </row>
    <row r="83" spans="1:18" ht="15" customHeight="1">
      <c r="A83" s="15" t="str">
        <f t="shared" si="16"/>
        <v/>
      </c>
      <c r="B83" s="21" t="str">
        <f t="shared" si="17"/>
        <v xml:space="preserve">  for (int i = 0; i &lt; MAX_V1_NEURONS; i++) {
    for (int j = 0; j &lt; MAX_V1_NEURONS; j++) {
      Variables.SetSetting(string("SIM:") + V1_LABEL + string("'") + IIntToString(i) + ":" + V1_LABEL + string("'") + IIntToString(j), Data_double, 1);
    }
  }</v>
      </c>
      <c r="C83" s="1" t="s">
        <v>234</v>
      </c>
      <c r="D83" s="1" t="s">
        <v>234</v>
      </c>
      <c r="E83" s="24"/>
      <c r="G83" s="13" t="s">
        <v>179</v>
      </c>
      <c r="H83" s="13">
        <v>1</v>
      </c>
      <c r="I83" s="13" t="s">
        <v>303</v>
      </c>
      <c r="J83" s="1" t="str">
        <f t="shared" si="15"/>
        <v>MAX_V1_NEURONS * MAX_V1_NEURONS</v>
      </c>
      <c r="L83">
        <v>2</v>
      </c>
      <c r="M83" t="s">
        <v>410</v>
      </c>
      <c r="N83" t="s">
        <v>168</v>
      </c>
      <c r="O83" t="s">
        <v>419</v>
      </c>
      <c r="P83" t="s">
        <v>330</v>
      </c>
      <c r="Q83" t="s">
        <v>168</v>
      </c>
      <c r="R83" t="s">
        <v>420</v>
      </c>
    </row>
    <row r="84" spans="1:18" s="46" customFormat="1" ht="15" customHeight="1">
      <c r="A84" s="44" t="str">
        <f t="shared" si="16"/>
        <v xml:space="preserve">
// MTMT Link Methods</v>
      </c>
      <c r="B84" s="44" t="str">
        <f t="shared" si="17"/>
        <v xml:space="preserve">  // MTMT Link Methods</v>
      </c>
      <c r="C84" s="45" t="s">
        <v>149</v>
      </c>
      <c r="D84" s="45"/>
      <c r="E84" s="46" t="s">
        <v>301</v>
      </c>
      <c r="F84" s="47"/>
      <c r="G84" s="47"/>
      <c r="H84" s="47"/>
      <c r="I84" s="47"/>
      <c r="J84" s="45" t="str">
        <f t="shared" si="15"/>
        <v/>
      </c>
    </row>
    <row r="85" spans="1:18" s="20" customFormat="1" ht="15" customHeight="1">
      <c r="A85" s="17" t="str">
        <f t="shared" si="16"/>
        <v xml:space="preserve">
// None</v>
      </c>
      <c r="B85" s="17" t="str">
        <f t="shared" si="17"/>
        <v xml:space="preserve">  // None</v>
      </c>
      <c r="C85" s="18" t="s">
        <v>149</v>
      </c>
      <c r="D85" s="18"/>
      <c r="E85" s="20" t="s">
        <v>290</v>
      </c>
      <c r="F85" s="19"/>
      <c r="G85" s="19"/>
      <c r="H85" s="19"/>
      <c r="I85" s="19"/>
      <c r="J85" s="18" t="str">
        <f t="shared" ref="J85:J120" si="18">IF(OR(C85="P",C85="S"),IF(L85="",1,IF(L85=1,N85,IF(L85=2,N85&amp;" * "&amp;Q85,"ERROR"))),"")</f>
        <v/>
      </c>
    </row>
    <row r="86" spans="1:18" s="46" customFormat="1" ht="15" customHeight="1">
      <c r="A86" s="44" t="str">
        <f t="shared" si="16"/>
        <v xml:space="preserve">
// V1MT Linking Methods</v>
      </c>
      <c r="B86" s="44" t="str">
        <f t="shared" si="17"/>
        <v xml:space="preserve">  // V1MT Linking Methods</v>
      </c>
      <c r="C86" s="45" t="s">
        <v>149</v>
      </c>
      <c r="D86" s="45"/>
      <c r="E86" s="46" t="s">
        <v>304</v>
      </c>
      <c r="F86" s="47"/>
      <c r="G86" s="47"/>
      <c r="H86" s="47"/>
      <c r="I86" s="47"/>
      <c r="J86" s="45" t="str">
        <f t="shared" si="18"/>
        <v/>
      </c>
    </row>
    <row r="87" spans="1:18" s="24" customFormat="1" ht="15" customHeight="1">
      <c r="A87" s="21" t="str">
        <f t="shared" si="16"/>
        <v>#define V1MT_CONNECTION_METHOD "SIM:V1MT_connection_method"
#define DEFAULT_V1MT_CONNECTION_METHOD "none"</v>
      </c>
      <c r="B87" s="21" t="str">
        <f t="shared" si="17"/>
        <v xml:space="preserve">  Variables.SetSetting(V1MT_CONNECTION_METHOD, Data_string, 1);</v>
      </c>
      <c r="C87" s="16" t="s">
        <v>163</v>
      </c>
      <c r="D87" s="16" t="s">
        <v>234</v>
      </c>
      <c r="E87" s="24" t="s">
        <v>226</v>
      </c>
      <c r="F87" s="23" t="s">
        <v>383</v>
      </c>
      <c r="G87" s="23" t="s">
        <v>171</v>
      </c>
      <c r="H87" s="23">
        <v>1</v>
      </c>
      <c r="I87" s="23" t="s">
        <v>172</v>
      </c>
      <c r="J87" s="1">
        <f t="shared" si="18"/>
        <v>1</v>
      </c>
    </row>
    <row r="88" spans="1:18" s="24" customFormat="1" ht="15" customHeight="1">
      <c r="A88" s="21" t="str">
        <f t="shared" si="16"/>
        <v>#define V1MT_L001 "V1MT_L001"</v>
      </c>
      <c r="B88" s="21" t="str">
        <f t="shared" si="17"/>
        <v/>
      </c>
      <c r="C88" s="16" t="s">
        <v>137</v>
      </c>
      <c r="D88" s="16"/>
      <c r="E88" s="24" t="s">
        <v>227</v>
      </c>
      <c r="F88" s="23"/>
      <c r="G88" s="23"/>
      <c r="H88" s="23"/>
      <c r="I88" s="23" t="s">
        <v>228</v>
      </c>
      <c r="J88" s="16" t="str">
        <f t="shared" si="18"/>
        <v/>
      </c>
    </row>
    <row r="89" spans="1:18" s="20" customFormat="1" ht="15" customHeight="1">
      <c r="A89" s="17" t="str">
        <f t="shared" si="16"/>
        <v xml:space="preserve">
// V1MT_L001 Link Parameters</v>
      </c>
      <c r="B89" s="17" t="str">
        <f t="shared" si="17"/>
        <v xml:space="preserve">  // V1MT_L001 Link Parameters</v>
      </c>
      <c r="C89" s="18" t="s">
        <v>149</v>
      </c>
      <c r="D89" s="18"/>
      <c r="E89" s="20" t="s">
        <v>305</v>
      </c>
      <c r="F89" s="19"/>
      <c r="G89" s="19"/>
      <c r="H89" s="19"/>
      <c r="I89" s="19"/>
      <c r="J89" s="18" t="str">
        <f t="shared" si="18"/>
        <v/>
      </c>
    </row>
    <row r="90" spans="1:18" s="24" customFormat="1" ht="15" customHeight="1">
      <c r="A90" s="21" t="str">
        <f t="shared" si="16"/>
        <v>#define V1MT_L001_APERTURE "SIM:V1MT_L001_aperture"
#define DEFAULT_V1MT_L001_APERTURE 45.0 + 1.0</v>
      </c>
      <c r="B90" s="21" t="str">
        <f t="shared" si="17"/>
        <v xml:space="preserve">  Variables.SetSetting(V1MT_L001_APERTURE, Data_double, 1);</v>
      </c>
      <c r="C90" s="16" t="s">
        <v>163</v>
      </c>
      <c r="D90" s="16" t="s">
        <v>234</v>
      </c>
      <c r="E90" s="24" t="s">
        <v>229</v>
      </c>
      <c r="F90" s="23" t="s">
        <v>382</v>
      </c>
      <c r="G90" s="23" t="s">
        <v>179</v>
      </c>
      <c r="H90" s="23">
        <v>1</v>
      </c>
      <c r="I90" s="23" t="s">
        <v>332</v>
      </c>
      <c r="J90" s="16">
        <f t="shared" si="18"/>
        <v>1</v>
      </c>
    </row>
    <row r="91" spans="1:18" s="24" customFormat="1" ht="15" customHeight="1">
      <c r="A91" s="21" t="str">
        <f t="shared" si="16"/>
        <v>#define V1MT_L001_AMPLIFICATION "SIM:V1MT_L001_amplification"
#define DEFAULT_V1MT_L001_AMPLIFICATION 1</v>
      </c>
      <c r="B91" s="21" t="str">
        <f t="shared" si="17"/>
        <v xml:space="preserve">  Variables.SetSetting(V1MT_L001_AMPLIFICATION, Data_double, 1);</v>
      </c>
      <c r="C91" s="16" t="s">
        <v>163</v>
      </c>
      <c r="D91" s="16" t="s">
        <v>234</v>
      </c>
      <c r="E91" s="24" t="s">
        <v>230</v>
      </c>
      <c r="F91" s="23" t="s">
        <v>381</v>
      </c>
      <c r="G91" s="23" t="s">
        <v>179</v>
      </c>
      <c r="H91" s="23">
        <v>1</v>
      </c>
      <c r="I91" s="23">
        <v>1</v>
      </c>
      <c r="J91" s="16">
        <f t="shared" si="18"/>
        <v>1</v>
      </c>
    </row>
    <row r="92" spans="1:18" s="24" customFormat="1" ht="15" customHeight="1">
      <c r="A92" s="21" t="str">
        <f t="shared" ref="A92:A126" si="19">IF(C92="","",IF(C92="C",CHAR(10) &amp; "// " &amp; E92,IF(C92="I","#define " &amp; E92 &amp; " " &amp; I92,IF(C92="P","#define " &amp; E92 &amp; " """ &amp; F92 &amp; """" &amp; CHAR(10) &amp; "#define DEFAULT_" &amp; E92 &amp; " " &amp; I92,IF(C92="S","","ERROR")))))</f>
        <v>#define V1MT_L001_SIGMA "SIM:V1MT_L001_sigma"
#define DEFAULT_V1MT_L001_SIGMA 2.0/3.0</v>
      </c>
      <c r="B92" s="21" t="str">
        <f>IF(C92="","",IF(C92="C","  // "&amp;E92,IF(C92="P",IF(D92="E","  Variables.",IF(D92="S","  Variables.","ERROR"))&amp;"SetSetting("&amp;E92&amp;", "&amp;G92&amp;", "&amp;H92&amp;");",IF(C92="S",
IF(L92=1,"  for (int i = 0; i &lt; "&amp;N92&amp;"; i++) {"&amp;CHAR(10)&amp;IF(D92="E","    Variables.",IF(D92="S","    Variables.","ERROR"))&amp;"SetSetting("&amp;M92&amp;" + "&amp;O92&amp;", "&amp;G92&amp;", "&amp;H92&amp;");"&amp;CHAR(10)&amp;"  }",
IF(L92=2,"  for (int i = 0; i &lt; "&amp;N92&amp;"; i++) {"&amp;CHAR(10)&amp;"    for (int j = 0; j &lt; "&amp;Q92&amp;"; j++) {"&amp;CHAR(10)&amp;IF(D92="E","      Variables.",IF(D92="S","      Variables.","ERROR"))&amp;"SetSetting("&amp;M92&amp;" + "&amp;O92&amp;" + "&amp;P92&amp;" + "&amp;R92&amp;", "&amp;G92&amp;", "&amp;H92&amp;");"&amp;CHAR(10)&amp;"    }"&amp;CHAR(10)&amp;"  }","ERROR")),""))))</f>
        <v xml:space="preserve">  Variables.SetSetting(V1MT_L001_SIGMA, Data_double, 1);</v>
      </c>
      <c r="C92" s="16" t="s">
        <v>163</v>
      </c>
      <c r="D92" s="16" t="s">
        <v>234</v>
      </c>
      <c r="E92" s="24" t="s">
        <v>231</v>
      </c>
      <c r="F92" s="23" t="s">
        <v>380</v>
      </c>
      <c r="G92" s="23" t="s">
        <v>179</v>
      </c>
      <c r="H92" s="23">
        <v>1</v>
      </c>
      <c r="I92" s="51" t="s">
        <v>276</v>
      </c>
      <c r="J92" s="52">
        <f t="shared" si="18"/>
        <v>1</v>
      </c>
    </row>
    <row r="93" spans="1:18" s="24" customFormat="1" ht="15" customHeight="1">
      <c r="A93" s="21" t="str">
        <f t="shared" si="19"/>
        <v>#define V1MT_L001_MODULATION "SIM:V1MT_L001_modulation"
#define DEFAULT_V1MT_L001_MODULATION 5.33648681640625</v>
      </c>
      <c r="B93" s="21" t="str">
        <f t="shared" ref="B93:B134" si="20">IF(C93="","",IF(C93="C","  // "&amp;E93,IF(C93="P",IF(D93="E","  Variables.",IF(D93="S","  Variables.","ERROR"))&amp;"SetSetting("&amp;E93&amp;", "&amp;G93&amp;", "&amp;H93&amp;");",IF(C93="S",
IF(L93=1,"  for (int i = 0; i &lt; "&amp;N93&amp;"; i++) {"&amp;CHAR(10)&amp;IF(D93="E","    Variables.",IF(D93="S","    Variables.","ERROR"))&amp;"SetSetting("&amp;M93&amp;" + "&amp;O93&amp;", "&amp;G93&amp;", "&amp;H93&amp;");"&amp;CHAR(10)&amp;"  }",
IF(L93=2,"  for (int i = 0; i &lt; "&amp;N93&amp;"; i++) {"&amp;CHAR(10)&amp;"    for (int j = 0; j &lt; "&amp;Q93&amp;"; j++) {"&amp;CHAR(10)&amp;IF(D93="E","      Variables.",IF(D93="S","      Variables.","ERROR"))&amp;"SetSetting("&amp;M93&amp;" + "&amp;O93&amp;" + "&amp;P93&amp;" + "&amp;R93&amp;", "&amp;G93&amp;", "&amp;H93&amp;");"&amp;CHAR(10)&amp;"    }"&amp;CHAR(10)&amp;"  }","ERROR")),""))))</f>
        <v xml:space="preserve">  Variables.SetSetting(V1MT_L001_MODULATION, Data_double, 1);</v>
      </c>
      <c r="C93" s="16" t="s">
        <v>163</v>
      </c>
      <c r="D93" s="16" t="s">
        <v>234</v>
      </c>
      <c r="E93" s="24" t="s">
        <v>232</v>
      </c>
      <c r="F93" s="23" t="s">
        <v>379</v>
      </c>
      <c r="G93" s="23" t="s">
        <v>179</v>
      </c>
      <c r="H93" s="23">
        <v>1</v>
      </c>
      <c r="I93" s="53">
        <v>5.33648681640625</v>
      </c>
      <c r="J93" s="54">
        <f t="shared" si="18"/>
        <v>1</v>
      </c>
    </row>
    <row r="94" spans="1:18" s="42" customFormat="1" ht="15" customHeight="1">
      <c r="A94" s="40" t="str">
        <f t="shared" si="19"/>
        <v xml:space="preserve">
// Defines</v>
      </c>
      <c r="B94" s="40" t="str">
        <f t="shared" si="20"/>
        <v xml:space="preserve">  // Defines</v>
      </c>
      <c r="C94" s="41" t="s">
        <v>149</v>
      </c>
      <c r="D94" s="41"/>
      <c r="E94" s="42" t="s">
        <v>307</v>
      </c>
      <c r="F94" s="43"/>
      <c r="G94" s="43"/>
      <c r="H94" s="43"/>
      <c r="I94" s="43"/>
      <c r="J94" s="41" t="str">
        <f t="shared" si="18"/>
        <v/>
      </c>
    </row>
    <row r="95" spans="1:18" s="20" customFormat="1" ht="15" customHeight="1">
      <c r="A95" s="17" t="str">
        <f t="shared" si="19"/>
        <v xml:space="preserve">
// Simulator Defines</v>
      </c>
      <c r="B95" s="17" t="str">
        <f t="shared" si="20"/>
        <v xml:space="preserve">  // Simulator Defines</v>
      </c>
      <c r="C95" s="18" t="s">
        <v>149</v>
      </c>
      <c r="D95" s="18"/>
      <c r="E95" s="20" t="s">
        <v>195</v>
      </c>
      <c r="F95" s="19"/>
      <c r="G95" s="19"/>
      <c r="H95" s="19"/>
      <c r="I95" s="19"/>
      <c r="J95" s="18" t="str">
        <f t="shared" si="18"/>
        <v/>
      </c>
    </row>
    <row r="96" spans="1:18" ht="15" customHeight="1">
      <c r="A96" s="15" t="str">
        <f t="shared" si="19"/>
        <v>#define SIMULATOR_TIME_STEP "SIM:simulator_time_step"
#define DEFAULT_SIMULATOR_TIME_STEP 0.005</v>
      </c>
      <c r="B96" s="21" t="str">
        <f t="shared" si="20"/>
        <v xml:space="preserve">  Variables.SetSetting(SIMULATOR_TIME_STEP, Data_double, 1);</v>
      </c>
      <c r="C96" s="1" t="s">
        <v>163</v>
      </c>
      <c r="D96" s="1" t="s">
        <v>234</v>
      </c>
      <c r="E96" s="24" t="s">
        <v>196</v>
      </c>
      <c r="F96" s="13" t="s">
        <v>409</v>
      </c>
      <c r="G96" s="13" t="s">
        <v>179</v>
      </c>
      <c r="H96" s="13">
        <v>1</v>
      </c>
      <c r="I96" s="13">
        <v>5.0000000000000001E-3</v>
      </c>
      <c r="J96" s="1">
        <f t="shared" si="18"/>
        <v>1</v>
      </c>
    </row>
    <row r="97" spans="1:10" s="24" customFormat="1" ht="15" customHeight="1">
      <c r="A97" s="21" t="str">
        <f t="shared" si="19"/>
        <v>#define CALCULATE_ACTIVATION "activation"</v>
      </c>
      <c r="B97" s="21" t="str">
        <f t="shared" si="20"/>
        <v/>
      </c>
      <c r="C97" s="16" t="s">
        <v>137</v>
      </c>
      <c r="D97" s="16"/>
      <c r="E97" s="24" t="s">
        <v>311</v>
      </c>
      <c r="F97" s="23"/>
      <c r="G97" s="23"/>
      <c r="H97" s="23"/>
      <c r="I97" s="23" t="s">
        <v>313</v>
      </c>
      <c r="J97" s="16" t="str">
        <f t="shared" si="18"/>
        <v/>
      </c>
    </row>
    <row r="98" spans="1:10" s="24" customFormat="1" ht="15" customHeight="1">
      <c r="A98" s="21" t="str">
        <f t="shared" si="19"/>
        <v>#define CALCULATE_DACTIVATION "dactivation"</v>
      </c>
      <c r="B98" s="21" t="str">
        <f t="shared" si="20"/>
        <v/>
      </c>
      <c r="C98" s="16" t="s">
        <v>137</v>
      </c>
      <c r="D98" s="16"/>
      <c r="E98" s="24" t="s">
        <v>312</v>
      </c>
      <c r="F98" s="23"/>
      <c r="G98" s="23"/>
      <c r="H98" s="23"/>
      <c r="I98" s="23" t="s">
        <v>314</v>
      </c>
      <c r="J98" s="16" t="str">
        <f t="shared" si="18"/>
        <v/>
      </c>
    </row>
    <row r="99" spans="1:10" s="20" customFormat="1" ht="15" customHeight="1">
      <c r="A99" s="17" t="str">
        <f t="shared" si="19"/>
        <v xml:space="preserve">
// Interface Defines</v>
      </c>
      <c r="B99" s="17" t="str">
        <f t="shared" si="20"/>
        <v xml:space="preserve">  // Interface Defines</v>
      </c>
      <c r="C99" s="18" t="s">
        <v>149</v>
      </c>
      <c r="D99" s="18"/>
      <c r="E99" s="20" t="s">
        <v>197</v>
      </c>
      <c r="F99" s="19"/>
      <c r="G99" s="19"/>
      <c r="H99" s="19"/>
      <c r="I99" s="19"/>
      <c r="J99" s="18" t="str">
        <f t="shared" si="18"/>
        <v/>
      </c>
    </row>
    <row r="100" spans="1:10" s="24" customFormat="1" ht="15" customHeight="1">
      <c r="A100" s="21" t="str">
        <f t="shared" si="19"/>
        <v>#define LABEL_DONE "DONE"</v>
      </c>
      <c r="B100" s="21" t="str">
        <f t="shared" si="20"/>
        <v/>
      </c>
      <c r="C100" s="16" t="s">
        <v>137</v>
      </c>
      <c r="D100" s="16"/>
      <c r="E100" s="24" t="s">
        <v>198</v>
      </c>
      <c r="F100" s="23"/>
      <c r="G100" s="23"/>
      <c r="H100" s="23"/>
      <c r="I100" s="23" t="s">
        <v>199</v>
      </c>
      <c r="J100" s="16" t="str">
        <f t="shared" si="18"/>
        <v/>
      </c>
    </row>
    <row r="101" spans="1:10" s="24" customFormat="1" ht="15" customHeight="1">
      <c r="A101" s="21" t="str">
        <f t="shared" si="19"/>
        <v>#define LABEL_FAIL "FAIL"</v>
      </c>
      <c r="B101" s="21" t="str">
        <f t="shared" si="20"/>
        <v/>
      </c>
      <c r="C101" s="16" t="s">
        <v>137</v>
      </c>
      <c r="D101" s="16"/>
      <c r="E101" s="24" t="s">
        <v>225</v>
      </c>
      <c r="F101" s="23"/>
      <c r="G101" s="23"/>
      <c r="H101" s="23"/>
      <c r="I101" s="23" t="s">
        <v>200</v>
      </c>
      <c r="J101" s="16" t="str">
        <f t="shared" si="18"/>
        <v/>
      </c>
    </row>
    <row r="102" spans="1:10" ht="15" customHeight="1">
      <c r="A102" s="15" t="str">
        <f t="shared" si="19"/>
        <v>#define LABEL_COMMENT_STRING "#"</v>
      </c>
      <c r="B102" s="21" t="str">
        <f t="shared" si="20"/>
        <v/>
      </c>
      <c r="C102" s="1" t="s">
        <v>137</v>
      </c>
      <c r="E102" t="s">
        <v>211</v>
      </c>
      <c r="I102" s="13" t="s">
        <v>214</v>
      </c>
      <c r="J102" s="1" t="str">
        <f t="shared" si="18"/>
        <v/>
      </c>
    </row>
    <row r="103" spans="1:10" ht="15" customHeight="1">
      <c r="A103" s="15" t="str">
        <f t="shared" si="19"/>
        <v>#define LABEL_COMMENT_CHAR '#'</v>
      </c>
      <c r="B103" s="21" t="str">
        <f t="shared" si="20"/>
        <v/>
      </c>
      <c r="C103" s="1" t="s">
        <v>137</v>
      </c>
      <c r="E103" t="s">
        <v>212</v>
      </c>
      <c r="I103" s="13" t="s">
        <v>213</v>
      </c>
      <c r="J103" s="1" t="str">
        <f t="shared" si="18"/>
        <v/>
      </c>
    </row>
    <row r="104" spans="1:10" ht="15" customHeight="1">
      <c r="A104" s="15" t="str">
        <f t="shared" ref="A104:A105" si="21">IF(C104="","",IF(C104="C",CHAR(10) &amp; "// " &amp; E104,IF(C104="I","#define " &amp; E104 &amp; " " &amp; I104,IF(C104="P","#define " &amp; E104 &amp; " """ &amp; F104 &amp; """" &amp; CHAR(10) &amp; "#define DEFAULT_" &amp; E104 &amp; " " &amp; I104,IF(C104="S","","ERROR")))))</f>
        <v>#define LABEL_REDIRECTION_STRING "&gt;"</v>
      </c>
      <c r="B104" s="21" t="str">
        <f t="shared" ref="B104:B105" si="22">IF(C104="","",IF(C104="C","  // "&amp;E104,IF(C104="P",IF(D104="E","  Variables.",IF(D104="S","  Variables.","ERROR"))&amp;"SetSetting("&amp;E104&amp;", "&amp;G104&amp;", "&amp;H104&amp;");",IF(C104="S",
IF(L104=1,"  for (int i = 0; i &lt; "&amp;N104&amp;"; i++) {"&amp;CHAR(10)&amp;IF(D104="E","    Variables.",IF(D104="S","    Variables.","ERROR"))&amp;"SetSetting("&amp;M104&amp;" + "&amp;O104&amp;", "&amp;G104&amp;", "&amp;H104&amp;");"&amp;CHAR(10)&amp;"  }",
IF(L104=2,"  for (int i = 0; i &lt; "&amp;N104&amp;"; i++) {"&amp;CHAR(10)&amp;"    for (int j = 0; j &lt; "&amp;Q104&amp;"; j++) {"&amp;CHAR(10)&amp;IF(D104="E","      Variables.",IF(D104="S","      Variables.","ERROR"))&amp;"SetSetting("&amp;M104&amp;" + "&amp;O104&amp;" + "&amp;P104&amp;" + "&amp;R104&amp;", "&amp;G104&amp;", "&amp;H104&amp;");"&amp;CHAR(10)&amp;"    }"&amp;CHAR(10)&amp;"  }","ERROR")),""))))</f>
        <v/>
      </c>
      <c r="C104" s="1" t="s">
        <v>137</v>
      </c>
      <c r="E104" t="s">
        <v>413</v>
      </c>
      <c r="I104" s="13" t="s">
        <v>415</v>
      </c>
    </row>
    <row r="105" spans="1:10" ht="15" customHeight="1">
      <c r="A105" s="15" t="str">
        <f t="shared" si="21"/>
        <v>#define LABEL_REDIRECTION_CHAR '&gt;'</v>
      </c>
      <c r="B105" s="21" t="str">
        <f t="shared" si="22"/>
        <v/>
      </c>
      <c r="C105" s="1" t="s">
        <v>137</v>
      </c>
      <c r="E105" t="s">
        <v>414</v>
      </c>
      <c r="I105" s="26" t="s">
        <v>416</v>
      </c>
    </row>
    <row r="106" spans="1:10" ht="15" customHeight="1">
      <c r="A106" s="15" t="str">
        <f t="shared" ref="A106" si="23">IF(C106="","",IF(C106="C",CHAR(10) &amp; "// " &amp; E106,IF(C106="I","#define " &amp; E106 &amp; " " &amp; I106,IF(C106="P","#define " &amp; E106 &amp; " """ &amp; F106 &amp; """" &amp; CHAR(10) &amp; "#define DEFAULT_" &amp; E106 &amp; " " &amp; I106,IF(C106="S","","ERROR")))))</f>
        <v>#define LABEL_INDENTATION_STRING "&gt;"</v>
      </c>
      <c r="B106" s="21" t="str">
        <f t="shared" ref="B106" si="24">IF(C106="","",IF(C106="C","  // "&amp;E106,IF(C106="P",IF(D106="E","  Variables.",IF(D106="S","  Variables.","ERROR"))&amp;"SetSetting("&amp;E106&amp;", "&amp;G106&amp;", "&amp;H106&amp;");",IF(C106="S",
IF(L106=1,"  for (int i = 0; i &lt; "&amp;N106&amp;"; i++) {"&amp;CHAR(10)&amp;IF(D106="E","    Variables.",IF(D106="S","    Variables.","ERROR"))&amp;"SetSetting("&amp;M106&amp;" + "&amp;O106&amp;", "&amp;G106&amp;", "&amp;H106&amp;");"&amp;CHAR(10)&amp;"  }",
IF(L106=2,"  for (int i = 0; i &lt; "&amp;N106&amp;"; i++) {"&amp;CHAR(10)&amp;"    for (int j = 0; j &lt; "&amp;Q106&amp;"; j++) {"&amp;CHAR(10)&amp;IF(D106="E","      Variables.",IF(D106="S","      Variables.","ERROR"))&amp;"SetSetting("&amp;M106&amp;" + "&amp;O106&amp;" + "&amp;P106&amp;" + "&amp;R106&amp;", "&amp;G106&amp;", "&amp;H106&amp;");"&amp;CHAR(10)&amp;"    }"&amp;CHAR(10)&amp;"  }","ERROR")),""))))</f>
        <v/>
      </c>
      <c r="C106" s="1" t="s">
        <v>137</v>
      </c>
      <c r="E106" t="s">
        <v>430</v>
      </c>
      <c r="I106" s="26" t="s">
        <v>415</v>
      </c>
    </row>
    <row r="107" spans="1:10" ht="15" customHeight="1">
      <c r="A107" s="15" t="str">
        <f t="shared" ref="A107" si="25">IF(C107="","",IF(C107="C",CHAR(10) &amp; "// " &amp; E107,IF(C107="I","#define " &amp; E107 &amp; " " &amp; I107,IF(C107="P","#define " &amp; E107 &amp; " """ &amp; F107 &amp; """" &amp; CHAR(10) &amp; "#define DEFAULT_" &amp; E107 &amp; " " &amp; I107,IF(C107="S","","ERROR")))))</f>
        <v>#define LABEL_MESSAGE_STRING ": "</v>
      </c>
      <c r="B107" s="21" t="str">
        <f t="shared" ref="B107" si="26">IF(C107="","",IF(C107="C","  // "&amp;E107,IF(C107="P",IF(D107="E","  Variables.",IF(D107="S","  Variables.","ERROR"))&amp;"SetSetting("&amp;E107&amp;", "&amp;G107&amp;", "&amp;H107&amp;");",IF(C107="S",
IF(L107=1,"  for (int i = 0; i &lt; "&amp;N107&amp;"; i++) {"&amp;CHAR(10)&amp;IF(D107="E","    Variables.",IF(D107="S","    Variables.","ERROR"))&amp;"SetSetting("&amp;M107&amp;" + "&amp;O107&amp;", "&amp;G107&amp;", "&amp;H107&amp;");"&amp;CHAR(10)&amp;"  }",
IF(L107=2,"  for (int i = 0; i &lt; "&amp;N107&amp;"; i++) {"&amp;CHAR(10)&amp;"    for (int j = 0; j &lt; "&amp;Q107&amp;"; j++) {"&amp;CHAR(10)&amp;IF(D107="E","      Variables.",IF(D107="S","      Variables.","ERROR"))&amp;"SetSetting("&amp;M107&amp;" + "&amp;O107&amp;" + "&amp;P107&amp;" + "&amp;R107&amp;", "&amp;G107&amp;", "&amp;H107&amp;");"&amp;CHAR(10)&amp;"    }"&amp;CHAR(10)&amp;"  }","ERROR")),""))))</f>
        <v/>
      </c>
      <c r="C107" s="1" t="s">
        <v>137</v>
      </c>
      <c r="E107" t="s">
        <v>431</v>
      </c>
      <c r="I107" s="26" t="s">
        <v>432</v>
      </c>
    </row>
    <row r="108" spans="1:10" s="20" customFormat="1" ht="15" customHeight="1">
      <c r="A108" s="17" t="str">
        <f t="shared" ref="A108" si="27">IF(C108="","",IF(C108="C",CHAR(10) &amp; "// " &amp; E108,IF(C108="I","#define " &amp; E108 &amp; " " &amp; I108,IF(C108="P","#define " &amp; E108 &amp; " """ &amp; F108 &amp; """" &amp; CHAR(10) &amp; "#define DEFAULT_" &amp; E108 &amp; " " &amp; I108,IF(C108="S","","ERROR")))))</f>
        <v xml:space="preserve">
// Variable management calls</v>
      </c>
      <c r="B108" s="17" t="str">
        <f t="shared" si="20"/>
        <v xml:space="preserve">  // Variable management calls</v>
      </c>
      <c r="C108" s="18" t="s">
        <v>149</v>
      </c>
      <c r="D108" s="18"/>
      <c r="E108" s="20" t="s">
        <v>362</v>
      </c>
      <c r="F108" s="19"/>
      <c r="G108" s="19"/>
      <c r="H108" s="19"/>
      <c r="I108" s="19"/>
      <c r="J108" s="18" t="str">
        <f t="shared" ref="J108:J110" si="28">IF(OR(C108="P",C108="S"),IF(L108="",1,IF(L108=1,N108,IF(L108=2,N108&amp;" * "&amp;Q108,"ERROR"))),"")</f>
        <v/>
      </c>
    </row>
    <row r="109" spans="1:10" ht="15" customHeight="1">
      <c r="A109" s="15" t="str">
        <f t="shared" si="19"/>
        <v>#define LABEL_VARIABLE_MANAGEMENT "varman"</v>
      </c>
      <c r="B109" s="21" t="str">
        <f t="shared" si="20"/>
        <v/>
      </c>
      <c r="C109" s="1" t="s">
        <v>137</v>
      </c>
      <c r="E109" t="s">
        <v>361</v>
      </c>
      <c r="I109" s="13" t="s">
        <v>365</v>
      </c>
      <c r="J109" s="1" t="str">
        <f t="shared" si="28"/>
        <v/>
      </c>
    </row>
    <row r="110" spans="1:10" ht="15" customHeight="1">
      <c r="A110" s="15" t="str">
        <f t="shared" si="19"/>
        <v>#define VARMAN_SET "set"</v>
      </c>
      <c r="B110" s="21" t="str">
        <f t="shared" si="20"/>
        <v/>
      </c>
      <c r="C110" s="1" t="s">
        <v>137</v>
      </c>
      <c r="E110" t="s">
        <v>363</v>
      </c>
      <c r="I110" s="13" t="s">
        <v>364</v>
      </c>
      <c r="J110" s="1" t="str">
        <f t="shared" si="28"/>
        <v/>
      </c>
    </row>
    <row r="111" spans="1:10" ht="15" customHeight="1">
      <c r="A111" s="15" t="str">
        <f t="shared" ref="A111" si="29">IF(C111="","",IF(C111="C",CHAR(10) &amp; "// " &amp; E111,IF(C111="I","#define " &amp; E111 &amp; " " &amp; I111,IF(C111="P","#define " &amp; E111 &amp; " """ &amp; F111 &amp; """" &amp; CHAR(10) &amp; "#define DEFAULT_" &amp; E111 &amp; " " &amp; I111,IF(C111="S","","ERROR")))))</f>
        <v>#define VARMAN_PRINT "print"</v>
      </c>
      <c r="B111" s="21" t="str">
        <f t="shared" si="20"/>
        <v/>
      </c>
      <c r="C111" s="1" t="s">
        <v>137</v>
      </c>
      <c r="E111" t="s">
        <v>375</v>
      </c>
      <c r="I111" s="13" t="s">
        <v>377</v>
      </c>
    </row>
    <row r="112" spans="1:10" s="20" customFormat="1" ht="15" customHeight="1">
      <c r="A112" s="17" t="str">
        <f t="shared" si="19"/>
        <v xml:space="preserve">
// Run Simulation Calls</v>
      </c>
      <c r="B112" s="17" t="str">
        <f t="shared" si="20"/>
        <v xml:space="preserve">  // Run Simulation Calls</v>
      </c>
      <c r="C112" s="18" t="s">
        <v>149</v>
      </c>
      <c r="D112" s="18"/>
      <c r="E112" s="20" t="s">
        <v>215</v>
      </c>
      <c r="F112" s="19"/>
      <c r="G112" s="19"/>
      <c r="H112" s="19"/>
      <c r="I112" s="19"/>
      <c r="J112" s="18" t="str">
        <f t="shared" si="18"/>
        <v/>
      </c>
    </row>
    <row r="113" spans="1:10" ht="15" customHeight="1">
      <c r="A113" s="15" t="str">
        <f t="shared" si="19"/>
        <v>#define LABEL_RUN_SIMULATION "runsim"</v>
      </c>
      <c r="B113" s="21" t="str">
        <f t="shared" si="20"/>
        <v/>
      </c>
      <c r="C113" s="1" t="s">
        <v>137</v>
      </c>
      <c r="E113" t="s">
        <v>203</v>
      </c>
      <c r="I113" s="13" t="s">
        <v>208</v>
      </c>
      <c r="J113" s="1" t="str">
        <f t="shared" si="18"/>
        <v/>
      </c>
    </row>
    <row r="114" spans="1:10" ht="15" customHeight="1">
      <c r="A114" s="15" t="str">
        <f t="shared" si="19"/>
        <v>#define RUNSIM_SS_INITIALIZE "ss_initialize"</v>
      </c>
      <c r="B114" s="21" t="str">
        <f t="shared" si="20"/>
        <v/>
      </c>
      <c r="C114" s="1" t="s">
        <v>137</v>
      </c>
      <c r="E114" t="s">
        <v>367</v>
      </c>
      <c r="I114" s="13" t="s">
        <v>261</v>
      </c>
      <c r="J114" s="1" t="str">
        <f t="shared" si="18"/>
        <v/>
      </c>
    </row>
    <row r="115" spans="1:10" ht="15" customHeight="1">
      <c r="A115" s="15" t="str">
        <f t="shared" si="19"/>
        <v>#define RUNSIM_SS_ADD_V1_DIFFUSION "ss_add_V1_diffusion"</v>
      </c>
      <c r="B115" s="21" t="str">
        <f t="shared" si="20"/>
        <v/>
      </c>
      <c r="C115" s="1" t="s">
        <v>137</v>
      </c>
      <c r="E115" t="s">
        <v>368</v>
      </c>
      <c r="I115" s="13" t="s">
        <v>262</v>
      </c>
      <c r="J115" s="1" t="str">
        <f t="shared" si="18"/>
        <v/>
      </c>
    </row>
    <row r="116" spans="1:10" ht="15" customHeight="1">
      <c r="A116" s="15" t="str">
        <f t="shared" si="19"/>
        <v>#define RUNSIM_SS_SIMULATE "ss_simulate"</v>
      </c>
      <c r="B116" s="21" t="str">
        <f t="shared" si="20"/>
        <v/>
      </c>
      <c r="C116" s="1" t="s">
        <v>137</v>
      </c>
      <c r="E116" t="s">
        <v>369</v>
      </c>
      <c r="I116" s="13" t="s">
        <v>263</v>
      </c>
      <c r="J116" s="1" t="str">
        <f t="shared" si="18"/>
        <v/>
      </c>
    </row>
    <row r="117" spans="1:10" s="20" customFormat="1" ht="15" customHeight="1">
      <c r="A117" s="17" t="str">
        <f t="shared" si="19"/>
        <v xml:space="preserve">
// Reporting Calls</v>
      </c>
      <c r="B117" s="17" t="str">
        <f t="shared" si="20"/>
        <v xml:space="preserve">  // Reporting Calls</v>
      </c>
      <c r="C117" s="18" t="s">
        <v>149</v>
      </c>
      <c r="D117" s="18"/>
      <c r="E117" s="20" t="s">
        <v>216</v>
      </c>
      <c r="F117" s="19"/>
      <c r="G117" s="19"/>
      <c r="H117" s="19"/>
      <c r="I117" s="19"/>
      <c r="J117" s="18" t="str">
        <f t="shared" si="18"/>
        <v/>
      </c>
    </row>
    <row r="118" spans="1:10" ht="15" customHeight="1">
      <c r="A118" s="15" t="str">
        <f t="shared" si="19"/>
        <v>#define LABEL_REPORTING "report"</v>
      </c>
      <c r="B118" s="21" t="str">
        <f t="shared" si="20"/>
        <v/>
      </c>
      <c r="C118" s="1" t="s">
        <v>137</v>
      </c>
      <c r="E118" t="s">
        <v>204</v>
      </c>
      <c r="I118" s="13" t="s">
        <v>209</v>
      </c>
      <c r="J118" s="1" t="str">
        <f t="shared" si="18"/>
        <v/>
      </c>
    </row>
    <row r="119" spans="1:10" ht="15" customHeight="1">
      <c r="A119" s="15" t="str">
        <f t="shared" si="19"/>
        <v>#define REPORT_SS_PRINT_V1_ACTIVATION "ss_print_V1_activation"</v>
      </c>
      <c r="B119" s="21" t="str">
        <f t="shared" si="20"/>
        <v/>
      </c>
      <c r="C119" s="1" t="s">
        <v>137</v>
      </c>
      <c r="E119" t="s">
        <v>370</v>
      </c>
      <c r="I119" s="13" t="s">
        <v>266</v>
      </c>
      <c r="J119" s="1" t="str">
        <f t="shared" si="18"/>
        <v/>
      </c>
    </row>
    <row r="120" spans="1:10" ht="15" customHeight="1">
      <c r="A120" s="15" t="str">
        <f t="shared" si="19"/>
        <v>#define REPORT_SS_PRINT_V1_ACTIVATION_HORIZONTAL "ss_print_V1_activation_horizontal"</v>
      </c>
      <c r="B120" s="21" t="str">
        <f t="shared" si="20"/>
        <v/>
      </c>
      <c r="C120" s="1" t="s">
        <v>137</v>
      </c>
      <c r="E120" t="s">
        <v>371</v>
      </c>
      <c r="I120" s="13" t="s">
        <v>267</v>
      </c>
      <c r="J120" s="1" t="str">
        <f t="shared" si="18"/>
        <v/>
      </c>
    </row>
    <row r="121" spans="1:10" ht="15" customHeight="1">
      <c r="A121" s="15" t="str">
        <f t="shared" si="19"/>
        <v>#define REPORT_SS_PRINT_V1_EXTERNAL_EXCITATION "ss_print_V1_external_excitation"</v>
      </c>
      <c r="B121" s="21" t="str">
        <f t="shared" si="20"/>
        <v/>
      </c>
      <c r="C121" s="1" t="s">
        <v>137</v>
      </c>
      <c r="E121" t="s">
        <v>372</v>
      </c>
      <c r="I121" s="13" t="s">
        <v>268</v>
      </c>
      <c r="J121" s="1" t="str">
        <f t="shared" ref="J121:J132" si="30">IF(OR(C121="P",C121="S"),IF(L121="",1,IF(L121=1,N121,IF(L121=2,N121&amp;" * "&amp;Q121,"ERROR"))),"")</f>
        <v/>
      </c>
    </row>
    <row r="122" spans="1:10" ht="15" customHeight="1">
      <c r="A122" s="15" t="str">
        <f t="shared" si="19"/>
        <v>#define REPORT_SS_PRINT_MT_ACTIVATION "ss_print_MT_activation"</v>
      </c>
      <c r="B122" s="21" t="str">
        <f t="shared" si="20"/>
        <v/>
      </c>
      <c r="C122" s="1" t="s">
        <v>137</v>
      </c>
      <c r="E122" t="s">
        <v>373</v>
      </c>
      <c r="I122" s="13" t="s">
        <v>269</v>
      </c>
      <c r="J122" s="1" t="str">
        <f t="shared" si="30"/>
        <v/>
      </c>
    </row>
    <row r="123" spans="1:10" ht="15" customHeight="1">
      <c r="A123" s="15" t="str">
        <f t="shared" si="19"/>
        <v>#define REPORT_SS_PRINT_MT_ACTIVATION_HORIZONTAL "ss_print_MT_activation_horizontal"</v>
      </c>
      <c r="B123" s="21" t="str">
        <f t="shared" si="20"/>
        <v/>
      </c>
      <c r="C123" s="1" t="s">
        <v>137</v>
      </c>
      <c r="E123" t="s">
        <v>374</v>
      </c>
      <c r="I123" s="13" t="s">
        <v>270</v>
      </c>
      <c r="J123" s="1" t="str">
        <f t="shared" si="30"/>
        <v/>
      </c>
    </row>
    <row r="124" spans="1:10" s="20" customFormat="1" ht="15" customHeight="1">
      <c r="A124" s="17" t="str">
        <f t="shared" si="19"/>
        <v xml:space="preserve">
// IO Interaction Calls</v>
      </c>
      <c r="B124" s="17" t="str">
        <f t="shared" si="20"/>
        <v xml:space="preserve">  // IO Interaction Calls</v>
      </c>
      <c r="C124" s="18" t="s">
        <v>149</v>
      </c>
      <c r="D124" s="18"/>
      <c r="E124" s="20" t="s">
        <v>219</v>
      </c>
      <c r="F124" s="19"/>
      <c r="G124" s="19"/>
      <c r="H124" s="19"/>
      <c r="I124" s="19"/>
      <c r="J124" s="18" t="str">
        <f t="shared" si="30"/>
        <v/>
      </c>
    </row>
    <row r="125" spans="1:10" ht="15" customHeight="1">
      <c r="A125" s="15" t="str">
        <f t="shared" si="19"/>
        <v>#define LABEL_IO_INTERACTIONS "rescue"</v>
      </c>
      <c r="B125" s="21" t="str">
        <f t="shared" si="20"/>
        <v/>
      </c>
      <c r="C125" s="1" t="s">
        <v>137</v>
      </c>
      <c r="E125" t="s">
        <v>205</v>
      </c>
      <c r="I125" s="13" t="s">
        <v>210</v>
      </c>
      <c r="J125" s="1" t="str">
        <f t="shared" si="30"/>
        <v/>
      </c>
    </row>
    <row r="126" spans="1:10" ht="15" customHeight="1">
      <c r="A126" s="15" t="str">
        <f t="shared" si="19"/>
        <v>#define RESCUE_NPROC "nproc"</v>
      </c>
      <c r="B126" s="21" t="str">
        <f t="shared" si="20"/>
        <v/>
      </c>
      <c r="C126" s="1" t="s">
        <v>137</v>
      </c>
      <c r="E126" t="s">
        <v>378</v>
      </c>
      <c r="I126" s="13" t="s">
        <v>271</v>
      </c>
      <c r="J126" s="1" t="str">
        <f t="shared" si="30"/>
        <v/>
      </c>
    </row>
    <row r="127" spans="1:10" ht="15" customHeight="1">
      <c r="A127" s="15" t="str">
        <f t="shared" ref="A127" si="31">IF(C127="","",IF(C127="C",CHAR(10) &amp; "// " &amp; E127,IF(C127="I","#define " &amp; E127 &amp; " " &amp; I127,IF(C127="P","#define " &amp; E127 &amp; " """ &amp; F127 &amp; """" &amp; CHAR(10) &amp; "#define DEFAULT_" &amp; E127 &amp; " " &amp; I127,IF(C127="S","","ERROR")))))</f>
        <v>#define RESCUE_RETURN "return"</v>
      </c>
      <c r="B127" s="21" t="str">
        <f t="shared" ref="B127" si="32">IF(C127="","",IF(C127="C","  // "&amp;E127,IF(C127="P",IF(D127="E","  Variables.",IF(D127="S","  Variables.","ERROR"))&amp;"SetSetting("&amp;E127&amp;", "&amp;G127&amp;", "&amp;H127&amp;");",IF(C127="S",
IF(L127=1,"  for (int i = 0; i &lt; "&amp;N127&amp;"; i++) {"&amp;CHAR(10)&amp;IF(D127="E","    Variables.",IF(D127="S","    Variables.","ERROR"))&amp;"SetSetting("&amp;M127&amp;" + "&amp;O127&amp;", "&amp;G127&amp;", "&amp;H127&amp;");"&amp;CHAR(10)&amp;"  }",
IF(L127=2,"  for (int i = 0; i &lt; "&amp;N127&amp;"; i++) {"&amp;CHAR(10)&amp;"    for (int j = 0; j &lt; "&amp;Q127&amp;"; j++) {"&amp;CHAR(10)&amp;IF(D127="E","      Variables.",IF(D127="S","      Variables.","ERROR"))&amp;"SetSetting("&amp;M127&amp;" + "&amp;O127&amp;" + "&amp;P127&amp;" + "&amp;R127&amp;", "&amp;G127&amp;", "&amp;H127&amp;");"&amp;CHAR(10)&amp;"    }"&amp;CHAR(10)&amp;"  }","ERROR")),""))))</f>
        <v/>
      </c>
      <c r="C127" s="1" t="s">
        <v>137</v>
      </c>
      <c r="E127" t="s">
        <v>427</v>
      </c>
      <c r="I127" s="13" t="s">
        <v>429</v>
      </c>
    </row>
    <row r="128" spans="1:10" s="38" customFormat="1" ht="15" customHeight="1">
      <c r="A128" s="36"/>
      <c r="B128" s="30" t="str">
        <f t="shared" si="20"/>
        <v/>
      </c>
      <c r="C128" s="37"/>
      <c r="D128" s="37"/>
      <c r="E128" s="38" t="s">
        <v>259</v>
      </c>
      <c r="F128" s="39"/>
      <c r="G128" s="39"/>
      <c r="H128" s="39"/>
      <c r="I128" s="39"/>
      <c r="J128" s="37" t="str">
        <f t="shared" si="30"/>
        <v/>
      </c>
    </row>
    <row r="129" spans="1:11" ht="15" customHeight="1">
      <c r="A129" s="15" t="str">
        <f>IF(C129="","",IF(C129="C",CHAR(10) &amp; "// " &amp; E129,IF(C129="I","#define " &amp; E129 &amp; " " &amp; I129,IF(C129="P","#define " &amp; E129 &amp; " """ &amp; F129 &amp; """" &amp; CHAR(10) &amp; "#define DEFAULT_" &amp; E129 &amp; " " &amp; I129,IF(C129="S","","ERROR")))))</f>
        <v>#define NPROC_SILENT "Nproc_Silent"</v>
      </c>
      <c r="B129" s="21" t="str">
        <f t="shared" si="20"/>
        <v/>
      </c>
      <c r="C129" s="1" t="s">
        <v>137</v>
      </c>
      <c r="E129" t="s">
        <v>220</v>
      </c>
      <c r="I129" s="13" t="s">
        <v>221</v>
      </c>
      <c r="J129" s="1" t="str">
        <f t="shared" si="30"/>
        <v/>
      </c>
    </row>
    <row r="130" spans="1:11" s="24" customFormat="1" ht="15" customHeight="1">
      <c r="A130" s="21" t="str">
        <f>IF(C130="","",IF(C130="C",CHAR(10) &amp; "// " &amp; E130,IF(C130="I","#define " &amp; E130 &amp; " " &amp; I130,IF(C130="P","#define " &amp; E130 &amp; " """ &amp; F130 &amp; """" &amp; CHAR(10) &amp; "#define DEFAULT_" &amp; E130 &amp; " " &amp; I130,IF(C130="S","","ERROR")))))</f>
        <v>#define HASH_SIZE 2097152</v>
      </c>
      <c r="B130" s="21" t="str">
        <f t="shared" si="20"/>
        <v/>
      </c>
      <c r="C130" s="16" t="s">
        <v>137</v>
      </c>
      <c r="D130" s="16"/>
      <c r="E130" s="24" t="s">
        <v>153</v>
      </c>
      <c r="F130" s="23"/>
      <c r="G130" s="23"/>
      <c r="H130" s="23"/>
      <c r="I130" s="23">
        <v>2097152</v>
      </c>
      <c r="J130" s="16" t="str">
        <f t="shared" si="30"/>
        <v/>
      </c>
      <c r="K130" s="24" t="s">
        <v>247</v>
      </c>
    </row>
    <row r="131" spans="1:11" ht="15" customHeight="1">
      <c r="A131" s="15" t="str">
        <f t="shared" ref="A131:A132" si="33">IF(C131="","",IF(C131="C",CHAR(10) &amp; "// " &amp; E131,IF(C131="I","#define " &amp; E131 &amp; " " &amp; I131,IF(C131="P","#define " &amp; E131 &amp; " """ &amp; F131 &amp; """" &amp; CHAR(10) &amp; "#define DEFAULT_" &amp; E131 &amp; " " &amp; I131,IF(C131="S","","ERROR")))))</f>
        <v>#define LABEL_ENVIRONMENT_SETTINGS "setenv"</v>
      </c>
      <c r="B131" s="21" t="str">
        <f t="shared" si="20"/>
        <v/>
      </c>
      <c r="C131" s="1" t="s">
        <v>137</v>
      </c>
      <c r="E131" t="s">
        <v>201</v>
      </c>
      <c r="I131" s="13" t="s">
        <v>206</v>
      </c>
      <c r="J131" s="1" t="str">
        <f t="shared" si="30"/>
        <v/>
      </c>
    </row>
    <row r="132" spans="1:11" ht="15" customHeight="1">
      <c r="A132" s="15" t="str">
        <f t="shared" si="33"/>
        <v>#define LABEL_SIMULATOR_SETTINGS "setsim"</v>
      </c>
      <c r="B132" s="21" t="str">
        <f t="shared" si="20"/>
        <v/>
      </c>
      <c r="C132" s="1" t="s">
        <v>137</v>
      </c>
      <c r="E132" t="s">
        <v>202</v>
      </c>
      <c r="I132" s="13" t="s">
        <v>207</v>
      </c>
      <c r="J132" s="1" t="str">
        <f t="shared" si="30"/>
        <v/>
      </c>
    </row>
    <row r="133" spans="1:11" ht="15" customHeight="1">
      <c r="A133" s="15" t="str">
        <f>IF(C133="","",IF(C133="C",CHAR(10) &amp; "// " &amp; E133,IF(C133="I","#define " &amp; E133 &amp; " " &amp; I133,IF(C133="P","#define " &amp; E133 &amp; " """ &amp; F133 &amp; """" &amp; CHAR(10) &amp; "#define DEFAULT_" &amp; E133 &amp; " " &amp; I133,IF(C133="S","","ERROR")))))</f>
        <v>#define PRINT_ENV "print_env"</v>
      </c>
      <c r="B133" s="21" t="str">
        <f t="shared" si="20"/>
        <v/>
      </c>
      <c r="C133" s="1" t="s">
        <v>137</v>
      </c>
      <c r="E133" t="s">
        <v>217</v>
      </c>
      <c r="I133" s="13" t="s">
        <v>264</v>
      </c>
      <c r="J133" s="1" t="str">
        <f>IF(OR(C133="P",C133="S"),IF(L133="",1,IF(L133=1,N133,IF(L133=2,N133&amp;" * "&amp;Q133,"ERROR"))),"")</f>
        <v/>
      </c>
    </row>
    <row r="134" spans="1:11" ht="15" customHeight="1">
      <c r="A134" s="15" t="str">
        <f>IF(C134="","",IF(C134="C",CHAR(10) &amp; "// " &amp; E134,IF(C134="I","#define " &amp; E134 &amp; " " &amp; I134,IF(C134="P","#define " &amp; E134 &amp; " """ &amp; F134 &amp; """" &amp; CHAR(10) &amp; "#define DEFAULT_" &amp; E134 &amp; " " &amp; I134,IF(C134="S","","ERROR")))))</f>
        <v>#define PRINT_SIM "print_sim"</v>
      </c>
      <c r="B134" s="21" t="str">
        <f t="shared" si="20"/>
        <v/>
      </c>
      <c r="C134" s="1" t="s">
        <v>137</v>
      </c>
      <c r="E134" t="s">
        <v>218</v>
      </c>
      <c r="I134" s="13" t="s">
        <v>265</v>
      </c>
      <c r="J134" s="1" t="str">
        <f>IF(OR(C134="P",C134="S"),IF(L134="",1,IF(L134=1,N134,IF(L134=2,N134&amp;" * "&amp;Q134,"ERROR"))),"")</f>
        <v/>
      </c>
    </row>
    <row r="135" spans="1:11" ht="15" customHeight="1">
      <c r="A135" s="15" t="str">
        <f>IF(C135="","",IF(C135="C",CHAR(10) &amp; "// " &amp; E135,IF(C135="I","#define " &amp; E135 &amp; " " &amp; I135,IF(C135="P","#define " &amp; E135 &amp; " """ &amp; F135 &amp; """" &amp; CHAR(10) &amp; "#define DEFAULT_" &amp; E135 &amp; " " &amp; I135,IF(C135="S","","ERROR")))))</f>
        <v>#define NEURONS_NAME_SIZE 6</v>
      </c>
      <c r="B135" s="21" t="str">
        <f>IF(C135="","",IF(C135="C","  // "&amp;E135,IF(C135="P",IF(D135="E","  Variables.",IF(D135="S","  Variables.","ERROR"))&amp;"SetSetting("&amp;E135&amp;", "&amp;G135&amp;", "&amp;H135&amp;");",IF(C135="S",
IF(L135=1,"  for (int i = 0; i &lt; "&amp;N135&amp;"; i++) {"&amp;CHAR(10)&amp;IF(D135="E","    Variables.",IF(D135="S","    Variables.","ERROR"))&amp;"SetSetting("&amp;M135&amp;" + "&amp;O135&amp;", "&amp;G135&amp;", "&amp;H135&amp;");"&amp;CHAR(10)&amp;"  }",
IF(L135=2,"  for (int i = 0; i &lt; "&amp;N135&amp;"; i++) {"&amp;CHAR(10)&amp;"    for (int j = 0; j &lt; "&amp;Q135&amp;"; j++) {"&amp;CHAR(10)&amp;IF(D135="E","      Variables.",IF(D135="S","      Variables.","ERROR"))&amp;"SetSetting("&amp;M135&amp;" + "&amp;O135&amp;" + "&amp;P135&amp;" + "&amp;R135&amp;", "&amp;G135&amp;", "&amp;H135&amp;");"&amp;CHAR(10)&amp;"    }"&amp;CHAR(10)&amp;"  }","ERROR")),""))))</f>
        <v/>
      </c>
      <c r="C135" s="1" t="s">
        <v>137</v>
      </c>
      <c r="E135" s="25" t="s">
        <v>240</v>
      </c>
      <c r="I135" s="13">
        <v>6</v>
      </c>
      <c r="J135" s="1" t="str">
        <f>IF(OR(C135="P",C135="S"),IF(L135="",1,IF(L135=1,N135,IF(L135=2,N135&amp;" * "&amp;Q135,"ERROR"))),"")</f>
        <v/>
      </c>
      <c r="K135" t="s">
        <v>169</v>
      </c>
    </row>
  </sheetData>
  <pageMargins left="0.7" right="0.7" top="0.75" bottom="0.75" header="0.3" footer="0.3"/>
  <pageSetup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Generation</vt:lpstr>
      <vt:lpstr>LM.Initialize</vt:lpstr>
      <vt:lpstr>IM.Initialize</vt:lpstr>
      <vt:lpstr>def.lab.def</vt:lpstr>
      <vt:lpstr>def.int.def</vt:lpstr>
      <vt:lpstr>def.env.var</vt:lpstr>
      <vt:lpstr>def.env.def</vt:lpstr>
      <vt:lpstr>def.V1.var</vt:lpstr>
      <vt:lpstr>def.V1.def</vt:lpstr>
      <vt:lpstr>def.MT.var</vt:lpstr>
      <vt:lpstr>def.MT.def</vt:lpstr>
      <vt:lpstr>def.lin.var</vt:lpstr>
      <vt:lpstr>def.lin.def</vt:lpstr>
      <vt:lpstr>def.sim.var</vt:lpstr>
      <vt:lpstr>def.sim.def</vt:lpstr>
      <vt:lpstr>define.Initialize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Lothar</dc:creator>
  <cp:lastModifiedBy>Pedro Toledo</cp:lastModifiedBy>
  <dcterms:created xsi:type="dcterms:W3CDTF">2015-02-14T01:58:55Z</dcterms:created>
  <dcterms:modified xsi:type="dcterms:W3CDTF">2015-05-29T02:07:05Z</dcterms:modified>
</cp:coreProperties>
</file>