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codeName="ThisWorkbook" autoCompressPictures="0"/>
  <bookViews>
    <workbookView xWindow="0" yWindow="0" windowWidth="32640" windowHeight="20540" tabRatio="904"/>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Sheet1" sheetId="20" r:id="rId17"/>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0" i="2" l="1"/>
  <c r="C9" i="2"/>
  <c r="C5" i="2"/>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6" i="7"/>
  <c r="B11" i="7"/>
  <c r="B18" i="7"/>
  <c r="B17" i="7"/>
  <c r="B14" i="7"/>
  <c r="B15" i="7"/>
  <c r="B13"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20" i="7"/>
  <c r="B19"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I16"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I15" i="3"/>
  <c r="I14" i="3"/>
  <c r="I12"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<sst xmlns="http://schemas.openxmlformats.org/spreadsheetml/2006/main" count="1688" uniqueCount="659">
  <si>
    <t>#</t>
  </si>
  <si>
    <t>IN-001</t>
  </si>
  <si>
    <t>T</t>
  </si>
  <si>
    <t>F</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</si>
  <si>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</si>
  <si>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</si>
  <si>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</si>
  <si>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</si>
  <si>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</si>
  <si>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</si>
  <si>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</si>
  <si>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</si>
  <si>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</si>
  <si>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</si>
  <si>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</si>
  <si>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</si>
  <si>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</si>
  <si>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</si>
  <si>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</si>
  <si>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</si>
  <si>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</si>
  <si>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</si>
  <si>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</si>
  <si>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</si>
  <si>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</si>
  <si>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</si>
  <si>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</si>
  <si>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</si>
  <si>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</si>
  <si>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</si>
  <si>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</si>
  <si>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</si>
  <si>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</si>
  <si>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</si>
  <si>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</si>
  <si>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</si>
  <si>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</si>
  <si>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</si>
  <si>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</si>
  <si>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</si>
  <si>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</si>
  <si>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</si>
  <si>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</si>
  <si>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</si>
  <si>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</si>
  <si>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</si>
  <si>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</si>
  <si>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</si>
  <si>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</si>
  <si>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</si>
  <si>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</si>
  <si>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</si>
  <si>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</si>
  <si>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</si>
  <si>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DV-017</t>
  </si>
  <si>
    <t>Discrepancy on neuron type on assignment</t>
  </si>
  <si>
    <t>DV-018</t>
  </si>
  <si>
    <t>Trying to quick retrieve un-existent value</t>
  </si>
  <si>
    <t>Reporting Issues</t>
  </si>
  <si>
    <t>RP-001</t>
  </si>
  <si>
    <t>Trying to open an already opened stream</t>
  </si>
  <si>
    <t>RP-002</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</si>
  <si>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</si>
  <si>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</si>
  <si>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</si>
  <si>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</si>
  <si>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</si>
  <si>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</si>
  <si>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</si>
  <si>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</si>
  <si>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</si>
  <si>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</si>
  <si>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</si>
  <si>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</si>
  <si>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</si>
  <si>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</si>
  <si>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</si>
  <si>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</si>
  <si>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</si>
  <si>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</si>
  <si>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</si>
  <si>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</si>
  <si>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</si>
  <si>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</si>
  <si>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</si>
  <si>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</si>
  <si>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</si>
  <si>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</si>
  <si>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</si>
  <si>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</si>
  <si>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</si>
  <si>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</si>
  <si>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</si>
  <si>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</si>
  <si>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</si>
  <si>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</si>
  <si>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</si>
  <si>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</si>
  <si>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</si>
  <si>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</si>
  <si>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</si>
  <si>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</si>
  <si>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</si>
  <si>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</si>
  <si>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</si>
  <si>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</si>
  <si>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</si>
  <si>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</si>
  <si>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</si>
  <si>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</si>
  <si>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</si>
  <si>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</si>
  <si>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</si>
  <si>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</si>
  <si>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</si>
  <si>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</si>
  <si>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</si>
  <si>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</si>
  <si>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</si>
  <si>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</si>
  <si>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</si>
  <si>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</si>
  <si>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</si>
  <si>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</si>
  <si>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</si>
  <si>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</si>
  <si>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</si>
  <si>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</si>
  <si>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</si>
  <si>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</si>
  <si>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</si>
  <si>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</si>
  <si>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</si>
  <si>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</si>
  <si>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</si>
  <si>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</si>
  <si>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</si>
  <si>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</si>
  <si>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</si>
  <si>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</si>
  <si>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</si>
  <si>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</si>
  <si>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</si>
  <si>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</si>
  <si>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</si>
  <si>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</si>
  <si>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</si>
  <si>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</si>
  <si>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</si>
  <si>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</si>
  <si>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</si>
  <si>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</si>
  <si>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</si>
  <si>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</si>
  <si>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</si>
  <si>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</si>
  <si>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</si>
  <si>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</si>
  <si>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</si>
  <si>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</si>
  <si>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</si>
  <si>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</si>
  <si>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</si>
  <si>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</si>
  <si>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</si>
  <si>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</si>
  <si>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</si>
  <si>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</si>
  <si>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</si>
  <si>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</si>
  <si>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</si>
  <si>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</si>
  <si>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</si>
  <si>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</si>
  <si>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</si>
  <si>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</si>
  <si>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</si>
  <si>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</si>
  <si>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</si>
  <si>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</si>
  <si>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</si>
  <si>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</si>
  <si>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</si>
  <si>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</si>
  <si>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</si>
  <si>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</si>
  <si>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</si>
  <si>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</si>
  <si>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</si>
  <si>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</si>
  <si>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</si>
  <si>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</si>
  <si>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</si>
  <si>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</si>
  <si>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</si>
  <si>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</si>
  <si>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</si>
  <si>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</si>
  <si>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</si>
  <si>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</si>
  <si>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</si>
  <si>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</si>
  <si>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</si>
  <si>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</si>
  <si>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</si>
  <si>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</si>
  <si>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</si>
  <si>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</si>
  <si>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</si>
  <si>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</si>
  <si>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</si>
  <si>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</si>
  <si>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</si>
  <si>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</si>
  <si>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</si>
  <si>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</si>
  <si>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</si>
  <si>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</si>
  <si>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</si>
  <si>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</si>
  <si>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</si>
  <si>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</si>
  <si>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</si>
  <si>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</si>
  <si>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</si>
  <si>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</si>
  <si>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</si>
  <si>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</si>
  <si>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</si>
  <si>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</si>
  <si>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</si>
  <si>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</si>
  <si>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</si>
  <si>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</si>
  <si>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</si>
  <si>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</si>
  <si>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</si>
  <si>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</si>
  <si>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</si>
  <si>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</si>
  <si>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</si>
  <si>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</si>
  <si>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</si>
  <si>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</si>
  <si>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</si>
  <si>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</si>
  <si>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</si>
  <si>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</si>
  <si>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</si>
  <si>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</si>
  <si>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</si>
  <si>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</si>
  <si>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</si>
  <si>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</si>
  <si>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</si>
  <si>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</si>
  <si>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</si>
  <si>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</si>
  <si>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</si>
  <si>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</si>
  <si>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</si>
  <si>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</si>
  <si>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</si>
  <si>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</si>
  <si>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</si>
  <si>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</si>
  <si>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</si>
  <si>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</si>
  <si>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</si>
  <si>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</si>
  <si>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</si>
  <si>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</si>
  <si>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</si>
  <si>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</si>
  <si>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</si>
  <si>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</si>
  <si>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</si>
  <si>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</si>
  <si>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</si>
  <si>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</si>
  <si>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</si>
  <si>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</si>
  <si>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</si>
  <si>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</si>
  <si>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</si>
  <si>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</si>
  <si>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</si>
  <si>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</si>
  <si>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</si>
  <si>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</si>
  <si>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</si>
  <si>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</si>
  <si>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</si>
  <si>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</si>
  <si>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</si>
  <si>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</si>
  <si>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</si>
  <si>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</si>
  <si>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</si>
  <si>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</si>
  <si>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</si>
  <si>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</si>
  <si>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</si>
  <si>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</si>
  <si>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</si>
  <si>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</si>
  <si>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</si>
  <si>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</si>
  <si>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</si>
  <si>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</si>
  <si>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</si>
  <si>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</si>
  <si>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</si>
  <si>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</si>
  <si>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</si>
  <si>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</si>
  <si>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</si>
  <si>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</si>
  <si>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</si>
  <si>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</si>
  <si>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</si>
  <si>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</si>
  <si>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</si>
  <si>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</si>
  <si>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</si>
  <si>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</si>
  <si>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</si>
  <si>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</si>
  <si>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</si>
  <si>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</si>
  <si>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</si>
  <si>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</si>
  <si>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</si>
  <si>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</si>
  <si>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</si>
  <si>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</si>
  <si>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</si>
  <si>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</si>
  <si>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</si>
  <si>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</si>
  <si>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</si>
  <si>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</si>
  <si>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</si>
  <si>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</si>
  <si>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</si>
  <si>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</si>
  <si>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</si>
  <si>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</si>
  <si>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</si>
  <si>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</si>
  <si>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</si>
  <si>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</si>
  <si>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</si>
  <si>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</si>
  <si>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</si>
  <si>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</si>
  <si>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</si>
  <si>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</si>
  <si>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</si>
  <si>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</si>
  <si>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</si>
  <si>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</si>
  <si>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</si>
  <si>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</si>
  <si>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</si>
  <si>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</si>
  <si>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</si>
  <si>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</si>
  <si>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</si>
  <si>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</si>
  <si>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</si>
  <si>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</si>
  <si>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</si>
  <si>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</si>
  <si>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</si>
  <si>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</si>
  <si>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</si>
  <si>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</si>
  <si>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</si>
  <si>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</si>
  <si>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</si>
  <si>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</si>
  <si>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</si>
  <si>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</si>
  <si>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LABEL_REDIRECTION_STRING</t>
  </si>
  <si>
    <t>LABEL_REDIRECTION_CHAR</t>
  </si>
  <si>
    <t>"&gt;"</t>
  </si>
  <si>
    <t>'&gt;'</t>
  </si>
  <si>
    <t>DV-008</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</si>
  <si>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</si>
  <si>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</si>
  <si>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</si>
  <si>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</si>
  <si>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</si>
  <si>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</si>
  <si>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</si>
  <si>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</si>
  <si>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</si>
  <si>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</si>
  <si>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</si>
  <si>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</si>
  <si>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</si>
  <si>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</si>
  <si>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</si>
  <si>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</si>
  <si>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</si>
  <si>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</si>
  <si>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</si>
  <si>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</si>
  <si>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</si>
  <si>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</si>
  <si>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</si>
  <si>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</si>
  <si>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</si>
  <si>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</si>
  <si>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</si>
  <si>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</si>
  <si>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</si>
  <si>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</si>
  <si>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</si>
  <si>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</si>
  <si>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</si>
  <si>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</si>
  <si>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</si>
  <si>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</si>
  <si>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</si>
  <si>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</si>
  <si>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</si>
  <si>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</si>
  <si>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</si>
  <si>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</si>
  <si>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</si>
  <si>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</si>
  <si>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</si>
  <si>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</si>
  <si>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</si>
  <si>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</si>
  <si>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</si>
  <si>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</si>
  <si>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</si>
  <si>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</si>
  <si>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</si>
  <si>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</si>
  <si>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</si>
  <si>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</si>
  <si>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</si>
  <si>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</si>
  <si>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</si>
  <si>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</si>
  <si>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</si>
  <si>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</si>
  <si>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</si>
  <si>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</si>
  <si>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</si>
  <si>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</si>
  <si>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SettingsManager.Initialize.cpp</t>
  </si>
  <si>
    <t>TimeStamp</t>
  </si>
  <si>
    <t>All</t>
  </si>
  <si>
    <t>Label</t>
  </si>
  <si>
    <t>Value</t>
  </si>
  <si>
    <t>Define</t>
  </si>
  <si>
    <t>Variable</t>
  </si>
  <si>
    <t>Type</t>
  </si>
  <si>
    <t>Size</t>
  </si>
  <si>
    <t>Default</t>
  </si>
  <si>
    <t>MT_LABEL + LABEL_NEURON_SEPARATOR + i</t>
  </si>
  <si>
    <t>Manual_22_Instructions_A.tex</t>
  </si>
  <si>
    <t>NoDefine</t>
  </si>
  <si>
    <t>Extra</t>
  </si>
  <si>
    <t>"'"</t>
  </si>
  <si>
    <t xml:space="preserve">  for (int i = 0; i &lt; V1_MAX_NEURONS; i++) {
    for (int j = 0; j &lt; V1_MAX_NEURONS; j++) {
      Variables.SetSetting(string("SIM:") + V1_LABEL + string("'") + IIntToString(i) + ":" + V1_LABEL + string("'") + IIntToString(j), Data_double, 1);
    }
  }</t>
  </si>
  <si>
    <t xml:space="preserve">  for (int i = 0; i &lt; V1_MAX_NEURONS; i++) {
    Variables.SetSetting(string("SIM:") + V1_LABEL + string("'") + IIntToString(i), Data_double, 8);
  }</t>
  </si>
  <si>
    <t xml:space="preserve">  for (int i = 0; i &lt; MT_MAX_NEURONS; i++) {
    Variables.SetSetting(string("SIM:") + MT_LABEL + string("'") + IIntToString(i), Data_double, 6);
  }</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</si>
  <si>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</si>
  <si>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</si>
  <si>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</si>
  <si>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</si>
  <si>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This command allows to set a list of values to a variable. To work, it sould have the following format:
\begin{verbatim}
varman set &lt;variable name&gt; &lt;list of values&gt;
\end{verbatim}
The number of values of the list of values (number of strings separated by spaces and/or tabs) should be exactly the number supported by the variable. By other side, each value on the list will be interpreted as the expected type for the variable independently of their format.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</si>
  <si>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</si>
  <si>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</si>
  <si>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</si>
  <si>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</si>
  <si>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</si>
  <si>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</si>
  <si>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</si>
  <si>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</si>
  <si>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</si>
  <si>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The Neuronment sequencer as instance is trying to be copied to another instance. This is not suppose to happen as a sequencer should never be copied.</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</si>
  <si>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</si>
  <si>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</si>
  <si>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</si>
  <si>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</si>
  <si>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</si>
  <si>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When trying to open a file for redirection the OS failed to give a successful operation result.</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</si>
  <si>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</si>
  <si>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</si>
  <si>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</si>
  <si>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</si>
  <si>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</si>
  <si>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</si>
  <si>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</si>
  <si>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</si>
  <si>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</si>
  <si>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command on execution requires the definition of a flag (a word that starts with "-" in the arguments) that is not present or without a value (if a flag requires a value, the next word after it should be the string representing the value for the flag. This string must NOT start with a "-". If the value is a negative number put it between quotes).</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</si>
  <si>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</si>
  <si>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</si>
  <si>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</si>
  <si>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</si>
  <si>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</si>
  <si>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</si>
  <si>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</si>
  <si>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</si>
  <si>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</si>
  <si>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</si>
  <si>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The interpreter is trying to close a redirection file that has not been oppened.</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</si>
  <si>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</si>
  <si>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</si>
  <si>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</si>
  <si>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</si>
  <si>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</si>
  <si>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</si>
  <si>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</si>
  <si>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</si>
  <si>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allows to get the list of values currently stored on a variable. To work it should have the following format:
\begin{verbatim}
varman print &lt;variable name&gt;
\end{verbatim}
If the variable doesn't exist or if it does not hold any value it will answer with a coded message.</t>
  </si>
  <si>
    <t>The hash table has all the keys filled with values. The hash tables in Neuronment does not store lists under colissions.</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</si>
  <si>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</si>
  <si>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</si>
  <si>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</si>
  <si>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</si>
  <si>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</si>
  <si>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</si>
  <si>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</si>
  <si>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</si>
  <si>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</si>
  <si>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</si>
  <si>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</si>
  <si>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</si>
  <si>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</si>
  <si>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</si>
  <si>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</si>
  <si>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</si>
  <si>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</si>
  <si>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</si>
  <si>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</si>
  <si>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</si>
  <si>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</si>
  <si>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</si>
  <si>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</si>
  <si>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</si>
  <si>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</si>
  <si>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</si>
  <si>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</si>
  <si>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</si>
  <si>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</si>
  <si>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</si>
  <si>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</si>
  <si>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</si>
  <si>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</si>
  <si>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</si>
  <si>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</si>
  <si>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</si>
  <si>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</si>
  <si>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</si>
  <si>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</si>
  <si>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</si>
  <si>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</si>
  <si>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</si>
  <si>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</si>
  <si>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Not possible to retrieve all the required values for coded message</t>
  </si>
  <si>
    <t>DV-023</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</si>
  <si>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</si>
  <si>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</si>
  <si>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</si>
  <si>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</si>
  <si>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</si>
  <si>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</si>
  <si>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</si>
  <si>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</si>
  <si>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</si>
  <si>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</si>
  <si>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</si>
  <si>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</si>
  <si>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</si>
  <si>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</si>
  <si>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</si>
  <si>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</si>
  <si>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</si>
  <si>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</si>
  <si>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</si>
  <si>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</si>
  <si>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</si>
  <si>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</si>
  <si>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</si>
  <si>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</si>
  <si>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</si>
  <si>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</si>
  <si>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</si>
  <si>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</si>
  <si>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</si>
  <si>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</si>
  <si>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</si>
  <si>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</si>
  <si>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</si>
  <si>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</si>
  <si>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</si>
  <si>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</si>
  <si>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</si>
  <si>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</si>
  <si>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</si>
  <si>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</si>
  <si>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</si>
  <si>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</si>
  <si>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</si>
  <si>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</si>
  <si>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</si>
  <si>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</si>
  <si>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</si>
  <si>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</si>
  <si>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</si>
  <si>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</si>
  <si>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No calid redirection mode declared at redirection time</t>
  </si>
  <si>
    <t>DV-025</t>
  </si>
  <si>
    <t>DV-026</t>
  </si>
  <si>
    <t>Trying to close a redirection at 0 redirection level</t>
  </si>
  <si>
    <t>Redirection without a command to redirect</t>
  </si>
  <si>
    <t>IN-020</t>
  </si>
  <si>
    <t>IN-021</t>
  </si>
  <si>
    <t>Redirection does not specify a destination file</t>
  </si>
  <si>
    <t>Copying an instance that never should be copied</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</si>
  <si>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</si>
  <si>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</si>
  <si>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</si>
  <si>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</si>
  <si>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</si>
  <si>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</si>
  <si>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</si>
  <si>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</si>
  <si>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</si>
  <si>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</si>
  <si>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</si>
  <si>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</si>
  <si>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</si>
  <si>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</si>
  <si>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</si>
  <si>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</si>
  <si>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</si>
  <si>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RP-003</t>
  </si>
  <si>
    <t>Trying to use a not good stream for output</t>
  </si>
  <si>
    <t>Problem obtaining the output stream</t>
  </si>
  <si>
    <t>DV-029</t>
  </si>
  <si>
    <t>cout redirection not of type RedirectionNone</t>
  </si>
  <si>
    <t>Trying to close a not good stream</t>
  </si>
  <si>
    <t>IN-023</t>
  </si>
  <si>
    <t>A line continuation character must be preceded by a space</t>
  </si>
  <si>
    <t>Variable management</t>
  </si>
  <si>
    <t>varman</t>
  </si>
  <si>
    <t>set</t>
  </si>
  <si>
    <t>get</t>
  </si>
  <si>
    <t>Trying to set a variable that already exist with another data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</si>
</sst>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6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5">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2" fontId="0" fillId="34" borderId="0" xfId="0" applyNumberFormat="1"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2" fontId="0" fillId="33" borderId="0" xfId="0" applyNumberFormat="1"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NumberFormat="1"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2" fontId="0" fillId="33" borderId="0" xfId="0" applyNumberFormat="1" applyFill="1" applyAlignment="1">
      <alignment horizontal="center" vertical="top"/>
    </xf>
    <xf numFmtId="0" fontId="0" fillId="0" borderId="0" xfId="0" applyAlignment="1">
      <alignment horizontal="center" vertical="top"/>
    </xf>
    <xf numFmtId="0" fontId="0" fillId="0" borderId="0" xfId="0" applyNumberFormat="1"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2" fontId="0" fillId="0" borderId="0" xfId="0" applyNumberFormat="1" applyAlignment="1">
      <alignment horizontal="center"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NumberFormat="1"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NumberFormat="1"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cellXfs>
  <cellStyles count="6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tabSelected="1" workbookViewId="0">
      <selection activeCell="E22" sqref="E22"/>
    </sheetView>
  </sheetViews>
  <sheetFormatPr baseColWidth="10" defaultColWidth="8.83203125" defaultRowHeight="14" x14ac:dyDescent="0"/>
  <cols>
    <col min="1" max="1" width="2.83203125" customWidth="1"/>
    <col min="2" max="2" width="35.6640625" style="3" customWidth="1"/>
    <col min="3" max="3" width="21.5" style="1" customWidth="1"/>
  </cols>
  <sheetData>
    <row r="2" spans="2:3">
      <c r="B2" s="38" t="s">
        <v>452</v>
      </c>
      <c r="C2" s="38" t="s">
        <v>456</v>
      </c>
    </row>
    <row r="3" spans="2:3">
      <c r="B3" s="39" t="s">
        <v>457</v>
      </c>
      <c r="C3" s="45">
        <v>42199.188298611109</v>
      </c>
    </row>
    <row r="4" spans="2:3">
      <c r="B4" s="40" t="s">
        <v>454</v>
      </c>
      <c r="C4" s="41">
        <v>42199.188287037039</v>
      </c>
    </row>
    <row r="5" spans="2:3">
      <c r="B5" s="40" t="s">
        <v>608</v>
      </c>
      <c r="C5" s="41">
        <v>42199.188287037039</v>
      </c>
    </row>
    <row r="6" spans="2:3">
      <c r="B6" s="40" t="s">
        <v>607</v>
      </c>
      <c r="C6" s="41">
        <v>42199.188287037039</v>
      </c>
    </row>
    <row r="7" spans="2:3">
      <c r="B7" s="40" t="s">
        <v>455</v>
      </c>
      <c r="C7" s="41">
        <v>42199.188287037039</v>
      </c>
    </row>
    <row r="8" spans="2:3">
      <c r="B8" s="40" t="s">
        <v>466</v>
      </c>
      <c r="C8" s="41">
        <v>42199.188298611109</v>
      </c>
    </row>
    <row r="9" spans="2:3">
      <c r="B9" s="40" t="s">
        <v>453</v>
      </c>
      <c r="C9" s="41">
        <v>42199.188298611109</v>
      </c>
    </row>
    <row r="10" spans="2:3">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132"/>
  <sheetViews>
    <sheetView workbookViewId="0">
      <pane ySplit="1" topLeftCell="A22" activePane="bottomLeft" state="frozen"/>
      <selection pane="bottomLeft" activeCell="F31" sqref="F31"/>
    </sheetView>
  </sheetViews>
  <sheetFormatPr baseColWidth="10" defaultColWidth="8.83203125" defaultRowHeight="14" x14ac:dyDescent="0"/>
  <cols>
    <col min="1" max="1" width="8.5" style="63" customWidth="1"/>
    <col min="2" max="4" width="2.83203125" style="63" customWidth="1"/>
    <col min="5" max="5" width="2.83203125" style="73" customWidth="1"/>
    <col min="6" max="6" width="87.1640625" style="65" customWidth="1"/>
    <col min="7" max="7" width="71.5" style="66" customWidth="1"/>
    <col min="8" max="16384" width="8.83203125" style="47"/>
  </cols>
  <sheetData>
    <row r="1" spans="1:7" s="52" customFormat="1">
      <c r="A1" s="48" t="s">
        <v>0</v>
      </c>
      <c r="B1" s="48" t="s">
        <v>129</v>
      </c>
      <c r="C1" s="48" t="s">
        <v>130</v>
      </c>
      <c r="D1" s="48" t="s">
        <v>131</v>
      </c>
      <c r="E1" s="49" t="s">
        <v>132</v>
      </c>
      <c r="F1" s="50" t="s">
        <v>133</v>
      </c>
      <c r="G1" s="51"/>
    </row>
    <row r="2" spans="1:7" s="53" customFormat="1">
      <c r="A2" s="46" t="s">
        <v>0</v>
      </c>
      <c r="C2" s="54"/>
      <c r="D2" s="54"/>
      <c r="E2" s="55"/>
      <c r="F2" s="54" t="s">
        <v>128</v>
      </c>
      <c r="G2" s="56"/>
    </row>
    <row r="3" spans="1:7" s="88" customFormat="1" ht="42">
      <c r="A3" s="84" t="s">
        <v>1</v>
      </c>
      <c r="B3" s="84" t="s">
        <v>2</v>
      </c>
      <c r="C3" s="84" t="s">
        <v>3</v>
      </c>
      <c r="D3" s="84" t="s">
        <v>3</v>
      </c>
      <c r="E3" s="85">
        <v>0</v>
      </c>
      <c r="F3" s="86" t="s">
        <v>631</v>
      </c>
      <c r="G3" s="87" t="s">
        <v>323</v>
      </c>
    </row>
    <row r="4" spans="1:7" s="61" customFormat="1" ht="42">
      <c r="A4" s="57" t="s">
        <v>4</v>
      </c>
      <c r="B4" s="57" t="s">
        <v>2</v>
      </c>
      <c r="C4" s="57" t="s">
        <v>3</v>
      </c>
      <c r="D4" s="57" t="s">
        <v>3</v>
      </c>
      <c r="E4" s="58">
        <v>0</v>
      </c>
      <c r="F4" s="59" t="s">
        <v>5</v>
      </c>
      <c r="G4" s="60" t="s">
        <v>322</v>
      </c>
    </row>
    <row r="5" spans="1:7" s="88" customFormat="1">
      <c r="A5" s="84" t="s">
        <v>6</v>
      </c>
      <c r="B5" s="84" t="s">
        <v>2</v>
      </c>
      <c r="C5" s="84" t="s">
        <v>3</v>
      </c>
      <c r="D5" s="84" t="s">
        <v>3</v>
      </c>
      <c r="E5" s="85">
        <v>0</v>
      </c>
      <c r="F5" s="86" t="s">
        <v>596</v>
      </c>
      <c r="G5" s="87"/>
    </row>
    <row r="6" spans="1:7" s="61" customFormat="1" ht="42">
      <c r="A6" s="57" t="s">
        <v>8</v>
      </c>
      <c r="B6" s="57" t="s">
        <v>2</v>
      </c>
      <c r="C6" s="57" t="s">
        <v>3</v>
      </c>
      <c r="D6" s="57" t="s">
        <v>3</v>
      </c>
      <c r="E6" s="58">
        <v>0</v>
      </c>
      <c r="F6" s="59" t="s">
        <v>325</v>
      </c>
      <c r="G6" s="60" t="s">
        <v>324</v>
      </c>
    </row>
    <row r="7" spans="1:7" s="61" customFormat="1" ht="28">
      <c r="A7" s="57" t="s">
        <v>9</v>
      </c>
      <c r="B7" s="57" t="s">
        <v>3</v>
      </c>
      <c r="C7" s="57" t="s">
        <v>3</v>
      </c>
      <c r="D7" s="57" t="s">
        <v>3</v>
      </c>
      <c r="E7" s="58">
        <v>0</v>
      </c>
      <c r="F7" s="59" t="s">
        <v>326</v>
      </c>
      <c r="G7" s="60" t="s">
        <v>478</v>
      </c>
    </row>
    <row r="8" spans="1:7" s="61" customFormat="1" ht="56">
      <c r="A8" s="57" t="s">
        <v>250</v>
      </c>
      <c r="B8" s="57" t="s">
        <v>3</v>
      </c>
      <c r="C8" s="57" t="s">
        <v>3</v>
      </c>
      <c r="D8" s="57" t="s">
        <v>3</v>
      </c>
      <c r="E8" s="58">
        <v>0</v>
      </c>
      <c r="F8" s="59" t="s">
        <v>252</v>
      </c>
      <c r="G8" s="60" t="s">
        <v>503</v>
      </c>
    </row>
    <row r="9" spans="1:7" s="61" customFormat="1" ht="28">
      <c r="A9" s="57" t="s">
        <v>10</v>
      </c>
      <c r="B9" s="57" t="s">
        <v>3</v>
      </c>
      <c r="C9" s="57" t="s">
        <v>3</v>
      </c>
      <c r="D9" s="57" t="s">
        <v>3</v>
      </c>
      <c r="E9" s="58">
        <v>0</v>
      </c>
      <c r="F9" s="59" t="s">
        <v>11</v>
      </c>
      <c r="G9" s="60" t="s">
        <v>515</v>
      </c>
    </row>
    <row r="10" spans="1:7" s="88" customFormat="1" ht="42">
      <c r="A10" s="84" t="s">
        <v>394</v>
      </c>
      <c r="B10" s="84" t="s">
        <v>3</v>
      </c>
      <c r="C10" s="84" t="s">
        <v>3</v>
      </c>
      <c r="D10" s="84" t="s">
        <v>2</v>
      </c>
      <c r="E10" s="85">
        <v>0</v>
      </c>
      <c r="F10" s="86" t="s">
        <v>395</v>
      </c>
      <c r="G10" s="87" t="s">
        <v>534</v>
      </c>
    </row>
    <row r="11" spans="1:7" s="88" customFormat="1">
      <c r="A11" s="84" t="s">
        <v>577</v>
      </c>
      <c r="B11" s="84" t="s">
        <v>2</v>
      </c>
      <c r="C11" s="84" t="s">
        <v>3</v>
      </c>
      <c r="D11" s="84" t="s">
        <v>3</v>
      </c>
      <c r="E11" s="85">
        <v>0</v>
      </c>
      <c r="F11" s="86" t="s">
        <v>578</v>
      </c>
      <c r="G11" s="87"/>
    </row>
    <row r="12" spans="1:7" s="61" customFormat="1" ht="28">
      <c r="A12" s="57" t="s">
        <v>12</v>
      </c>
      <c r="B12" s="57" t="s">
        <v>3</v>
      </c>
      <c r="C12" s="57" t="s">
        <v>3</v>
      </c>
      <c r="D12" s="57" t="s">
        <v>3</v>
      </c>
      <c r="E12" s="58">
        <v>0</v>
      </c>
      <c r="F12" s="59" t="s">
        <v>327</v>
      </c>
      <c r="G12" s="60" t="s">
        <v>504</v>
      </c>
    </row>
    <row r="13" spans="1:7" s="88" customFormat="1">
      <c r="A13" s="84" t="s">
        <v>595</v>
      </c>
      <c r="B13" s="84" t="s">
        <v>2</v>
      </c>
      <c r="C13" s="84" t="s">
        <v>2</v>
      </c>
      <c r="D13" s="84" t="s">
        <v>2</v>
      </c>
      <c r="E13" s="85">
        <v>0</v>
      </c>
      <c r="F13" s="86" t="s">
        <v>598</v>
      </c>
      <c r="G13" s="87"/>
    </row>
    <row r="14" spans="1:7" s="88" customFormat="1">
      <c r="A14" s="84" t="s">
        <v>599</v>
      </c>
      <c r="B14" s="84" t="s">
        <v>2</v>
      </c>
      <c r="C14" s="84" t="s">
        <v>2</v>
      </c>
      <c r="D14" s="84" t="s">
        <v>2</v>
      </c>
      <c r="E14" s="85">
        <v>0</v>
      </c>
      <c r="F14" s="86" t="s">
        <v>600</v>
      </c>
      <c r="G14" s="87"/>
    </row>
    <row r="15" spans="1:7" s="88" customFormat="1">
      <c r="A15" s="84" t="s">
        <v>601</v>
      </c>
      <c r="B15" s="84" t="s">
        <v>2</v>
      </c>
      <c r="C15" s="84" t="s">
        <v>2</v>
      </c>
      <c r="D15" s="84" t="s">
        <v>2</v>
      </c>
      <c r="E15" s="85">
        <v>0</v>
      </c>
      <c r="F15" s="86" t="s">
        <v>602</v>
      </c>
      <c r="G15" s="87"/>
    </row>
    <row r="16" spans="1:7" s="88" customFormat="1">
      <c r="A16" s="84" t="s">
        <v>603</v>
      </c>
      <c r="B16" s="84" t="s">
        <v>2</v>
      </c>
      <c r="C16" s="84" t="s">
        <v>2</v>
      </c>
      <c r="D16" s="84" t="s">
        <v>2</v>
      </c>
      <c r="E16" s="85">
        <v>0</v>
      </c>
      <c r="F16" s="86" t="s">
        <v>604</v>
      </c>
      <c r="G16" s="87"/>
    </row>
    <row r="17" spans="1:7" s="88" customFormat="1">
      <c r="A17" s="84" t="s">
        <v>605</v>
      </c>
      <c r="B17" s="84" t="s">
        <v>2</v>
      </c>
      <c r="C17" s="84" t="s">
        <v>2</v>
      </c>
      <c r="D17" s="84" t="s">
        <v>2</v>
      </c>
      <c r="E17" s="85">
        <v>0</v>
      </c>
      <c r="F17" s="86" t="s">
        <v>606</v>
      </c>
      <c r="G17" s="87"/>
    </row>
    <row r="18" spans="1:7" s="88" customFormat="1">
      <c r="A18" s="84" t="s">
        <v>610</v>
      </c>
      <c r="B18" s="84" t="s">
        <v>3</v>
      </c>
      <c r="C18" s="84" t="s">
        <v>3</v>
      </c>
      <c r="D18" s="84" t="s">
        <v>3</v>
      </c>
      <c r="E18" s="85">
        <v>0</v>
      </c>
      <c r="F18" s="86" t="s">
        <v>611</v>
      </c>
      <c r="G18" s="87"/>
    </row>
    <row r="19" spans="1:7" s="88" customFormat="1">
      <c r="A19" s="84" t="s">
        <v>612</v>
      </c>
      <c r="B19" s="84" t="s">
        <v>3</v>
      </c>
      <c r="C19" s="84" t="s">
        <v>3</v>
      </c>
      <c r="D19" s="84" t="s">
        <v>3</v>
      </c>
      <c r="E19" s="85">
        <v>0</v>
      </c>
      <c r="F19" s="86" t="s">
        <v>613</v>
      </c>
      <c r="G19" s="87"/>
    </row>
    <row r="20" spans="1:7" s="88" customFormat="1">
      <c r="A20" s="84" t="s">
        <v>614</v>
      </c>
      <c r="B20" s="84" t="s">
        <v>2</v>
      </c>
      <c r="C20" s="84" t="s">
        <v>3</v>
      </c>
      <c r="D20" s="84" t="s">
        <v>3</v>
      </c>
      <c r="E20" s="85">
        <v>0</v>
      </c>
      <c r="F20" s="86" t="s">
        <v>615</v>
      </c>
      <c r="G20" s="87"/>
    </row>
    <row r="21" spans="1:7" s="88" customFormat="1">
      <c r="A21" s="84" t="s">
        <v>618</v>
      </c>
      <c r="B21" s="84" t="s">
        <v>2</v>
      </c>
      <c r="C21" s="84" t="s">
        <v>3</v>
      </c>
      <c r="D21" s="84" t="s">
        <v>3</v>
      </c>
      <c r="E21" s="85">
        <v>0</v>
      </c>
      <c r="F21" s="86" t="s">
        <v>619</v>
      </c>
      <c r="G21" s="87"/>
    </row>
    <row r="22" spans="1:7" s="88" customFormat="1">
      <c r="A22" s="84" t="s">
        <v>625</v>
      </c>
      <c r="B22" s="84" t="s">
        <v>2</v>
      </c>
      <c r="C22" s="84" t="s">
        <v>3</v>
      </c>
      <c r="D22" s="84" t="s">
        <v>3</v>
      </c>
      <c r="E22" s="85">
        <v>0</v>
      </c>
      <c r="F22" s="86" t="s">
        <v>624</v>
      </c>
      <c r="G22" s="87"/>
    </row>
    <row r="23" spans="1:7" s="88" customFormat="1">
      <c r="A23" s="84" t="s">
        <v>626</v>
      </c>
      <c r="B23" s="84" t="s">
        <v>2</v>
      </c>
      <c r="C23" s="84" t="s">
        <v>3</v>
      </c>
      <c r="D23" s="84" t="s">
        <v>3</v>
      </c>
      <c r="E23" s="85">
        <v>0</v>
      </c>
      <c r="F23" s="86" t="s">
        <v>627</v>
      </c>
      <c r="G23" s="87"/>
    </row>
    <row r="24" spans="1:7" s="88" customFormat="1">
      <c r="A24" s="84" t="s">
        <v>635</v>
      </c>
      <c r="B24" s="84" t="s">
        <v>2</v>
      </c>
      <c r="C24" s="84" t="s">
        <v>2</v>
      </c>
      <c r="D24" s="84" t="s">
        <v>2</v>
      </c>
      <c r="E24" s="85">
        <v>0</v>
      </c>
      <c r="F24" s="86" t="s">
        <v>636</v>
      </c>
      <c r="G24" s="87"/>
    </row>
    <row r="25" spans="1:7" s="88" customFormat="1">
      <c r="A25" s="84" t="s">
        <v>652</v>
      </c>
      <c r="B25" s="84" t="s">
        <v>2</v>
      </c>
      <c r="C25" s="84" t="s">
        <v>2</v>
      </c>
      <c r="D25" s="84" t="s">
        <v>2</v>
      </c>
      <c r="E25" s="85">
        <v>0</v>
      </c>
      <c r="F25" s="86" t="s">
        <v>653</v>
      </c>
      <c r="G25" s="87"/>
    </row>
    <row r="26" spans="1:7" s="53" customFormat="1">
      <c r="A26" s="46" t="s">
        <v>0</v>
      </c>
      <c r="C26" s="46"/>
      <c r="D26" s="46"/>
      <c r="E26" s="62"/>
      <c r="F26" s="54" t="s">
        <v>13</v>
      </c>
      <c r="G26" s="56"/>
    </row>
    <row r="27" spans="1:7" s="61" customFormat="1" ht="28">
      <c r="A27" s="57" t="s">
        <v>14</v>
      </c>
      <c r="B27" s="57" t="s">
        <v>3</v>
      </c>
      <c r="C27" s="57" t="s">
        <v>3</v>
      </c>
      <c r="D27" s="57" t="s">
        <v>2</v>
      </c>
      <c r="E27" s="58">
        <v>0</v>
      </c>
      <c r="F27" s="59" t="s">
        <v>15</v>
      </c>
      <c r="G27" s="60" t="s">
        <v>479</v>
      </c>
    </row>
    <row r="28" spans="1:7" s="61" customFormat="1" ht="28">
      <c r="A28" s="57" t="s">
        <v>16</v>
      </c>
      <c r="B28" s="57" t="s">
        <v>3</v>
      </c>
      <c r="C28" s="57" t="s">
        <v>3</v>
      </c>
      <c r="D28" s="57" t="s">
        <v>2</v>
      </c>
      <c r="E28" s="58">
        <v>0</v>
      </c>
      <c r="F28" s="59" t="s">
        <v>17</v>
      </c>
      <c r="G28" s="60" t="s">
        <v>328</v>
      </c>
    </row>
    <row r="29" spans="1:7" s="61" customFormat="1" ht="28">
      <c r="A29" s="57" t="s">
        <v>18</v>
      </c>
      <c r="B29" s="57" t="s">
        <v>3</v>
      </c>
      <c r="C29" s="57" t="s">
        <v>3</v>
      </c>
      <c r="D29" s="57" t="s">
        <v>3</v>
      </c>
      <c r="E29" s="58">
        <v>0</v>
      </c>
      <c r="F29" s="59" t="s">
        <v>19</v>
      </c>
      <c r="G29" s="60" t="s">
        <v>516</v>
      </c>
    </row>
    <row r="30" spans="1:7" s="61" customFormat="1" ht="28">
      <c r="A30" s="57" t="s">
        <v>20</v>
      </c>
      <c r="B30" s="57" t="s">
        <v>3</v>
      </c>
      <c r="C30" s="57" t="s">
        <v>3</v>
      </c>
      <c r="D30" s="57" t="s">
        <v>2</v>
      </c>
      <c r="E30" s="58">
        <v>0</v>
      </c>
      <c r="F30" s="59" t="s">
        <v>21</v>
      </c>
      <c r="G30" s="60" t="s">
        <v>509</v>
      </c>
    </row>
    <row r="31" spans="1:7" s="88" customFormat="1">
      <c r="A31" s="84" t="s">
        <v>22</v>
      </c>
      <c r="B31" s="84" t="s">
        <v>3</v>
      </c>
      <c r="C31" s="84" t="s">
        <v>3</v>
      </c>
      <c r="D31" s="84" t="s">
        <v>3</v>
      </c>
      <c r="E31" s="85">
        <v>0</v>
      </c>
      <c r="F31" s="86" t="s">
        <v>609</v>
      </c>
      <c r="G31" s="87"/>
    </row>
    <row r="32" spans="1:7" s="53" customFormat="1">
      <c r="A32" s="46" t="s">
        <v>0</v>
      </c>
      <c r="C32" s="46"/>
      <c r="D32" s="46"/>
      <c r="E32" s="62"/>
      <c r="F32" s="54" t="s">
        <v>23</v>
      </c>
      <c r="G32" s="56"/>
    </row>
    <row r="33" spans="1:7" s="81" customFormat="1">
      <c r="A33" s="77" t="s">
        <v>24</v>
      </c>
      <c r="B33" s="77" t="s">
        <v>2</v>
      </c>
      <c r="C33" s="77" t="s">
        <v>2</v>
      </c>
      <c r="D33" s="77" t="s">
        <v>2</v>
      </c>
      <c r="E33" s="78">
        <v>0</v>
      </c>
      <c r="F33" s="79" t="s">
        <v>566</v>
      </c>
      <c r="G33" s="80" t="s">
        <v>329</v>
      </c>
    </row>
    <row r="34" spans="1:7" s="81" customFormat="1">
      <c r="A34" s="77" t="s">
        <v>25</v>
      </c>
      <c r="B34" s="77" t="s">
        <v>3</v>
      </c>
      <c r="C34" s="77" t="s">
        <v>3</v>
      </c>
      <c r="D34" s="77" t="s">
        <v>3</v>
      </c>
      <c r="E34" s="78">
        <v>0</v>
      </c>
      <c r="F34" s="79" t="s">
        <v>330</v>
      </c>
      <c r="G34" s="80" t="s">
        <v>480</v>
      </c>
    </row>
    <row r="35" spans="1:7">
      <c r="A35" s="63" t="s">
        <v>26</v>
      </c>
      <c r="B35" s="63" t="s">
        <v>3</v>
      </c>
      <c r="C35" s="63" t="s">
        <v>3</v>
      </c>
      <c r="D35" s="63" t="s">
        <v>2</v>
      </c>
      <c r="E35" s="64">
        <v>0</v>
      </c>
      <c r="F35" s="65" t="s">
        <v>518</v>
      </c>
      <c r="G35" s="66" t="s">
        <v>519</v>
      </c>
    </row>
    <row r="36" spans="1:7" ht="28">
      <c r="A36" s="63" t="s">
        <v>27</v>
      </c>
      <c r="B36" s="63" t="s">
        <v>3</v>
      </c>
      <c r="C36" s="63" t="s">
        <v>3</v>
      </c>
      <c r="D36" s="63" t="s">
        <v>3</v>
      </c>
      <c r="E36" s="64">
        <v>0</v>
      </c>
      <c r="F36" s="65" t="s">
        <v>520</v>
      </c>
      <c r="G36" s="66" t="s">
        <v>521</v>
      </c>
    </row>
    <row r="37" spans="1:7" ht="28">
      <c r="A37" s="63" t="s">
        <v>28</v>
      </c>
      <c r="B37" s="63" t="s">
        <v>3</v>
      </c>
      <c r="C37" s="63" t="s">
        <v>3</v>
      </c>
      <c r="D37" s="63" t="s">
        <v>2</v>
      </c>
      <c r="E37" s="64">
        <v>0</v>
      </c>
      <c r="F37" s="65" t="s">
        <v>29</v>
      </c>
      <c r="G37" s="66" t="s">
        <v>510</v>
      </c>
    </row>
    <row r="38" spans="1:7" ht="28">
      <c r="A38" s="63" t="s">
        <v>30</v>
      </c>
      <c r="B38" s="63" t="s">
        <v>2</v>
      </c>
      <c r="C38" s="63" t="s">
        <v>3</v>
      </c>
      <c r="D38" s="63" t="s">
        <v>3</v>
      </c>
      <c r="E38" s="64">
        <v>0</v>
      </c>
      <c r="F38" s="65" t="s">
        <v>31</v>
      </c>
      <c r="G38" s="66" t="s">
        <v>481</v>
      </c>
    </row>
    <row r="39" spans="1:7" ht="28">
      <c r="A39" s="63" t="s">
        <v>32</v>
      </c>
      <c r="B39" s="63" t="s">
        <v>3</v>
      </c>
      <c r="C39" s="63" t="s">
        <v>3</v>
      </c>
      <c r="D39" s="63" t="s">
        <v>2</v>
      </c>
      <c r="E39" s="64">
        <v>0</v>
      </c>
      <c r="F39" s="65" t="s">
        <v>33</v>
      </c>
      <c r="G39" s="66" t="s">
        <v>517</v>
      </c>
    </row>
    <row r="40" spans="1:7" s="81" customFormat="1">
      <c r="A40" s="77" t="s">
        <v>34</v>
      </c>
      <c r="B40" s="77" t="s">
        <v>3</v>
      </c>
      <c r="C40" s="77" t="s">
        <v>3</v>
      </c>
      <c r="D40" s="77" t="s">
        <v>2</v>
      </c>
      <c r="E40" s="78">
        <v>0</v>
      </c>
      <c r="F40" s="79" t="s">
        <v>331</v>
      </c>
      <c r="G40" s="80" t="s">
        <v>482</v>
      </c>
    </row>
    <row r="41" spans="1:7">
      <c r="A41" s="63" t="s">
        <v>35</v>
      </c>
      <c r="B41" s="63" t="s">
        <v>3</v>
      </c>
      <c r="C41" s="63" t="s">
        <v>3</v>
      </c>
      <c r="D41" s="63" t="s">
        <v>3</v>
      </c>
      <c r="E41" s="64">
        <v>0</v>
      </c>
      <c r="F41" s="65" t="s">
        <v>36</v>
      </c>
      <c r="G41" s="66" t="s">
        <v>511</v>
      </c>
    </row>
    <row r="42" spans="1:7">
      <c r="A42" s="63" t="s">
        <v>37</v>
      </c>
      <c r="B42" s="63" t="s">
        <v>3</v>
      </c>
      <c r="C42" s="63" t="s">
        <v>3</v>
      </c>
      <c r="D42" s="63" t="s">
        <v>2</v>
      </c>
      <c r="E42" s="64">
        <v>0</v>
      </c>
      <c r="F42" s="65" t="s">
        <v>139</v>
      </c>
      <c r="G42" s="66" t="s">
        <v>332</v>
      </c>
    </row>
    <row r="43" spans="1:7" s="81" customFormat="1">
      <c r="A43" s="77" t="s">
        <v>565</v>
      </c>
      <c r="B43" s="77" t="s">
        <v>3</v>
      </c>
      <c r="C43" s="77" t="s">
        <v>3</v>
      </c>
      <c r="D43" s="77" t="s">
        <v>3</v>
      </c>
      <c r="E43" s="78">
        <v>0</v>
      </c>
      <c r="F43" s="79" t="s">
        <v>567</v>
      </c>
      <c r="G43" s="80"/>
    </row>
    <row r="44" spans="1:7" s="53" customFormat="1">
      <c r="A44" s="46" t="s">
        <v>0</v>
      </c>
      <c r="C44" s="46"/>
      <c r="D44" s="46"/>
      <c r="E44" s="62"/>
      <c r="F44" s="54" t="s">
        <v>38</v>
      </c>
      <c r="G44" s="56"/>
    </row>
    <row r="45" spans="1:7">
      <c r="A45" s="63" t="s">
        <v>39</v>
      </c>
      <c r="B45" s="63" t="s">
        <v>3</v>
      </c>
      <c r="C45" s="63" t="s">
        <v>2</v>
      </c>
      <c r="D45" s="63" t="s">
        <v>3</v>
      </c>
      <c r="E45" s="64">
        <v>0</v>
      </c>
      <c r="F45" s="65" t="s">
        <v>40</v>
      </c>
      <c r="G45" s="66" t="s">
        <v>483</v>
      </c>
    </row>
    <row r="46" spans="1:7" s="81" customFormat="1">
      <c r="A46" s="77" t="s">
        <v>41</v>
      </c>
      <c r="B46" s="77" t="s">
        <v>3</v>
      </c>
      <c r="C46" s="77" t="s">
        <v>2</v>
      </c>
      <c r="D46" s="77" t="s">
        <v>3</v>
      </c>
      <c r="E46" s="78">
        <v>0</v>
      </c>
      <c r="F46" s="79" t="s">
        <v>658</v>
      </c>
      <c r="G46" s="80"/>
    </row>
    <row r="47" spans="1:7" ht="42">
      <c r="A47" s="63" t="s">
        <v>42</v>
      </c>
      <c r="B47" s="63" t="s">
        <v>3</v>
      </c>
      <c r="C47" s="63" t="s">
        <v>2</v>
      </c>
      <c r="D47" s="63" t="s">
        <v>3</v>
      </c>
      <c r="E47" s="64">
        <v>0</v>
      </c>
      <c r="F47" s="65" t="s">
        <v>43</v>
      </c>
      <c r="G47" s="66" t="s">
        <v>484</v>
      </c>
    </row>
    <row r="48" spans="1:7">
      <c r="A48" s="63" t="s">
        <v>539</v>
      </c>
      <c r="B48" s="63" t="s">
        <v>2</v>
      </c>
      <c r="C48" s="63" t="s">
        <v>2</v>
      </c>
      <c r="D48" s="63" t="s">
        <v>2</v>
      </c>
      <c r="E48" s="64">
        <v>0</v>
      </c>
      <c r="F48" s="65" t="s">
        <v>540</v>
      </c>
    </row>
    <row r="49" spans="1:7" ht="28">
      <c r="A49" s="63" t="s">
        <v>44</v>
      </c>
      <c r="B49" s="63" t="s">
        <v>3</v>
      </c>
      <c r="C49" s="63" t="s">
        <v>2</v>
      </c>
      <c r="D49" s="63" t="s">
        <v>3</v>
      </c>
      <c r="E49" s="64">
        <v>0</v>
      </c>
      <c r="F49" s="65" t="s">
        <v>233</v>
      </c>
      <c r="G49" s="66" t="s">
        <v>522</v>
      </c>
    </row>
    <row r="50" spans="1:7" ht="28">
      <c r="A50" s="63" t="s">
        <v>45</v>
      </c>
      <c r="B50" s="63" t="s">
        <v>3</v>
      </c>
      <c r="C50" s="63" t="s">
        <v>2</v>
      </c>
      <c r="D50" s="63" t="s">
        <v>3</v>
      </c>
      <c r="E50" s="64">
        <v>0</v>
      </c>
      <c r="F50" s="65" t="s">
        <v>46</v>
      </c>
      <c r="G50" s="66" t="s">
        <v>485</v>
      </c>
    </row>
    <row r="51" spans="1:7" ht="28">
      <c r="A51" s="63" t="s">
        <v>47</v>
      </c>
      <c r="B51" s="63" t="s">
        <v>3</v>
      </c>
      <c r="C51" s="63" t="s">
        <v>2</v>
      </c>
      <c r="D51" s="63" t="s">
        <v>3</v>
      </c>
      <c r="E51" s="64">
        <v>0</v>
      </c>
      <c r="F51" s="65" t="s">
        <v>48</v>
      </c>
      <c r="G51" s="66" t="s">
        <v>486</v>
      </c>
    </row>
    <row r="52" spans="1:7" s="81" customFormat="1" ht="28">
      <c r="A52" s="77" t="s">
        <v>388</v>
      </c>
      <c r="B52" s="77" t="s">
        <v>3</v>
      </c>
      <c r="C52" s="77" t="s">
        <v>2</v>
      </c>
      <c r="D52" s="77" t="s">
        <v>3</v>
      </c>
      <c r="E52" s="78">
        <v>0</v>
      </c>
      <c r="F52" s="79" t="s">
        <v>628</v>
      </c>
      <c r="G52" s="80" t="s">
        <v>487</v>
      </c>
    </row>
    <row r="53" spans="1:7" s="81" customFormat="1">
      <c r="A53" s="77" t="s">
        <v>541</v>
      </c>
      <c r="B53" s="77" t="s">
        <v>3</v>
      </c>
      <c r="C53" s="77" t="s">
        <v>2</v>
      </c>
      <c r="D53" s="77" t="s">
        <v>3</v>
      </c>
      <c r="E53" s="78">
        <v>0</v>
      </c>
      <c r="F53" s="79" t="s">
        <v>545</v>
      </c>
      <c r="G53" s="80"/>
    </row>
    <row r="54" spans="1:7">
      <c r="A54" s="63" t="s">
        <v>542</v>
      </c>
      <c r="B54" s="63" t="s">
        <v>3</v>
      </c>
      <c r="C54" s="63" t="s">
        <v>2</v>
      </c>
      <c r="D54" s="63" t="s">
        <v>3</v>
      </c>
      <c r="E54" s="64">
        <v>0</v>
      </c>
      <c r="F54" s="65" t="s">
        <v>543</v>
      </c>
    </row>
    <row r="55" spans="1:7">
      <c r="A55" s="63" t="s">
        <v>546</v>
      </c>
      <c r="B55" s="63" t="s">
        <v>2</v>
      </c>
      <c r="C55" s="63" t="s">
        <v>2</v>
      </c>
      <c r="D55" s="63" t="s">
        <v>2</v>
      </c>
      <c r="E55" s="64">
        <v>0</v>
      </c>
      <c r="F55" s="65" t="s">
        <v>547</v>
      </c>
    </row>
    <row r="56" spans="1:7" ht="42">
      <c r="A56" s="63" t="s">
        <v>49</v>
      </c>
      <c r="B56" s="63" t="s">
        <v>3</v>
      </c>
      <c r="C56" s="63" t="s">
        <v>2</v>
      </c>
      <c r="D56" s="63" t="s">
        <v>3</v>
      </c>
      <c r="E56" s="64">
        <v>0</v>
      </c>
      <c r="F56" s="65" t="s">
        <v>50</v>
      </c>
      <c r="G56" s="66" t="s">
        <v>488</v>
      </c>
    </row>
    <row r="57" spans="1:7" ht="28">
      <c r="A57" s="63" t="s">
        <v>51</v>
      </c>
      <c r="B57" s="63" t="s">
        <v>3</v>
      </c>
      <c r="C57" s="63" t="s">
        <v>2</v>
      </c>
      <c r="D57" s="63" t="s">
        <v>3</v>
      </c>
      <c r="E57" s="64">
        <v>0</v>
      </c>
      <c r="F57" s="65" t="s">
        <v>52</v>
      </c>
      <c r="G57" s="66" t="s">
        <v>524</v>
      </c>
    </row>
    <row r="58" spans="1:7">
      <c r="A58" s="63" t="s">
        <v>548</v>
      </c>
      <c r="B58" s="63" t="s">
        <v>2</v>
      </c>
      <c r="C58" s="63" t="s">
        <v>2</v>
      </c>
      <c r="D58" s="63" t="s">
        <v>2</v>
      </c>
      <c r="E58" s="64">
        <v>0</v>
      </c>
      <c r="F58" s="65" t="s">
        <v>549</v>
      </c>
    </row>
    <row r="59" spans="1:7" ht="28">
      <c r="A59" s="63" t="s">
        <v>53</v>
      </c>
      <c r="B59" s="63" t="s">
        <v>3</v>
      </c>
      <c r="C59" s="63" t="s">
        <v>2</v>
      </c>
      <c r="D59" s="63" t="s">
        <v>3</v>
      </c>
      <c r="E59" s="64">
        <v>0</v>
      </c>
      <c r="F59" s="65" t="s">
        <v>512</v>
      </c>
      <c r="G59" s="66" t="s">
        <v>505</v>
      </c>
    </row>
    <row r="60" spans="1:7">
      <c r="A60" s="63" t="s">
        <v>550</v>
      </c>
      <c r="B60" s="63" t="s">
        <v>2</v>
      </c>
      <c r="C60" s="63" t="s">
        <v>2</v>
      </c>
      <c r="D60" s="63" t="s">
        <v>2</v>
      </c>
      <c r="E60" s="64">
        <v>0</v>
      </c>
      <c r="F60" s="65" t="s">
        <v>551</v>
      </c>
    </row>
    <row r="61" spans="1:7" ht="28">
      <c r="A61" s="63" t="s">
        <v>54</v>
      </c>
      <c r="B61" s="63" t="s">
        <v>3</v>
      </c>
      <c r="C61" s="63" t="s">
        <v>2</v>
      </c>
      <c r="D61" s="63" t="s">
        <v>3</v>
      </c>
      <c r="E61" s="64">
        <v>0</v>
      </c>
      <c r="F61" s="65" t="s">
        <v>55</v>
      </c>
      <c r="G61" s="66" t="s">
        <v>489</v>
      </c>
    </row>
    <row r="62" spans="1:7">
      <c r="A62" s="63" t="s">
        <v>56</v>
      </c>
      <c r="B62" s="63" t="s">
        <v>2</v>
      </c>
      <c r="C62" s="63" t="s">
        <v>2</v>
      </c>
      <c r="D62" s="63" t="s">
        <v>2</v>
      </c>
      <c r="E62" s="64">
        <v>0</v>
      </c>
      <c r="F62" s="65" t="s">
        <v>553</v>
      </c>
    </row>
    <row r="63" spans="1:7" ht="42">
      <c r="A63" s="63" t="s">
        <v>56</v>
      </c>
      <c r="B63" s="63" t="s">
        <v>3</v>
      </c>
      <c r="C63" s="63" t="s">
        <v>2</v>
      </c>
      <c r="D63" s="63" t="s">
        <v>3</v>
      </c>
      <c r="E63" s="64">
        <v>0</v>
      </c>
      <c r="F63" s="65" t="s">
        <v>57</v>
      </c>
      <c r="G63" s="66" t="s">
        <v>506</v>
      </c>
    </row>
    <row r="64" spans="1:7" s="81" customFormat="1">
      <c r="A64" s="77" t="s">
        <v>555</v>
      </c>
      <c r="B64" s="77" t="s">
        <v>3</v>
      </c>
      <c r="C64" s="77" t="s">
        <v>2</v>
      </c>
      <c r="D64" s="77" t="s">
        <v>3</v>
      </c>
      <c r="E64" s="78">
        <v>0</v>
      </c>
      <c r="F64" s="79" t="s">
        <v>556</v>
      </c>
      <c r="G64" s="80"/>
    </row>
    <row r="65" spans="1:7" s="81" customFormat="1">
      <c r="A65" s="77" t="s">
        <v>557</v>
      </c>
      <c r="B65" s="77" t="s">
        <v>2</v>
      </c>
      <c r="C65" s="77" t="s">
        <v>3</v>
      </c>
      <c r="D65" s="77" t="s">
        <v>3</v>
      </c>
      <c r="E65" s="78">
        <v>0</v>
      </c>
      <c r="F65" s="79" t="s">
        <v>558</v>
      </c>
      <c r="G65" s="80"/>
    </row>
    <row r="66" spans="1:7" s="81" customFormat="1">
      <c r="A66" s="77" t="s">
        <v>559</v>
      </c>
      <c r="B66" s="77" t="s">
        <v>2</v>
      </c>
      <c r="C66" s="77" t="s">
        <v>2</v>
      </c>
      <c r="D66" s="77" t="s">
        <v>2</v>
      </c>
      <c r="E66" s="78">
        <v>0</v>
      </c>
      <c r="F66" s="79" t="s">
        <v>560</v>
      </c>
      <c r="G66" s="80"/>
    </row>
    <row r="67" spans="1:7" s="81" customFormat="1">
      <c r="A67" s="77" t="s">
        <v>561</v>
      </c>
      <c r="B67" s="77" t="s">
        <v>3</v>
      </c>
      <c r="C67" s="77" t="s">
        <v>2</v>
      </c>
      <c r="D67" s="77" t="s">
        <v>3</v>
      </c>
      <c r="E67" s="78">
        <v>0</v>
      </c>
      <c r="F67" s="79" t="s">
        <v>562</v>
      </c>
      <c r="G67" s="80"/>
    </row>
    <row r="68" spans="1:7" s="81" customFormat="1">
      <c r="A68" s="77" t="s">
        <v>569</v>
      </c>
      <c r="B68" s="77" t="s">
        <v>3</v>
      </c>
      <c r="C68" s="77" t="s">
        <v>2</v>
      </c>
      <c r="D68" s="77" t="s">
        <v>3</v>
      </c>
      <c r="E68" s="78">
        <v>0</v>
      </c>
      <c r="F68" s="79" t="s">
        <v>568</v>
      </c>
      <c r="G68" s="80"/>
    </row>
    <row r="69" spans="1:7" s="81" customFormat="1">
      <c r="A69" s="77" t="s">
        <v>616</v>
      </c>
      <c r="B69" s="77" t="s">
        <v>2</v>
      </c>
      <c r="C69" s="77" t="s">
        <v>2</v>
      </c>
      <c r="D69" s="77" t="s">
        <v>2</v>
      </c>
      <c r="E69" s="78">
        <v>0</v>
      </c>
      <c r="F69" s="79" t="s">
        <v>617</v>
      </c>
      <c r="G69" s="80"/>
    </row>
    <row r="70" spans="1:7" s="81" customFormat="1">
      <c r="A70" s="77" t="s">
        <v>621</v>
      </c>
      <c r="B70" s="77" t="s">
        <v>2</v>
      </c>
      <c r="C70" s="77" t="s">
        <v>2</v>
      </c>
      <c r="D70" s="77" t="s">
        <v>2</v>
      </c>
      <c r="E70" s="78">
        <v>0</v>
      </c>
      <c r="F70" s="79" t="s">
        <v>620</v>
      </c>
      <c r="G70" s="80"/>
    </row>
    <row r="71" spans="1:7" s="81" customFormat="1">
      <c r="A71" s="77" t="s">
        <v>622</v>
      </c>
      <c r="B71" s="77" t="s">
        <v>2</v>
      </c>
      <c r="C71" s="77" t="s">
        <v>2</v>
      </c>
      <c r="D71" s="77" t="s">
        <v>2</v>
      </c>
      <c r="E71" s="78">
        <v>0</v>
      </c>
      <c r="F71" s="79" t="s">
        <v>623</v>
      </c>
      <c r="G71" s="80"/>
    </row>
    <row r="72" spans="1:7" s="81" customFormat="1">
      <c r="A72" s="77" t="s">
        <v>637</v>
      </c>
      <c r="B72" s="77" t="s">
        <v>2</v>
      </c>
      <c r="C72" s="77" t="s">
        <v>2</v>
      </c>
      <c r="D72" s="77" t="s">
        <v>2</v>
      </c>
      <c r="E72" s="78">
        <v>0</v>
      </c>
      <c r="F72" s="79" t="s">
        <v>638</v>
      </c>
      <c r="G72" s="80"/>
    </row>
    <row r="73" spans="1:7" s="81" customFormat="1">
      <c r="A73" s="77" t="s">
        <v>644</v>
      </c>
      <c r="B73" s="77" t="s">
        <v>2</v>
      </c>
      <c r="C73" s="77" t="s">
        <v>2</v>
      </c>
      <c r="D73" s="77" t="s">
        <v>2</v>
      </c>
      <c r="E73" s="78">
        <v>0</v>
      </c>
      <c r="F73" s="79" t="s">
        <v>645</v>
      </c>
      <c r="G73" s="80"/>
    </row>
    <row r="74" spans="1:7" s="81" customFormat="1">
      <c r="A74" s="77" t="s">
        <v>649</v>
      </c>
      <c r="B74" s="77" t="s">
        <v>2</v>
      </c>
      <c r="C74" s="77" t="s">
        <v>2</v>
      </c>
      <c r="D74" s="77" t="s">
        <v>2</v>
      </c>
      <c r="E74" s="78">
        <v>0</v>
      </c>
      <c r="F74" s="79" t="s">
        <v>650</v>
      </c>
      <c r="G74" s="80"/>
    </row>
    <row r="75" spans="1:7" ht="42">
      <c r="A75" s="63" t="s">
        <v>108</v>
      </c>
      <c r="B75" s="63" t="s">
        <v>3</v>
      </c>
      <c r="C75" s="63" t="s">
        <v>2</v>
      </c>
      <c r="D75" s="63" t="s">
        <v>3</v>
      </c>
      <c r="E75" s="64">
        <v>0</v>
      </c>
      <c r="F75" s="65" t="s">
        <v>109</v>
      </c>
      <c r="G75" s="66" t="s">
        <v>490</v>
      </c>
    </row>
    <row r="76" spans="1:7" ht="42">
      <c r="A76" s="63" t="s">
        <v>110</v>
      </c>
      <c r="B76" s="63" t="s">
        <v>3</v>
      </c>
      <c r="C76" s="63" t="s">
        <v>2</v>
      </c>
      <c r="D76" s="63" t="s">
        <v>3</v>
      </c>
      <c r="E76" s="64">
        <v>0</v>
      </c>
      <c r="F76" s="65" t="s">
        <v>491</v>
      </c>
      <c r="G76" s="66" t="s">
        <v>492</v>
      </c>
    </row>
    <row r="77" spans="1:7">
      <c r="A77" s="63" t="s">
        <v>241</v>
      </c>
      <c r="B77" s="63" t="s">
        <v>3</v>
      </c>
      <c r="C77" s="63" t="s">
        <v>2</v>
      </c>
      <c r="D77" s="63" t="s">
        <v>3</v>
      </c>
      <c r="E77" s="64">
        <v>0</v>
      </c>
      <c r="F77" s="65" t="s">
        <v>242</v>
      </c>
      <c r="G77" s="66" t="s">
        <v>513</v>
      </c>
    </row>
    <row r="78" spans="1:7" s="53" customFormat="1">
      <c r="A78" s="46" t="s">
        <v>0</v>
      </c>
      <c r="C78" s="46"/>
      <c r="D78" s="46"/>
      <c r="E78" s="62"/>
      <c r="F78" s="54" t="s">
        <v>58</v>
      </c>
      <c r="G78" s="56"/>
    </row>
    <row r="79" spans="1:7" s="81" customFormat="1">
      <c r="A79" s="77" t="s">
        <v>59</v>
      </c>
      <c r="B79" s="77" t="s">
        <v>3</v>
      </c>
      <c r="C79" s="77" t="s">
        <v>3</v>
      </c>
      <c r="D79" s="77" t="s">
        <v>2</v>
      </c>
      <c r="E79" s="78">
        <v>0</v>
      </c>
      <c r="F79" s="79" t="s">
        <v>651</v>
      </c>
      <c r="G79" s="80" t="s">
        <v>514</v>
      </c>
    </row>
    <row r="80" spans="1:7" s="81" customFormat="1">
      <c r="A80" s="77" t="s">
        <v>61</v>
      </c>
      <c r="B80" s="77" t="s">
        <v>3</v>
      </c>
      <c r="C80" s="77" t="s">
        <v>3</v>
      </c>
      <c r="D80" s="77" t="s">
        <v>2</v>
      </c>
      <c r="E80" s="78">
        <v>0</v>
      </c>
      <c r="F80" s="79" t="s">
        <v>648</v>
      </c>
      <c r="G80" s="80" t="s">
        <v>493</v>
      </c>
    </row>
    <row r="81" spans="1:7" s="81" customFormat="1">
      <c r="A81" s="77" t="s">
        <v>646</v>
      </c>
      <c r="B81" s="77" t="s">
        <v>2</v>
      </c>
      <c r="C81" s="77" t="s">
        <v>2</v>
      </c>
      <c r="D81" s="77" t="s">
        <v>2</v>
      </c>
      <c r="E81" s="78">
        <v>0</v>
      </c>
      <c r="F81" s="79" t="s">
        <v>647</v>
      </c>
      <c r="G81" s="80"/>
    </row>
    <row r="82" spans="1:7" s="53" customFormat="1">
      <c r="A82" s="46" t="s">
        <v>0</v>
      </c>
      <c r="C82" s="46"/>
      <c r="D82" s="46"/>
      <c r="E82" s="62"/>
      <c r="F82" s="54" t="s">
        <v>62</v>
      </c>
      <c r="G82" s="56"/>
    </row>
    <row r="83" spans="1:7">
      <c r="A83" s="63" t="s">
        <v>63</v>
      </c>
      <c r="B83" s="63" t="s">
        <v>3</v>
      </c>
      <c r="C83" s="63" t="s">
        <v>3</v>
      </c>
      <c r="D83" s="63" t="s">
        <v>2</v>
      </c>
      <c r="E83" s="64">
        <v>0</v>
      </c>
      <c r="F83" s="65" t="s">
        <v>64</v>
      </c>
      <c r="G83" s="66" t="s">
        <v>502</v>
      </c>
    </row>
    <row r="84" spans="1:7" ht="28">
      <c r="A84" s="63" t="s">
        <v>65</v>
      </c>
      <c r="B84" s="63" t="s">
        <v>2</v>
      </c>
      <c r="C84" s="63" t="s">
        <v>3</v>
      </c>
      <c r="D84" s="63" t="s">
        <v>3</v>
      </c>
      <c r="E84" s="64">
        <v>0</v>
      </c>
      <c r="F84" s="65" t="s">
        <v>535</v>
      </c>
      <c r="G84" s="66" t="s">
        <v>536</v>
      </c>
    </row>
    <row r="85" spans="1:7" s="81" customFormat="1">
      <c r="A85" s="77" t="s">
        <v>67</v>
      </c>
      <c r="B85" s="77" t="s">
        <v>2</v>
      </c>
      <c r="C85" s="77" t="s">
        <v>2</v>
      </c>
      <c r="D85" s="77" t="s">
        <v>2</v>
      </c>
      <c r="E85" s="78">
        <v>0</v>
      </c>
      <c r="F85" s="79" t="s">
        <v>570</v>
      </c>
      <c r="G85" s="80"/>
    </row>
    <row r="86" spans="1:7">
      <c r="A86" s="63" t="s">
        <v>69</v>
      </c>
      <c r="B86" s="63" t="s">
        <v>2</v>
      </c>
      <c r="C86" s="63" t="s">
        <v>2</v>
      </c>
      <c r="D86" s="63" t="s">
        <v>2</v>
      </c>
      <c r="E86" s="64">
        <v>0</v>
      </c>
      <c r="F86" s="65" t="s">
        <v>537</v>
      </c>
    </row>
    <row r="87" spans="1:7">
      <c r="A87" s="63" t="s">
        <v>71</v>
      </c>
      <c r="B87" s="63" t="s">
        <v>2</v>
      </c>
      <c r="C87" s="63" t="s">
        <v>3</v>
      </c>
      <c r="D87" s="63" t="s">
        <v>3</v>
      </c>
      <c r="E87" s="64">
        <v>0</v>
      </c>
      <c r="F87" s="65" t="s">
        <v>538</v>
      </c>
    </row>
    <row r="88" spans="1:7">
      <c r="A88" s="63" t="s">
        <v>73</v>
      </c>
      <c r="B88" s="63" t="s">
        <v>2</v>
      </c>
      <c r="C88" s="63" t="s">
        <v>2</v>
      </c>
      <c r="D88" s="63" t="s">
        <v>2</v>
      </c>
      <c r="E88" s="64">
        <v>0</v>
      </c>
      <c r="F88" s="65" t="s">
        <v>544</v>
      </c>
    </row>
    <row r="89" spans="1:7">
      <c r="A89" s="63" t="s">
        <v>75</v>
      </c>
      <c r="B89" s="63" t="s">
        <v>2</v>
      </c>
      <c r="C89" s="63" t="s">
        <v>2</v>
      </c>
      <c r="D89" s="63" t="s">
        <v>2</v>
      </c>
      <c r="E89" s="64">
        <v>0</v>
      </c>
      <c r="F89" s="65" t="s">
        <v>554</v>
      </c>
    </row>
    <row r="90" spans="1:7" s="81" customFormat="1">
      <c r="A90" s="77" t="s">
        <v>563</v>
      </c>
      <c r="B90" s="77" t="s">
        <v>2</v>
      </c>
      <c r="C90" s="77" t="s">
        <v>2</v>
      </c>
      <c r="D90" s="77" t="s">
        <v>2</v>
      </c>
      <c r="E90" s="78">
        <v>0</v>
      </c>
      <c r="F90" s="79" t="s">
        <v>571</v>
      </c>
      <c r="G90" s="80"/>
    </row>
    <row r="91" spans="1:7" s="81" customFormat="1">
      <c r="A91" s="77" t="s">
        <v>77</v>
      </c>
      <c r="B91" s="77" t="s">
        <v>2</v>
      </c>
      <c r="C91" s="77" t="s">
        <v>2</v>
      </c>
      <c r="D91" s="77" t="s">
        <v>2</v>
      </c>
      <c r="E91" s="78">
        <v>0</v>
      </c>
      <c r="F91" s="79" t="s">
        <v>572</v>
      </c>
      <c r="G91" s="80"/>
    </row>
    <row r="92" spans="1:7" s="81" customFormat="1">
      <c r="A92" s="77" t="s">
        <v>79</v>
      </c>
      <c r="B92" s="77" t="s">
        <v>2</v>
      </c>
      <c r="C92" s="77" t="s">
        <v>2</v>
      </c>
      <c r="D92" s="77" t="s">
        <v>2</v>
      </c>
      <c r="E92" s="78">
        <v>0</v>
      </c>
      <c r="F92" s="79" t="s">
        <v>575</v>
      </c>
      <c r="G92" s="80"/>
    </row>
    <row r="93" spans="1:7" s="81" customFormat="1">
      <c r="A93" s="77" t="s">
        <v>81</v>
      </c>
      <c r="B93" s="77" t="s">
        <v>2</v>
      </c>
      <c r="C93" s="77" t="s">
        <v>2</v>
      </c>
      <c r="D93" s="77" t="s">
        <v>2</v>
      </c>
      <c r="E93" s="78">
        <v>0</v>
      </c>
      <c r="F93" s="79" t="s">
        <v>576</v>
      </c>
      <c r="G93" s="80"/>
    </row>
    <row r="94" spans="1:7" ht="28">
      <c r="A94" s="63" t="s">
        <v>87</v>
      </c>
      <c r="B94" s="63" t="s">
        <v>3</v>
      </c>
      <c r="C94" s="63" t="s">
        <v>3</v>
      </c>
      <c r="D94" s="63" t="s">
        <v>2</v>
      </c>
      <c r="E94" s="64">
        <v>0</v>
      </c>
      <c r="F94" s="65" t="s">
        <v>88</v>
      </c>
      <c r="G94" s="66" t="s">
        <v>494</v>
      </c>
    </row>
    <row r="95" spans="1:7" ht="28">
      <c r="A95" s="63" t="s">
        <v>89</v>
      </c>
      <c r="B95" s="63" t="s">
        <v>3</v>
      </c>
      <c r="C95" s="63" t="s">
        <v>3</v>
      </c>
      <c r="D95" s="63" t="s">
        <v>2</v>
      </c>
      <c r="E95" s="64">
        <v>0</v>
      </c>
      <c r="F95" s="65" t="s">
        <v>90</v>
      </c>
      <c r="G95" s="66" t="s">
        <v>495</v>
      </c>
    </row>
    <row r="96" spans="1:7">
      <c r="A96" s="63" t="s">
        <v>91</v>
      </c>
      <c r="B96" s="63" t="s">
        <v>2</v>
      </c>
      <c r="C96" s="63" t="s">
        <v>2</v>
      </c>
      <c r="D96" s="63" t="s">
        <v>2</v>
      </c>
      <c r="E96" s="64">
        <v>0</v>
      </c>
      <c r="F96" s="65" t="s">
        <v>552</v>
      </c>
    </row>
    <row r="97" spans="1:7" ht="28">
      <c r="A97" s="63" t="s">
        <v>98</v>
      </c>
      <c r="B97" s="63" t="s">
        <v>3</v>
      </c>
      <c r="C97" s="63" t="s">
        <v>3</v>
      </c>
      <c r="D97" s="63" t="s">
        <v>2</v>
      </c>
      <c r="E97" s="64">
        <v>0</v>
      </c>
      <c r="F97" s="65" t="s">
        <v>99</v>
      </c>
      <c r="G97" s="66" t="s">
        <v>496</v>
      </c>
    </row>
    <row r="98" spans="1:7" ht="28">
      <c r="A98" s="63" t="s">
        <v>102</v>
      </c>
      <c r="B98" s="63" t="s">
        <v>3</v>
      </c>
      <c r="C98" s="63" t="s">
        <v>3</v>
      </c>
      <c r="D98" s="63" t="s">
        <v>2</v>
      </c>
      <c r="E98" s="64">
        <v>0</v>
      </c>
      <c r="F98" s="65" t="s">
        <v>103</v>
      </c>
      <c r="G98" s="66" t="s">
        <v>497</v>
      </c>
    </row>
    <row r="99" spans="1:7" ht="28">
      <c r="A99" s="63" t="s">
        <v>104</v>
      </c>
      <c r="B99" s="63" t="s">
        <v>3</v>
      </c>
      <c r="C99" s="63" t="s">
        <v>3</v>
      </c>
      <c r="D99" s="63" t="s">
        <v>2</v>
      </c>
      <c r="E99" s="64">
        <v>0</v>
      </c>
      <c r="F99" s="65" t="s">
        <v>105</v>
      </c>
      <c r="G99" s="66" t="s">
        <v>498</v>
      </c>
    </row>
    <row r="100" spans="1:7" ht="28">
      <c r="A100" s="63" t="s">
        <v>106</v>
      </c>
      <c r="B100" s="63" t="s">
        <v>3</v>
      </c>
      <c r="C100" s="63" t="s">
        <v>3</v>
      </c>
      <c r="D100" s="63" t="s">
        <v>2</v>
      </c>
      <c r="E100" s="64">
        <v>0</v>
      </c>
      <c r="F100" s="65" t="s">
        <v>107</v>
      </c>
      <c r="G100" s="66" t="s">
        <v>499</v>
      </c>
    </row>
    <row r="101" spans="1:7" ht="28">
      <c r="A101" s="63" t="s">
        <v>111</v>
      </c>
      <c r="B101" s="63" t="s">
        <v>3</v>
      </c>
      <c r="C101" s="63" t="s">
        <v>3</v>
      </c>
      <c r="D101" s="63" t="s">
        <v>2</v>
      </c>
      <c r="E101" s="64">
        <v>0</v>
      </c>
      <c r="F101" s="65" t="s">
        <v>112</v>
      </c>
      <c r="G101" s="66" t="s">
        <v>500</v>
      </c>
    </row>
    <row r="102" spans="1:7" ht="28">
      <c r="A102" s="63" t="s">
        <v>135</v>
      </c>
      <c r="B102" s="63" t="s">
        <v>3</v>
      </c>
      <c r="C102" s="63" t="s">
        <v>3</v>
      </c>
      <c r="D102" s="63" t="s">
        <v>2</v>
      </c>
      <c r="E102" s="64">
        <v>0</v>
      </c>
      <c r="F102" s="65" t="s">
        <v>136</v>
      </c>
      <c r="G102" s="66" t="s">
        <v>501</v>
      </c>
    </row>
    <row r="103" spans="1:7">
      <c r="A103" s="63" t="s">
        <v>137</v>
      </c>
      <c r="B103" s="63" t="s">
        <v>3</v>
      </c>
      <c r="C103" s="63" t="s">
        <v>3</v>
      </c>
      <c r="D103" s="63" t="s">
        <v>2</v>
      </c>
      <c r="E103" s="64">
        <v>0</v>
      </c>
      <c r="F103" s="65" t="s">
        <v>138</v>
      </c>
      <c r="G103" s="66" t="s">
        <v>507</v>
      </c>
    </row>
    <row r="104" spans="1:7" s="53" customFormat="1">
      <c r="A104" s="46" t="s">
        <v>0</v>
      </c>
      <c r="C104" s="46"/>
      <c r="D104" s="46"/>
      <c r="E104" s="62"/>
      <c r="F104" s="54" t="s">
        <v>117</v>
      </c>
      <c r="G104" s="56"/>
    </row>
    <row r="105" spans="1:7" ht="28">
      <c r="A105" s="63" t="s">
        <v>134</v>
      </c>
      <c r="B105" s="63" t="s">
        <v>3</v>
      </c>
      <c r="C105" s="63" t="s">
        <v>3</v>
      </c>
      <c r="D105" s="63" t="s">
        <v>3</v>
      </c>
      <c r="E105" s="64">
        <v>1</v>
      </c>
      <c r="F105" s="67" t="s">
        <v>235</v>
      </c>
      <c r="G105" s="66" t="s">
        <v>508</v>
      </c>
    </row>
    <row r="106" spans="1:7" s="72" customFormat="1">
      <c r="A106" s="68"/>
      <c r="B106" s="68"/>
      <c r="C106" s="68"/>
      <c r="D106" s="68"/>
      <c r="E106" s="69"/>
      <c r="F106" s="70"/>
      <c r="G106" s="71"/>
    </row>
    <row r="107" spans="1:7" s="53" customFormat="1">
      <c r="A107" s="46" t="s">
        <v>0</v>
      </c>
      <c r="C107" s="46"/>
      <c r="D107" s="46"/>
      <c r="E107" s="62"/>
      <c r="F107" s="54" t="s">
        <v>240</v>
      </c>
      <c r="G107" s="56"/>
    </row>
    <row r="108" spans="1:7">
      <c r="A108" s="63" t="s">
        <v>118</v>
      </c>
      <c r="B108" s="63" t="s">
        <v>3</v>
      </c>
      <c r="C108" s="63" t="s">
        <v>3</v>
      </c>
      <c r="D108" s="63" t="s">
        <v>3</v>
      </c>
      <c r="E108" s="64">
        <v>1</v>
      </c>
      <c r="F108" s="65" t="s">
        <v>119</v>
      </c>
    </row>
    <row r="109" spans="1:7">
      <c r="A109" s="63" t="s">
        <v>120</v>
      </c>
      <c r="B109" s="63" t="s">
        <v>3</v>
      </c>
      <c r="C109" s="63" t="s">
        <v>3</v>
      </c>
      <c r="D109" s="63" t="s">
        <v>3</v>
      </c>
      <c r="E109" s="64">
        <v>1</v>
      </c>
      <c r="F109" s="65" t="s">
        <v>121</v>
      </c>
    </row>
    <row r="110" spans="1:7">
      <c r="A110" s="63" t="s">
        <v>122</v>
      </c>
      <c r="B110" s="63" t="s">
        <v>3</v>
      </c>
      <c r="C110" s="63" t="s">
        <v>3</v>
      </c>
      <c r="D110" s="63" t="s">
        <v>3</v>
      </c>
      <c r="E110" s="64">
        <v>1</v>
      </c>
      <c r="F110" s="65" t="s">
        <v>123</v>
      </c>
    </row>
    <row r="111" spans="1:7">
      <c r="A111" s="63" t="s">
        <v>124</v>
      </c>
      <c r="B111" s="63" t="s">
        <v>3</v>
      </c>
      <c r="C111" s="63" t="s">
        <v>3</v>
      </c>
      <c r="D111" s="63" t="s">
        <v>3</v>
      </c>
      <c r="E111" s="64">
        <v>1</v>
      </c>
      <c r="F111" s="65" t="s">
        <v>125</v>
      </c>
    </row>
    <row r="112" spans="1:7">
      <c r="A112" s="63" t="s">
        <v>126</v>
      </c>
      <c r="B112" s="63" t="s">
        <v>3</v>
      </c>
      <c r="C112" s="63" t="s">
        <v>3</v>
      </c>
      <c r="D112" s="63" t="s">
        <v>3</v>
      </c>
      <c r="E112" s="64">
        <v>1</v>
      </c>
      <c r="F112" s="65" t="s">
        <v>127</v>
      </c>
    </row>
    <row r="113" spans="1:7">
      <c r="A113" s="63" t="s">
        <v>100</v>
      </c>
      <c r="B113" s="63" t="s">
        <v>3</v>
      </c>
      <c r="C113" s="63" t="s">
        <v>3</v>
      </c>
      <c r="D113" s="63" t="s">
        <v>2</v>
      </c>
      <c r="E113" s="64">
        <v>0</v>
      </c>
      <c r="F113" s="65" t="s">
        <v>101</v>
      </c>
    </row>
    <row r="114" spans="1:7" s="61" customFormat="1">
      <c r="A114" s="57" t="s">
        <v>96</v>
      </c>
      <c r="B114" s="57" t="s">
        <v>3</v>
      </c>
      <c r="C114" s="57" t="s">
        <v>3</v>
      </c>
      <c r="D114" s="57" t="s">
        <v>2</v>
      </c>
      <c r="E114" s="58">
        <v>0</v>
      </c>
      <c r="F114" s="59" t="s">
        <v>97</v>
      </c>
      <c r="G114" s="60"/>
    </row>
    <row r="115" spans="1:7" s="61" customFormat="1">
      <c r="A115" s="57" t="s">
        <v>79</v>
      </c>
      <c r="B115" s="57" t="s">
        <v>3</v>
      </c>
      <c r="C115" s="57" t="s">
        <v>3</v>
      </c>
      <c r="D115" s="57" t="s">
        <v>2</v>
      </c>
      <c r="E115" s="58">
        <v>0</v>
      </c>
      <c r="F115" s="59" t="s">
        <v>80</v>
      </c>
      <c r="G115" s="60"/>
    </row>
    <row r="116" spans="1:7" s="61" customFormat="1">
      <c r="A116" s="57" t="s">
        <v>81</v>
      </c>
      <c r="B116" s="57" t="s">
        <v>3</v>
      </c>
      <c r="C116" s="57" t="s">
        <v>3</v>
      </c>
      <c r="D116" s="57" t="s">
        <v>2</v>
      </c>
      <c r="E116" s="58">
        <v>0</v>
      </c>
      <c r="F116" s="59" t="s">
        <v>82</v>
      </c>
      <c r="G116" s="60"/>
    </row>
    <row r="117" spans="1:7" s="61" customFormat="1">
      <c r="A117" s="57" t="s">
        <v>83</v>
      </c>
      <c r="B117" s="57" t="s">
        <v>3</v>
      </c>
      <c r="C117" s="57" t="s">
        <v>3</v>
      </c>
      <c r="D117" s="57" t="s">
        <v>2</v>
      </c>
      <c r="E117" s="58">
        <v>0</v>
      </c>
      <c r="F117" s="59" t="s">
        <v>84</v>
      </c>
      <c r="G117" s="60"/>
    </row>
    <row r="118" spans="1:7" s="61" customFormat="1">
      <c r="A118" s="57" t="s">
        <v>85</v>
      </c>
      <c r="B118" s="57" t="s">
        <v>3</v>
      </c>
      <c r="C118" s="57" t="s">
        <v>3</v>
      </c>
      <c r="D118" s="57" t="s">
        <v>2</v>
      </c>
      <c r="E118" s="58">
        <v>0</v>
      </c>
      <c r="F118" s="59" t="s">
        <v>86</v>
      </c>
      <c r="G118" s="60"/>
    </row>
    <row r="119" spans="1:7" s="61" customFormat="1">
      <c r="A119" s="57" t="s">
        <v>69</v>
      </c>
      <c r="B119" s="57" t="s">
        <v>3</v>
      </c>
      <c r="C119" s="57" t="s">
        <v>3</v>
      </c>
      <c r="D119" s="57" t="s">
        <v>2</v>
      </c>
      <c r="E119" s="58">
        <v>0</v>
      </c>
      <c r="F119" s="59" t="s">
        <v>70</v>
      </c>
      <c r="G119" s="60"/>
    </row>
    <row r="120" spans="1:7" s="61" customFormat="1">
      <c r="A120" s="57" t="s">
        <v>71</v>
      </c>
      <c r="B120" s="57" t="s">
        <v>3</v>
      </c>
      <c r="C120" s="57" t="s">
        <v>3</v>
      </c>
      <c r="D120" s="57" t="s">
        <v>2</v>
      </c>
      <c r="E120" s="58">
        <v>0</v>
      </c>
      <c r="F120" s="59" t="s">
        <v>72</v>
      </c>
      <c r="G120" s="60"/>
    </row>
    <row r="121" spans="1:7" s="61" customFormat="1">
      <c r="A121" s="57" t="s">
        <v>73</v>
      </c>
      <c r="B121" s="57" t="s">
        <v>3</v>
      </c>
      <c r="C121" s="57" t="s">
        <v>3</v>
      </c>
      <c r="D121" s="57" t="s">
        <v>2</v>
      </c>
      <c r="E121" s="58">
        <v>0</v>
      </c>
      <c r="F121" s="59" t="s">
        <v>74</v>
      </c>
      <c r="G121" s="60"/>
    </row>
    <row r="122" spans="1:7" s="61" customFormat="1">
      <c r="A122" s="57" t="s">
        <v>94</v>
      </c>
      <c r="B122" s="57" t="s">
        <v>3</v>
      </c>
      <c r="C122" s="57" t="s">
        <v>3</v>
      </c>
      <c r="D122" s="57" t="s">
        <v>2</v>
      </c>
      <c r="E122" s="58">
        <v>0</v>
      </c>
      <c r="F122" s="59" t="s">
        <v>95</v>
      </c>
      <c r="G122" s="60"/>
    </row>
    <row r="123" spans="1:7" s="61" customFormat="1">
      <c r="A123" s="57" t="s">
        <v>65</v>
      </c>
      <c r="B123" s="57" t="s">
        <v>3</v>
      </c>
      <c r="C123" s="57" t="s">
        <v>3</v>
      </c>
      <c r="D123" s="57" t="s">
        <v>2</v>
      </c>
      <c r="E123" s="58">
        <v>0</v>
      </c>
      <c r="F123" s="59" t="s">
        <v>66</v>
      </c>
      <c r="G123" s="60"/>
    </row>
    <row r="124" spans="1:7" s="61" customFormat="1">
      <c r="A124" s="57" t="s">
        <v>77</v>
      </c>
      <c r="B124" s="57" t="s">
        <v>3</v>
      </c>
      <c r="C124" s="57" t="s">
        <v>3</v>
      </c>
      <c r="D124" s="57" t="s">
        <v>2</v>
      </c>
      <c r="E124" s="58">
        <v>0</v>
      </c>
      <c r="F124" s="59" t="s">
        <v>78</v>
      </c>
      <c r="G124" s="60"/>
    </row>
    <row r="125" spans="1:7" s="61" customFormat="1">
      <c r="A125" s="57" t="s">
        <v>113</v>
      </c>
      <c r="B125" s="57" t="s">
        <v>3</v>
      </c>
      <c r="C125" s="57" t="s">
        <v>3</v>
      </c>
      <c r="D125" s="57" t="s">
        <v>2</v>
      </c>
      <c r="E125" s="58">
        <v>0</v>
      </c>
      <c r="F125" s="59" t="s">
        <v>114</v>
      </c>
      <c r="G125" s="60"/>
    </row>
    <row r="126" spans="1:7" s="61" customFormat="1">
      <c r="A126" s="57" t="s">
        <v>115</v>
      </c>
      <c r="B126" s="57" t="s">
        <v>3</v>
      </c>
      <c r="C126" s="57" t="s">
        <v>3</v>
      </c>
      <c r="D126" s="57" t="s">
        <v>2</v>
      </c>
      <c r="E126" s="58">
        <v>0</v>
      </c>
      <c r="F126" s="59" t="s">
        <v>116</v>
      </c>
      <c r="G126" s="60"/>
    </row>
    <row r="127" spans="1:7" s="61" customFormat="1">
      <c r="A127" s="57" t="s">
        <v>67</v>
      </c>
      <c r="B127" s="57" t="s">
        <v>3</v>
      </c>
      <c r="C127" s="57" t="s">
        <v>3</v>
      </c>
      <c r="D127" s="57" t="s">
        <v>2</v>
      </c>
      <c r="E127" s="58">
        <v>0</v>
      </c>
      <c r="F127" s="59" t="s">
        <v>68</v>
      </c>
      <c r="G127" s="60"/>
    </row>
    <row r="128" spans="1:7" s="61" customFormat="1">
      <c r="A128" s="57" t="s">
        <v>75</v>
      </c>
      <c r="B128" s="57" t="s">
        <v>3</v>
      </c>
      <c r="C128" s="57" t="s">
        <v>3</v>
      </c>
      <c r="D128" s="57" t="s">
        <v>2</v>
      </c>
      <c r="E128" s="58">
        <v>0</v>
      </c>
      <c r="F128" s="59" t="s">
        <v>76</v>
      </c>
      <c r="G128" s="60"/>
    </row>
    <row r="129" spans="1:7" s="61" customFormat="1">
      <c r="A129" s="57" t="s">
        <v>91</v>
      </c>
      <c r="B129" s="57" t="s">
        <v>3</v>
      </c>
      <c r="C129" s="57" t="s">
        <v>3</v>
      </c>
      <c r="D129" s="57" t="s">
        <v>2</v>
      </c>
      <c r="E129" s="58">
        <v>0</v>
      </c>
      <c r="F129" s="59" t="s">
        <v>68</v>
      </c>
      <c r="G129" s="60"/>
    </row>
    <row r="130" spans="1:7" s="61" customFormat="1">
      <c r="A130" s="57" t="s">
        <v>92</v>
      </c>
      <c r="B130" s="57" t="s">
        <v>3</v>
      </c>
      <c r="C130" s="57" t="s">
        <v>3</v>
      </c>
      <c r="D130" s="57" t="s">
        <v>2</v>
      </c>
      <c r="E130" s="58">
        <v>0</v>
      </c>
      <c r="F130" s="59" t="s">
        <v>93</v>
      </c>
      <c r="G130" s="60"/>
    </row>
    <row r="131" spans="1:7" s="61" customFormat="1">
      <c r="A131" s="57" t="s">
        <v>59</v>
      </c>
      <c r="B131" s="57" t="s">
        <v>3</v>
      </c>
      <c r="C131" s="57" t="s">
        <v>3</v>
      </c>
      <c r="D131" s="57" t="s">
        <v>2</v>
      </c>
      <c r="E131" s="58">
        <v>0</v>
      </c>
      <c r="F131" s="59" t="s">
        <v>60</v>
      </c>
      <c r="G131" s="60"/>
    </row>
    <row r="132" spans="1:7" s="61" customFormat="1">
      <c r="A132" s="57" t="s">
        <v>6</v>
      </c>
      <c r="B132" s="57" t="s">
        <v>3</v>
      </c>
      <c r="C132" s="57" t="s">
        <v>3</v>
      </c>
      <c r="D132" s="57" t="s">
        <v>3</v>
      </c>
      <c r="E132" s="58">
        <v>0</v>
      </c>
      <c r="F132" s="59" t="s">
        <v>7</v>
      </c>
      <c r="G132" s="60"/>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25"/>
  <sheetViews>
    <sheetView workbookViewId="0">
      <pane ySplit="1" topLeftCell="A2" activePane="bottomLeft" state="frozen"/>
      <selection pane="bottomLeft" activeCell="A10" sqref="A10"/>
    </sheetView>
  </sheetViews>
  <sheetFormatPr baseColWidth="10" defaultColWidth="8.83203125" defaultRowHeight="14" x14ac:dyDescent="0"/>
  <cols>
    <col min="1" max="3" width="50" style="47" customWidth="1"/>
    <col min="4" max="4" width="71.5" style="75" customWidth="1"/>
    <col min="5" max="16384" width="8.83203125" style="47"/>
  </cols>
  <sheetData>
    <row r="1" spans="1:4" s="46" customFormat="1">
      <c r="A1" s="46" t="s">
        <v>405</v>
      </c>
      <c r="B1" s="46" t="s">
        <v>406</v>
      </c>
      <c r="C1" s="46" t="s">
        <v>407</v>
      </c>
      <c r="D1" s="74" t="s">
        <v>133</v>
      </c>
    </row>
    <row r="2" spans="1:4" ht="28">
      <c r="A2" s="47" t="s">
        <v>0</v>
      </c>
      <c r="B2" s="47" t="s">
        <v>248</v>
      </c>
      <c r="C2" s="47" t="s">
        <v>629</v>
      </c>
      <c r="D2" s="75" t="s">
        <v>527</v>
      </c>
    </row>
    <row r="3" spans="1:4">
      <c r="A3" s="47" t="s">
        <v>629</v>
      </c>
      <c r="B3" s="47" t="s">
        <v>630</v>
      </c>
      <c r="C3" s="47" t="str">
        <f>A3&amp;"_"&amp;B3</f>
        <v>report_test</v>
      </c>
    </row>
    <row r="4" spans="1:4" ht="28">
      <c r="A4" s="47" t="s">
        <v>0</v>
      </c>
      <c r="B4" s="47" t="s">
        <v>249</v>
      </c>
      <c r="C4" s="47" t="s">
        <v>632</v>
      </c>
      <c r="D4" s="75" t="s">
        <v>531</v>
      </c>
    </row>
    <row r="5" spans="1:4" ht="112">
      <c r="A5" s="47" t="s">
        <v>632</v>
      </c>
      <c r="B5" s="47" t="s">
        <v>633</v>
      </c>
      <c r="C5" s="47" t="str">
        <f>A5&amp;"_"&amp;B5</f>
        <v>rescue_nproc</v>
      </c>
      <c r="D5" s="75" t="s">
        <v>532</v>
      </c>
    </row>
    <row r="6" spans="1:4" ht="42">
      <c r="A6" s="47" t="s">
        <v>0</v>
      </c>
      <c r="B6" s="47" t="s">
        <v>654</v>
      </c>
      <c r="C6" s="47" t="s">
        <v>655</v>
      </c>
      <c r="D6" s="75" t="s">
        <v>474</v>
      </c>
    </row>
    <row r="9" spans="1:4">
      <c r="A9" s="47" t="s">
        <v>655</v>
      </c>
      <c r="B9" s="47" t="s">
        <v>656</v>
      </c>
      <c r="C9" s="47" t="str">
        <f>A9&amp;"_"&amp;B9</f>
        <v>varman_set</v>
      </c>
    </row>
    <row r="10" spans="1:4">
      <c r="A10" s="47" t="s">
        <v>655</v>
      </c>
      <c r="B10" s="47" t="s">
        <v>657</v>
      </c>
      <c r="C10" s="47" t="str">
        <f>A10&amp;"_"&amp;B10</f>
        <v>varman_get</v>
      </c>
    </row>
    <row r="13" spans="1:4" ht="84">
      <c r="A13" s="47" t="s">
        <v>196</v>
      </c>
      <c r="B13" s="47" t="s">
        <v>342</v>
      </c>
      <c r="C13" s="47" t="s">
        <v>246</v>
      </c>
      <c r="D13" s="75" t="s">
        <v>528</v>
      </c>
    </row>
    <row r="14" spans="1:4" ht="98">
      <c r="A14" s="47" t="s">
        <v>196</v>
      </c>
      <c r="B14" s="47" t="s">
        <v>344</v>
      </c>
      <c r="C14" s="47" t="s">
        <v>246</v>
      </c>
      <c r="D14" s="75" t="s">
        <v>529</v>
      </c>
    </row>
    <row r="15" spans="1:4" ht="84">
      <c r="A15" s="47" t="s">
        <v>196</v>
      </c>
      <c r="B15" s="47" t="s">
        <v>345</v>
      </c>
      <c r="C15" s="47" t="s">
        <v>246</v>
      </c>
      <c r="D15" s="75" t="s">
        <v>530</v>
      </c>
    </row>
    <row r="16" spans="1:4" ht="112">
      <c r="A16" s="47" t="s">
        <v>333</v>
      </c>
      <c r="B16" s="47" t="s">
        <v>335</v>
      </c>
      <c r="C16" s="47" t="s">
        <v>338</v>
      </c>
      <c r="D16" s="75" t="s">
        <v>477</v>
      </c>
    </row>
    <row r="17" spans="1:4" ht="98">
      <c r="A17" s="47" t="s">
        <v>333</v>
      </c>
      <c r="B17" s="47" t="s">
        <v>347</v>
      </c>
      <c r="C17" s="47" t="s">
        <v>348</v>
      </c>
      <c r="D17" s="75" t="s">
        <v>523</v>
      </c>
    </row>
    <row r="18" spans="1:4" ht="84">
      <c r="A18" s="47" t="s">
        <v>0</v>
      </c>
      <c r="B18" s="47" t="s">
        <v>247</v>
      </c>
      <c r="C18" s="47" t="s">
        <v>195</v>
      </c>
      <c r="D18" s="75" t="s">
        <v>475</v>
      </c>
    </row>
    <row r="19" spans="1:4" ht="56">
      <c r="A19" s="47" t="s">
        <v>195</v>
      </c>
      <c r="B19" s="47" t="s">
        <v>339</v>
      </c>
      <c r="C19" s="47" t="s">
        <v>245</v>
      </c>
      <c r="D19" s="75" t="s">
        <v>476</v>
      </c>
    </row>
    <row r="20" spans="1:4" ht="112">
      <c r="A20" s="47" t="s">
        <v>195</v>
      </c>
      <c r="B20" s="47" t="s">
        <v>340</v>
      </c>
      <c r="C20" s="47" t="s">
        <v>245</v>
      </c>
      <c r="D20" s="75" t="s">
        <v>525</v>
      </c>
    </row>
    <row r="21" spans="1:4" ht="42">
      <c r="A21" s="47" t="s">
        <v>195</v>
      </c>
      <c r="B21" s="47" t="s">
        <v>341</v>
      </c>
      <c r="C21" s="47" t="s">
        <v>245</v>
      </c>
      <c r="D21" s="75" t="s">
        <v>526</v>
      </c>
    </row>
    <row r="22" spans="1:4" ht="70">
      <c r="A22" s="47" t="s">
        <v>197</v>
      </c>
      <c r="B22" s="47" t="s">
        <v>397</v>
      </c>
      <c r="C22" s="47" t="s">
        <v>398</v>
      </c>
      <c r="D22" s="75" t="s">
        <v>533</v>
      </c>
    </row>
    <row r="23" spans="1:4" s="72" customFormat="1">
      <c r="D23" s="76"/>
    </row>
    <row r="24" spans="1:4">
      <c r="A24" s="47" t="s">
        <v>196</v>
      </c>
      <c r="B24" s="47" t="s">
        <v>343</v>
      </c>
      <c r="C24" s="47" t="s">
        <v>246</v>
      </c>
    </row>
    <row r="25" spans="1:4">
      <c r="A25" s="47" t="s">
        <v>196</v>
      </c>
      <c r="B25" s="47" t="s">
        <v>346</v>
      </c>
      <c r="C25" s="47" t="s">
        <v>246</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7"/>
  <sheetViews>
    <sheetView workbookViewId="0">
      <pane ySplit="1" topLeftCell="A5" activePane="bottomLeft" state="frozen"/>
      <selection pane="bottomLeft" activeCell="D12" sqref="D12"/>
    </sheetView>
  </sheetViews>
  <sheetFormatPr baseColWidth="10" defaultColWidth="8.83203125" defaultRowHeight="15" customHeight="1" x14ac:dyDescent="0"/>
  <cols>
    <col min="1" max="1" width="50" customWidth="1"/>
    <col min="2" max="2" width="50" style="3" customWidth="1"/>
  </cols>
  <sheetData>
    <row r="1" spans="1:2" s="2" customFormat="1" ht="15" customHeight="1">
      <c r="A1" s="2" t="s">
        <v>458</v>
      </c>
      <c r="B1" s="2" t="s">
        <v>459</v>
      </c>
    </row>
    <row r="2" spans="1:2" s="9" customFormat="1" ht="15" customHeight="1">
      <c r="A2" s="9" t="s">
        <v>0</v>
      </c>
      <c r="B2" s="9" t="s">
        <v>187</v>
      </c>
    </row>
    <row r="3" spans="1:2" s="12" customFormat="1" ht="15" customHeight="1">
      <c r="A3" s="12" t="s">
        <v>300</v>
      </c>
      <c r="B3" s="11" t="s">
        <v>302</v>
      </c>
    </row>
    <row r="4" spans="1:2" s="12" customFormat="1" ht="15" customHeight="1">
      <c r="A4" s="12" t="s">
        <v>301</v>
      </c>
      <c r="B4" s="11" t="s">
        <v>303</v>
      </c>
    </row>
    <row r="5" spans="1:2" s="9" customFormat="1" ht="15" customHeight="1">
      <c r="A5" s="9" t="s">
        <v>0</v>
      </c>
      <c r="B5" s="9" t="s">
        <v>189</v>
      </c>
    </row>
    <row r="6" spans="1:2" s="12" customFormat="1" ht="15" customHeight="1">
      <c r="A6" s="12" t="s">
        <v>190</v>
      </c>
      <c r="B6" s="11" t="s">
        <v>191</v>
      </c>
    </row>
    <row r="7" spans="1:2" s="12" customFormat="1" ht="15" customHeight="1">
      <c r="A7" s="12" t="s">
        <v>217</v>
      </c>
      <c r="B7" s="11" t="s">
        <v>192</v>
      </c>
    </row>
    <row r="8" spans="1:2" ht="15" customHeight="1">
      <c r="A8" t="s">
        <v>203</v>
      </c>
      <c r="B8" s="3" t="s">
        <v>206</v>
      </c>
    </row>
    <row r="9" spans="1:2" ht="15" customHeight="1">
      <c r="A9" t="s">
        <v>204</v>
      </c>
      <c r="B9" s="3" t="s">
        <v>205</v>
      </c>
    </row>
    <row r="10" spans="1:2" ht="15" customHeight="1">
      <c r="A10" t="s">
        <v>384</v>
      </c>
      <c r="B10" s="3" t="s">
        <v>386</v>
      </c>
    </row>
    <row r="11" spans="1:2" ht="15" customHeight="1">
      <c r="A11" t="s">
        <v>385</v>
      </c>
      <c r="B11" s="14" t="s">
        <v>387</v>
      </c>
    </row>
    <row r="12" spans="1:2" ht="15" customHeight="1">
      <c r="A12" t="s">
        <v>400</v>
      </c>
      <c r="B12" s="14" t="s">
        <v>634</v>
      </c>
    </row>
    <row r="13" spans="1:2" ht="15" customHeight="1">
      <c r="A13" t="s">
        <v>401</v>
      </c>
      <c r="B13" s="14" t="s">
        <v>402</v>
      </c>
    </row>
    <row r="14" spans="1:2" ht="15" customHeight="1">
      <c r="A14" t="s">
        <v>413</v>
      </c>
      <c r="B14" s="14" t="s">
        <v>469</v>
      </c>
    </row>
    <row r="15" spans="1:2" s="9" customFormat="1" ht="15" customHeight="1">
      <c r="A15" s="9" t="s">
        <v>0</v>
      </c>
      <c r="B15" s="9" t="s">
        <v>334</v>
      </c>
    </row>
    <row r="16" spans="1:2" ht="15" customHeight="1">
      <c r="A16" t="s">
        <v>333</v>
      </c>
      <c r="B16" s="3" t="s">
        <v>337</v>
      </c>
    </row>
    <row r="17" spans="1:2" ht="15" customHeight="1">
      <c r="A17" t="s">
        <v>335</v>
      </c>
      <c r="B17" s="3" t="s">
        <v>336</v>
      </c>
    </row>
    <row r="18" spans="1:2" ht="15" customHeight="1">
      <c r="A18" t="s">
        <v>347</v>
      </c>
      <c r="B18" s="3" t="s">
        <v>349</v>
      </c>
    </row>
    <row r="19" spans="1:2" s="9" customFormat="1" ht="15" customHeight="1">
      <c r="A19" s="9" t="s">
        <v>0</v>
      </c>
      <c r="B19" s="9" t="s">
        <v>207</v>
      </c>
    </row>
    <row r="20" spans="1:2" ht="15" customHeight="1">
      <c r="A20" t="s">
        <v>195</v>
      </c>
      <c r="B20" s="3" t="s">
        <v>200</v>
      </c>
    </row>
    <row r="21" spans="1:2" ht="15" customHeight="1">
      <c r="A21" t="s">
        <v>339</v>
      </c>
      <c r="B21" s="3" t="s">
        <v>253</v>
      </c>
    </row>
    <row r="22" spans="1:2" ht="15" customHeight="1">
      <c r="A22" t="s">
        <v>340</v>
      </c>
      <c r="B22" s="3" t="s">
        <v>254</v>
      </c>
    </row>
    <row r="23" spans="1:2" ht="15" customHeight="1">
      <c r="A23" t="s">
        <v>341</v>
      </c>
      <c r="B23" s="3" t="s">
        <v>255</v>
      </c>
    </row>
    <row r="24" spans="1:2" s="9" customFormat="1" ht="15" customHeight="1">
      <c r="A24" s="9" t="s">
        <v>0</v>
      </c>
      <c r="B24" s="9" t="s">
        <v>208</v>
      </c>
    </row>
    <row r="25" spans="1:2" ht="15" customHeight="1">
      <c r="A25" t="s">
        <v>196</v>
      </c>
      <c r="B25" s="3" t="s">
        <v>201</v>
      </c>
    </row>
    <row r="26" spans="1:2" ht="15" customHeight="1">
      <c r="A26" t="s">
        <v>342</v>
      </c>
      <c r="B26" s="3" t="s">
        <v>258</v>
      </c>
    </row>
    <row r="27" spans="1:2" ht="15" customHeight="1">
      <c r="A27" t="s">
        <v>343</v>
      </c>
      <c r="B27" s="3" t="s">
        <v>259</v>
      </c>
    </row>
    <row r="28" spans="1:2" ht="15" customHeight="1">
      <c r="A28" t="s">
        <v>344</v>
      </c>
      <c r="B28" s="3" t="s">
        <v>260</v>
      </c>
    </row>
    <row r="29" spans="1:2" ht="15" customHeight="1">
      <c r="A29" t="s">
        <v>345</v>
      </c>
      <c r="B29" s="3" t="s">
        <v>261</v>
      </c>
    </row>
    <row r="30" spans="1:2" ht="15" customHeight="1">
      <c r="A30" t="s">
        <v>346</v>
      </c>
      <c r="B30" s="3" t="s">
        <v>262</v>
      </c>
    </row>
    <row r="31" spans="1:2" s="9" customFormat="1" ht="15" customHeight="1">
      <c r="A31" s="9" t="s">
        <v>0</v>
      </c>
      <c r="B31" s="9" t="s">
        <v>211</v>
      </c>
    </row>
    <row r="32" spans="1:2" ht="15" customHeight="1">
      <c r="A32" t="s">
        <v>197</v>
      </c>
      <c r="B32" s="3" t="s">
        <v>202</v>
      </c>
    </row>
    <row r="33" spans="1:4" ht="15" customHeight="1">
      <c r="A33" t="s">
        <v>350</v>
      </c>
      <c r="B33" s="3" t="s">
        <v>263</v>
      </c>
    </row>
    <row r="34" spans="1:4" ht="15" customHeight="1">
      <c r="A34" t="s">
        <v>397</v>
      </c>
      <c r="B34" s="3" t="s">
        <v>399</v>
      </c>
    </row>
    <row r="35" spans="1:4" s="9" customFormat="1" ht="15" customHeight="1">
      <c r="A35" s="9" t="s">
        <v>0</v>
      </c>
      <c r="B35" s="9" t="s">
        <v>433</v>
      </c>
    </row>
    <row r="36" spans="1:4" s="12" customFormat="1" ht="15" customHeight="1">
      <c r="A36" s="17" t="s">
        <v>228</v>
      </c>
      <c r="B36" s="11" t="s">
        <v>229</v>
      </c>
    </row>
    <row r="37" spans="1:4" ht="15" customHeight="1">
      <c r="A37" s="13" t="s">
        <v>268</v>
      </c>
      <c r="B37" s="3" t="s">
        <v>269</v>
      </c>
    </row>
    <row r="38" spans="1:4" s="12" customFormat="1" ht="15" customHeight="1">
      <c r="A38" s="12" t="s">
        <v>181</v>
      </c>
      <c r="B38" s="11" t="s">
        <v>215</v>
      </c>
    </row>
    <row r="39" spans="1:4" ht="15" customHeight="1">
      <c r="A39" s="13" t="s">
        <v>168</v>
      </c>
      <c r="B39" s="3" t="s">
        <v>214</v>
      </c>
    </row>
    <row r="40" spans="1:4" s="9" customFormat="1" ht="15" customHeight="1">
      <c r="A40" s="9" t="s">
        <v>0</v>
      </c>
      <c r="B40" s="15" t="s">
        <v>434</v>
      </c>
    </row>
    <row r="41" spans="1:4" s="12" customFormat="1" ht="15" customHeight="1">
      <c r="A41" s="17" t="s">
        <v>230</v>
      </c>
      <c r="B41" s="11" t="s">
        <v>231</v>
      </c>
      <c r="C41" s="11"/>
      <c r="D41" s="11"/>
    </row>
    <row r="42" spans="1:4" ht="15" customHeight="1">
      <c r="A42" t="s">
        <v>186</v>
      </c>
      <c r="B42" s="3" t="s">
        <v>216</v>
      </c>
      <c r="C42" s="3"/>
      <c r="D42" s="3"/>
    </row>
    <row r="43" spans="1:4" ht="15" customHeight="1">
      <c r="A43" t="s">
        <v>282</v>
      </c>
      <c r="B43" s="3" t="s">
        <v>283</v>
      </c>
      <c r="C43" s="3"/>
      <c r="D43" s="3"/>
    </row>
    <row r="44" spans="1:4" s="9" customFormat="1" ht="14">
      <c r="A44" s="9" t="s">
        <v>0</v>
      </c>
      <c r="B44" s="9" t="s">
        <v>438</v>
      </c>
    </row>
    <row r="45" spans="1:4" ht="15" customHeight="1">
      <c r="A45" t="s">
        <v>287</v>
      </c>
      <c r="B45" s="3" t="s">
        <v>288</v>
      </c>
      <c r="C45" s="3"/>
      <c r="D45" s="3"/>
    </row>
    <row r="46" spans="1:4" s="9" customFormat="1" ht="15" customHeight="1">
      <c r="A46" s="9" t="s">
        <v>0</v>
      </c>
      <c r="B46" s="8" t="s">
        <v>440</v>
      </c>
    </row>
    <row r="47" spans="1:4" ht="15" customHeight="1">
      <c r="A47" s="12" t="s">
        <v>219</v>
      </c>
      <c r="B47" s="11" t="s">
        <v>220</v>
      </c>
      <c r="C47" s="11"/>
      <c r="D47" s="11"/>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4"/>
  <sheetViews>
    <sheetView workbookViewId="0">
      <pane ySplit="1" topLeftCell="A2" activePane="bottomLeft" state="frozen"/>
      <selection pane="bottomLeft" activeCell="A34" sqref="A34"/>
    </sheetView>
  </sheetViews>
  <sheetFormatPr baseColWidth="10" defaultColWidth="8.83203125" defaultRowHeight="14" x14ac:dyDescent="0"/>
  <cols>
    <col min="1" max="2" width="50" customWidth="1"/>
  </cols>
  <sheetData>
    <row r="1" spans="1:2" s="2" customFormat="1">
      <c r="A1" s="2" t="s">
        <v>460</v>
      </c>
      <c r="B1" s="2" t="s">
        <v>459</v>
      </c>
    </row>
    <row r="2" spans="1:2" s="9" customFormat="1" ht="15" customHeight="1">
      <c r="A2" s="9" t="s">
        <v>0</v>
      </c>
      <c r="B2" s="9" t="s">
        <v>140</v>
      </c>
    </row>
    <row r="3" spans="1:2" s="12" customFormat="1" ht="15" customHeight="1">
      <c r="A3" s="12" t="s">
        <v>142</v>
      </c>
      <c r="B3" s="16" t="s">
        <v>151</v>
      </c>
    </row>
    <row r="4" spans="1:2" s="9" customFormat="1" ht="15" customHeight="1">
      <c r="A4" s="9" t="s">
        <v>0</v>
      </c>
      <c r="B4" s="9" t="s">
        <v>143</v>
      </c>
    </row>
    <row r="5" spans="1:2" s="82" customFormat="1" ht="15" customHeight="1">
      <c r="A5" s="82" t="s">
        <v>157</v>
      </c>
      <c r="B5" s="83">
        <v>611057</v>
      </c>
    </row>
    <row r="6" spans="1:2" s="82" customFormat="1" ht="15" customHeight="1">
      <c r="A6" s="82" t="s">
        <v>158</v>
      </c>
      <c r="B6" s="83">
        <v>286421</v>
      </c>
    </row>
    <row r="7" spans="1:2" s="82" customFormat="1" ht="15" customHeight="1">
      <c r="A7" s="82" t="s">
        <v>144</v>
      </c>
      <c r="B7" s="83">
        <v>126989</v>
      </c>
    </row>
    <row r="8" spans="1:2" s="82" customFormat="1" ht="15" customHeight="1">
      <c r="A8" s="82" t="s">
        <v>564</v>
      </c>
      <c r="B8" s="83">
        <v>1.5</v>
      </c>
    </row>
    <row r="9" spans="1:2" s="9" customFormat="1" ht="15" customHeight="1">
      <c r="A9" s="9" t="s">
        <v>0</v>
      </c>
      <c r="B9" s="9" t="s">
        <v>311</v>
      </c>
    </row>
    <row r="10" spans="1:2" s="12" customFormat="1" ht="15" customHeight="1">
      <c r="A10" s="82" t="s">
        <v>573</v>
      </c>
      <c r="B10" s="83">
        <v>10</v>
      </c>
    </row>
    <row r="11" spans="1:2" s="12" customFormat="1" ht="15" customHeight="1">
      <c r="A11" s="12" t="s">
        <v>310</v>
      </c>
      <c r="B11" s="11">
        <f>B22+B24</f>
        <v>610</v>
      </c>
    </row>
    <row r="12" spans="1:2" s="12" customFormat="1" ht="15" customHeight="1">
      <c r="A12" s="12" t="s">
        <v>307</v>
      </c>
      <c r="B12" s="11">
        <f>COUNTA(IM.Initialize!A:A)-COUNTIF(IM.Initialize!A:A,"#")-1</f>
        <v>15</v>
      </c>
    </row>
    <row r="13" spans="1:2" s="82" customFormat="1" ht="15" customHeight="1">
      <c r="A13" s="82" t="s">
        <v>574</v>
      </c>
      <c r="B13" s="83">
        <f>COUNTA(LM.Initialize!A:A)-COUNTIF(LM.Initialize!A:A,"#")</f>
        <v>122</v>
      </c>
    </row>
    <row r="14" spans="1:2" s="12" customFormat="1" ht="15" customHeight="1">
      <c r="A14" s="12" t="s">
        <v>309</v>
      </c>
      <c r="B14" s="11">
        <f>COUNTIF(def.env.var!C:C,"Data_int")+COUNTIF(def.V1.var!C:C,"Data_int")+COUNTIF(def.MT.var!C:C,"Data_int")+COUNTIF(def.lin.var!C:C,"Data_int")+COUNTIF(def.sim.var!C:C,"Data_int")</f>
        <v>2</v>
      </c>
    </row>
    <row r="15" spans="1:2" s="12" customFormat="1" ht="15" customHeight="1">
      <c r="A15" s="12" t="s">
        <v>313</v>
      </c>
      <c r="B15" s="11">
        <f>COUNTIF(def.env.var!C:C,"Data_float")+COUNTIF(def.V1.var!C:C,"Data_float")+COUNTIF(def.MT.var!C:C,"Data_float")+COUNTIF(def.lin.var!C:C,"Data_float")+COUNTIF(def.sim.var!C:C,"Data_float")</f>
        <v>0</v>
      </c>
    </row>
    <row r="16" spans="1:2" s="12" customFormat="1" ht="15" customHeight="1">
      <c r="A16" s="12" t="s">
        <v>312</v>
      </c>
      <c r="B16" s="11">
        <f>COUNTIF(def.env.var!C:C,"Data_double")+COUNTIF(def.V1.var!C:C,"Data_double")+COUNTIF(def.MT.var!C:C,"Data_double")+COUNTIF(def.lin.var!C:C,"Data_double")+COUNTIF(def.sim.var!C:C,"Data_double")+B22*B22</f>
        <v>360022</v>
      </c>
    </row>
    <row r="17" spans="1:4" s="12" customFormat="1" ht="15" customHeight="1">
      <c r="A17" s="12" t="s">
        <v>314</v>
      </c>
      <c r="B17" s="11">
        <f>COUNTIF(def.env.var!C:C,"Data_string")+COUNTIF(def.V1.var!C:C,"Data_string")+COUNTIF(def.MT.var!C:C,"Data_string")+COUNTIF(def.lin.var!C:C,"Data_string")+COUNTIF(def.sim.var!C:C,"Data_string")</f>
        <v>10</v>
      </c>
    </row>
    <row r="18" spans="1:4" s="12" customFormat="1" ht="15" customHeight="1">
      <c r="A18" s="12" t="s">
        <v>315</v>
      </c>
      <c r="B18" s="11">
        <f>COUNTIF(def.env.var!C:C,"Data_bool")+COUNTIF(def.V1.var!C:C,"Data_bool")+COUNTIF(def.MT.var!C:C,"Data_bool")+COUNTIF(def.lin.var!C:C,"Data_bool")+COUNTIF(def.sim.var!C:C,"Data_bool")</f>
        <v>2</v>
      </c>
    </row>
    <row r="19" spans="1:4" s="12" customFormat="1" ht="15" customHeight="1">
      <c r="A19" s="12" t="s">
        <v>317</v>
      </c>
      <c r="B19" s="11" t="str">
        <f>CONCATENATEDELIMETER(A14:A18," + ")</f>
        <v>SETTINGS_MANAGER_INT_HASH_SIZE + SETTINGS_MANAGER_FLOAT_HASH_SIZE + SETTINGS_MANAGER_DOUBLE_HASH_SIZE + SETTINGS_MANAGER_STRING_HASH_SIZE + SETTINGS_MANAGER_BOOL_HASH_SIZE</v>
      </c>
    </row>
    <row r="20" spans="1:4" s="12" customFormat="1" ht="15" customHeight="1">
      <c r="A20" s="12" t="s">
        <v>316</v>
      </c>
      <c r="B20" s="11" t="str">
        <f>CONCATENATEDELIMETER(A14:A18," + ")</f>
        <v>SETTINGS_MANAGER_INT_HASH_SIZE + SETTINGS_MANAGER_FLOAT_HASH_SIZE + SETTINGS_MANAGER_DOUBLE_HASH_SIZE + SETTINGS_MANAGER_STRING_HASH_SIZE + SETTINGS_MANAGER_BOOL_HASH_SIZE</v>
      </c>
    </row>
    <row r="21" spans="1:4" s="9" customFormat="1">
      <c r="A21" s="9" t="s">
        <v>0</v>
      </c>
      <c r="B21" s="9" t="s">
        <v>433</v>
      </c>
    </row>
    <row r="22" spans="1:4" ht="15" customHeight="1">
      <c r="A22" s="13" t="s">
        <v>450</v>
      </c>
      <c r="B22" s="3">
        <v>600</v>
      </c>
    </row>
    <row r="23" spans="1:4" s="9" customFormat="1">
      <c r="A23" s="9" t="s">
        <v>0</v>
      </c>
      <c r="B23" s="9" t="s">
        <v>434</v>
      </c>
    </row>
    <row r="24" spans="1:4" ht="15" customHeight="1">
      <c r="A24" t="s">
        <v>451</v>
      </c>
      <c r="B24" s="3">
        <v>10</v>
      </c>
      <c r="C24" s="3"/>
      <c r="D24" s="3"/>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A3" sqref="A3:XFD3"/>
    </sheetView>
  </sheetViews>
  <sheetFormatPr baseColWidth="10" defaultColWidth="8.83203125" defaultRowHeight="14" x14ac:dyDescent="0"/>
  <cols>
    <col min="1" max="3" width="50" customWidth="1"/>
    <col min="4" max="4" width="9.1640625" customWidth="1"/>
  </cols>
  <sheetData>
    <row r="1" spans="1:6" s="2" customFormat="1">
      <c r="A1" s="2" t="s">
        <v>461</v>
      </c>
      <c r="B1" s="2" t="s">
        <v>460</v>
      </c>
      <c r="C1" s="2" t="s">
        <v>462</v>
      </c>
      <c r="D1" s="2" t="s">
        <v>463</v>
      </c>
      <c r="E1" s="2" t="s">
        <v>468</v>
      </c>
      <c r="F1" s="2" t="s">
        <v>473</v>
      </c>
    </row>
    <row r="2" spans="1:6" ht="15" customHeight="1">
      <c r="A2" s="3" t="s">
        <v>380</v>
      </c>
      <c r="B2" s="13" t="s">
        <v>243</v>
      </c>
      <c r="C2" s="3" t="s">
        <v>156</v>
      </c>
      <c r="D2" s="3">
        <v>1</v>
      </c>
      <c r="E2" s="3"/>
    </row>
    <row r="3" spans="1:6" s="93" customFormat="1" ht="15" customHeight="1">
      <c r="A3" s="91" t="s">
        <v>391</v>
      </c>
      <c r="B3" s="92" t="s">
        <v>392</v>
      </c>
      <c r="C3" s="91" t="s">
        <v>234</v>
      </c>
      <c r="D3" s="91">
        <v>1</v>
      </c>
      <c r="E3" s="91"/>
    </row>
    <row r="4" spans="1:6" ht="15" customHeight="1">
      <c r="A4" s="3" t="s">
        <v>404</v>
      </c>
      <c r="B4" s="13" t="s">
        <v>403</v>
      </c>
      <c r="C4" s="3" t="s">
        <v>156</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baseColWidth="10" defaultColWidth="8.83203125" defaultRowHeight="14" x14ac:dyDescent="0"/>
  <cols>
    <col min="1" max="2" width="50" customWidth="1"/>
  </cols>
  <sheetData>
    <row r="1" spans="1:2" s="2" customFormat="1">
      <c r="A1" s="2" t="s">
        <v>460</v>
      </c>
      <c r="B1" s="2" t="s">
        <v>464</v>
      </c>
    </row>
    <row r="2" spans="1:2" s="93" customFormat="1" ht="15" customHeight="1">
      <c r="A2" s="93" t="s">
        <v>639</v>
      </c>
      <c r="B2" s="94" t="s">
        <v>149</v>
      </c>
    </row>
    <row r="3" spans="1:2" s="93" customFormat="1" ht="15" customHeight="1">
      <c r="A3" s="93" t="s">
        <v>640</v>
      </c>
      <c r="B3" s="94" t="s">
        <v>149</v>
      </c>
    </row>
    <row r="4" spans="1:2" s="93" customFormat="1" ht="15" customHeight="1">
      <c r="A4" s="93" t="s">
        <v>641</v>
      </c>
      <c r="B4" s="94" t="s">
        <v>149</v>
      </c>
    </row>
    <row r="5" spans="1:2" s="93" customFormat="1" ht="15" customHeight="1">
      <c r="A5" s="92" t="s">
        <v>642</v>
      </c>
      <c r="B5" s="94" t="s">
        <v>149</v>
      </c>
    </row>
    <row r="6" spans="1:2" s="93" customFormat="1" ht="15" customHeight="1">
      <c r="A6" s="92" t="s">
        <v>643</v>
      </c>
      <c r="B6" s="94" t="s">
        <v>149</v>
      </c>
    </row>
    <row r="7" spans="1:2" ht="15" customHeight="1">
      <c r="A7" s="13" t="s">
        <v>411</v>
      </c>
      <c r="B7" s="14" t="s">
        <v>150</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461</v>
      </c>
      <c r="B1" s="2" t="s">
        <v>460</v>
      </c>
      <c r="C1" s="2" t="s">
        <v>462</v>
      </c>
      <c r="D1" s="2" t="s">
        <v>463</v>
      </c>
      <c r="E1" s="2" t="s">
        <v>468</v>
      </c>
      <c r="F1" s="2" t="s">
        <v>473</v>
      </c>
    </row>
    <row r="2" spans="1:6" ht="15" customHeight="1">
      <c r="A2" s="3" t="s">
        <v>408</v>
      </c>
      <c r="B2" s="13" t="s">
        <v>414</v>
      </c>
      <c r="C2" s="3" t="s">
        <v>171</v>
      </c>
      <c r="D2" s="3">
        <v>8</v>
      </c>
      <c r="E2" s="3" t="s">
        <v>467</v>
      </c>
      <c r="F2" s="4" t="s">
        <v>471</v>
      </c>
    </row>
    <row r="3" spans="1:6" ht="15" customHeight="1">
      <c r="A3" s="3" t="s">
        <v>379</v>
      </c>
      <c r="B3" s="13" t="s">
        <v>297</v>
      </c>
      <c r="C3" s="3" t="s">
        <v>163</v>
      </c>
      <c r="D3" s="3">
        <v>1</v>
      </c>
    </row>
    <row r="4" spans="1:6" ht="15" customHeight="1">
      <c r="A4" s="3" t="s">
        <v>378</v>
      </c>
      <c r="B4" s="13" t="s">
        <v>162</v>
      </c>
      <c r="C4" s="3" t="s">
        <v>163</v>
      </c>
      <c r="D4" s="3">
        <v>1</v>
      </c>
    </row>
    <row r="5" spans="1:6" ht="15" customHeight="1">
      <c r="A5" s="3" t="s">
        <v>377</v>
      </c>
      <c r="B5" s="13" t="s">
        <v>165</v>
      </c>
      <c r="C5" s="3" t="s">
        <v>163</v>
      </c>
      <c r="D5" s="3">
        <v>1</v>
      </c>
    </row>
    <row r="6" spans="1:6" ht="15" customHeight="1">
      <c r="A6" s="3" t="s">
        <v>376</v>
      </c>
      <c r="B6" s="13" t="s">
        <v>225</v>
      </c>
      <c r="C6" s="3" t="s">
        <v>163</v>
      </c>
      <c r="D6" s="3">
        <v>1</v>
      </c>
    </row>
    <row r="7" spans="1:6" s="29" customFormat="1" ht="15" customHeight="1">
      <c r="A7" s="30" t="s">
        <v>0</v>
      </c>
      <c r="B7" s="31" t="s">
        <v>267</v>
      </c>
      <c r="C7" s="30"/>
      <c r="D7" s="30"/>
    </row>
    <row r="8" spans="1:6" s="9" customFormat="1" ht="15" customHeight="1">
      <c r="A8" s="8" t="s">
        <v>0</v>
      </c>
      <c r="B8" s="15" t="s">
        <v>273</v>
      </c>
      <c r="C8" s="8"/>
      <c r="D8" s="8"/>
    </row>
    <row r="9" spans="1:6" ht="15" customHeight="1">
      <c r="A9" s="3" t="s">
        <v>375</v>
      </c>
      <c r="B9" s="13" t="s">
        <v>304</v>
      </c>
      <c r="C9" s="3" t="s">
        <v>171</v>
      </c>
      <c r="D9" s="3">
        <v>1</v>
      </c>
    </row>
    <row r="10" spans="1:6" ht="15" customHeight="1">
      <c r="A10" s="3" t="s">
        <v>374</v>
      </c>
      <c r="B10" s="13" t="s">
        <v>305</v>
      </c>
      <c r="C10" s="3" t="s">
        <v>171</v>
      </c>
      <c r="D10" s="3">
        <v>1</v>
      </c>
    </row>
    <row r="11" spans="1:6" ht="15" customHeight="1">
      <c r="A11" s="3" t="s">
        <v>373</v>
      </c>
      <c r="B11" s="13" t="s">
        <v>306</v>
      </c>
      <c r="C11" s="3" t="s">
        <v>171</v>
      </c>
      <c r="D11" s="3">
        <v>1</v>
      </c>
    </row>
    <row r="12" spans="1:6" s="29" customFormat="1" ht="15" customHeight="1">
      <c r="A12" s="30" t="s">
        <v>0</v>
      </c>
      <c r="B12" s="31" t="s">
        <v>271</v>
      </c>
      <c r="C12" s="30"/>
      <c r="D12" s="30"/>
    </row>
    <row r="13" spans="1:6" s="9" customFormat="1" ht="15" customHeight="1">
      <c r="A13" s="8" t="s">
        <v>0</v>
      </c>
      <c r="B13" s="15" t="s">
        <v>272</v>
      </c>
      <c r="C13" s="8"/>
      <c r="D13" s="8"/>
    </row>
    <row r="14" spans="1:6" ht="15" customHeight="1">
      <c r="A14" s="3" t="s">
        <v>372</v>
      </c>
      <c r="B14" s="13" t="s">
        <v>170</v>
      </c>
      <c r="C14" s="3" t="s">
        <v>171</v>
      </c>
      <c r="D14" s="3">
        <v>1</v>
      </c>
    </row>
    <row r="15" spans="1:6" ht="15" customHeight="1">
      <c r="A15" s="3" t="s">
        <v>371</v>
      </c>
      <c r="B15" s="13" t="s">
        <v>172</v>
      </c>
      <c r="C15" s="3" t="s">
        <v>171</v>
      </c>
      <c r="D15" s="3">
        <v>1</v>
      </c>
    </row>
    <row r="16" spans="1:6" ht="15" customHeight="1">
      <c r="A16" s="3" t="s">
        <v>370</v>
      </c>
      <c r="B16" s="13" t="s">
        <v>173</v>
      </c>
      <c r="C16" s="3" t="s">
        <v>171</v>
      </c>
      <c r="D16" s="3">
        <v>1</v>
      </c>
    </row>
    <row r="17" spans="1:4" ht="15" customHeight="1">
      <c r="A17" s="3" t="s">
        <v>369</v>
      </c>
      <c r="B17" s="13" t="s">
        <v>320</v>
      </c>
      <c r="C17" s="3" t="s">
        <v>171</v>
      </c>
      <c r="D17" s="3">
        <v>1</v>
      </c>
    </row>
    <row r="18" spans="1:4" s="29" customFormat="1" ht="15" customHeight="1">
      <c r="A18" s="30" t="s">
        <v>0</v>
      </c>
      <c r="B18" s="29" t="s">
        <v>412</v>
      </c>
      <c r="C18" s="30"/>
      <c r="D18" s="30"/>
    </row>
    <row r="19" spans="1:4" s="9" customFormat="1" ht="15" customHeight="1">
      <c r="A19" s="8" t="s">
        <v>0</v>
      </c>
      <c r="B19" s="9" t="s">
        <v>275</v>
      </c>
      <c r="C19" s="8"/>
      <c r="D19" s="8"/>
    </row>
    <row r="20" spans="1:4" ht="15" customHeight="1">
      <c r="A20" t="s">
        <v>368</v>
      </c>
      <c r="B20" t="s">
        <v>174</v>
      </c>
      <c r="C20" s="3" t="s">
        <v>171</v>
      </c>
      <c r="D20" s="3">
        <v>1</v>
      </c>
    </row>
    <row r="21" spans="1:4" ht="15" customHeight="1">
      <c r="A21" t="s">
        <v>367</v>
      </c>
      <c r="B21" t="s">
        <v>175</v>
      </c>
      <c r="C21" s="3" t="s">
        <v>171</v>
      </c>
      <c r="D21" s="3">
        <v>1</v>
      </c>
    </row>
    <row r="22" spans="1:4" ht="15" customHeight="1">
      <c r="A22" t="s">
        <v>366</v>
      </c>
      <c r="B22" t="s">
        <v>176</v>
      </c>
      <c r="C22" s="3" t="s">
        <v>171</v>
      </c>
      <c r="D22" s="3">
        <v>1</v>
      </c>
    </row>
    <row r="23" spans="1:4" ht="15" customHeight="1">
      <c r="A23" t="s">
        <v>365</v>
      </c>
      <c r="B23" t="s">
        <v>177</v>
      </c>
      <c r="C23" s="3" t="s">
        <v>171</v>
      </c>
      <c r="D23" s="3">
        <v>1</v>
      </c>
    </row>
    <row r="24" spans="1:4" ht="15" customHeight="1">
      <c r="A24" t="s">
        <v>364</v>
      </c>
      <c r="B24" t="s">
        <v>178</v>
      </c>
      <c r="C24" s="3" t="s">
        <v>171</v>
      </c>
      <c r="D24" s="3">
        <v>1</v>
      </c>
    </row>
    <row r="25" spans="1:4" ht="15" customHeight="1">
      <c r="A25" t="s">
        <v>363</v>
      </c>
      <c r="B25" t="s">
        <v>179</v>
      </c>
      <c r="C25" s="3" t="s">
        <v>171</v>
      </c>
      <c r="D25" s="3">
        <v>1</v>
      </c>
    </row>
    <row r="26" spans="1:4" ht="15" customHeight="1">
      <c r="A26" t="s">
        <v>362</v>
      </c>
      <c r="B26" t="s">
        <v>180</v>
      </c>
      <c r="C26" s="3" t="s">
        <v>234</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460</v>
      </c>
      <c r="B1" s="2" t="s">
        <v>464</v>
      </c>
    </row>
    <row r="2" spans="1:2" ht="15" customHeight="1">
      <c r="A2" s="13" t="s">
        <v>415</v>
      </c>
      <c r="B2" s="3" t="s">
        <v>164</v>
      </c>
    </row>
    <row r="3" spans="1:2" ht="15" customHeight="1">
      <c r="A3" s="13" t="s">
        <v>416</v>
      </c>
      <c r="B3" s="3" t="s">
        <v>164</v>
      </c>
    </row>
    <row r="4" spans="1:2" ht="15" customHeight="1">
      <c r="A4" s="13" t="s">
        <v>417</v>
      </c>
      <c r="B4" s="3" t="s">
        <v>164</v>
      </c>
    </row>
    <row r="5" spans="1:2" ht="15" customHeight="1">
      <c r="A5" s="13" t="s">
        <v>418</v>
      </c>
      <c r="B5" s="3" t="s">
        <v>164</v>
      </c>
    </row>
    <row r="6" spans="1:2" ht="15" customHeight="1">
      <c r="A6" s="13" t="s">
        <v>419</v>
      </c>
      <c r="B6" s="3">
        <v>1</v>
      </c>
    </row>
    <row r="7" spans="1:2" ht="15" customHeight="1">
      <c r="A7" s="13" t="s">
        <v>420</v>
      </c>
      <c r="B7" s="3">
        <v>5</v>
      </c>
    </row>
    <row r="8" spans="1:2" ht="15" customHeight="1">
      <c r="A8" s="13" t="s">
        <v>421</v>
      </c>
      <c r="B8" s="3">
        <v>0.17</v>
      </c>
    </row>
    <row r="9" spans="1:2" ht="15" customHeight="1">
      <c r="A9" s="13" t="s">
        <v>422</v>
      </c>
      <c r="B9" s="3">
        <v>-0.1</v>
      </c>
    </row>
    <row r="10" spans="1:2" ht="15" customHeight="1">
      <c r="A10" s="13" t="s">
        <v>423</v>
      </c>
      <c r="B10" s="3">
        <v>0.2</v>
      </c>
    </row>
    <row r="11" spans="1:2" ht="15" customHeight="1">
      <c r="A11" s="13" t="s">
        <v>424</v>
      </c>
      <c r="B11" s="3">
        <v>-0.8</v>
      </c>
    </row>
    <row r="12" spans="1:2" ht="15" customHeight="1">
      <c r="A12" s="13" t="s">
        <v>425</v>
      </c>
      <c r="B12" s="3">
        <v>100</v>
      </c>
    </row>
    <row r="13" spans="1:2" ht="15" customHeight="1">
      <c r="A13" t="s">
        <v>426</v>
      </c>
      <c r="B13" s="3">
        <v>0</v>
      </c>
    </row>
    <row r="14" spans="1:2" ht="15" customHeight="1">
      <c r="A14" t="s">
        <v>427</v>
      </c>
      <c r="B14" s="3">
        <v>0</v>
      </c>
    </row>
    <row r="15" spans="1:2" ht="15" customHeight="1">
      <c r="A15" t="s">
        <v>428</v>
      </c>
      <c r="B15" s="3">
        <v>0</v>
      </c>
    </row>
    <row r="16" spans="1:2" ht="15" customHeight="1">
      <c r="A16" t="s">
        <v>429</v>
      </c>
      <c r="B16" s="3">
        <v>0</v>
      </c>
    </row>
    <row r="17" spans="1:2" ht="15" customHeight="1">
      <c r="A17" t="s">
        <v>430</v>
      </c>
      <c r="B17" s="3">
        <v>0</v>
      </c>
    </row>
    <row r="18" spans="1:2" ht="15" customHeight="1">
      <c r="A18" t="s">
        <v>431</v>
      </c>
      <c r="B18" s="3">
        <v>0</v>
      </c>
    </row>
    <row r="19" spans="1:2" ht="15" customHeight="1">
      <c r="A19" t="s">
        <v>432</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461</v>
      </c>
      <c r="B1" s="2" t="s">
        <v>460</v>
      </c>
      <c r="C1" s="2" t="s">
        <v>462</v>
      </c>
      <c r="D1" s="2" t="s">
        <v>463</v>
      </c>
      <c r="E1" s="2" t="s">
        <v>468</v>
      </c>
      <c r="F1" s="2" t="s">
        <v>473</v>
      </c>
    </row>
    <row r="2" spans="1:6" ht="15" customHeight="1">
      <c r="A2" s="3" t="s">
        <v>409</v>
      </c>
      <c r="B2" s="13" t="s">
        <v>465</v>
      </c>
      <c r="C2" s="3" t="s">
        <v>171</v>
      </c>
      <c r="D2" s="3">
        <v>6</v>
      </c>
      <c r="E2" s="3" t="s">
        <v>467</v>
      </c>
      <c r="F2" s="4" t="s">
        <v>472</v>
      </c>
    </row>
    <row r="3" spans="1:6" ht="15" customHeight="1">
      <c r="A3" s="3" t="s">
        <v>361</v>
      </c>
      <c r="B3" s="13" t="s">
        <v>299</v>
      </c>
      <c r="C3" s="3" t="s">
        <v>163</v>
      </c>
      <c r="D3" s="3">
        <v>1</v>
      </c>
    </row>
    <row r="4" spans="1:6" ht="15" customHeight="1">
      <c r="A4" s="3" t="s">
        <v>360</v>
      </c>
      <c r="B4" t="s">
        <v>184</v>
      </c>
      <c r="C4" s="3" t="s">
        <v>163</v>
      </c>
      <c r="D4" s="3">
        <v>1</v>
      </c>
    </row>
    <row r="5" spans="1:6" ht="15" customHeight="1">
      <c r="A5" s="3" t="s">
        <v>359</v>
      </c>
      <c r="B5" t="s">
        <v>185</v>
      </c>
      <c r="C5" s="3" t="s">
        <v>163</v>
      </c>
      <c r="D5" s="3">
        <v>1</v>
      </c>
    </row>
    <row r="6" spans="1:6" s="29" customFormat="1" ht="15" customHeight="1">
      <c r="A6" s="29" t="s">
        <v>0</v>
      </c>
      <c r="B6" s="29" t="s">
        <v>280</v>
      </c>
      <c r="C6" s="30"/>
      <c r="D6" s="30"/>
    </row>
    <row r="7" spans="1:6" s="9" customFormat="1" ht="15" customHeight="1">
      <c r="A7" s="9" t="s">
        <v>0</v>
      </c>
      <c r="B7" s="9" t="s">
        <v>278</v>
      </c>
      <c r="C7" s="8"/>
      <c r="D7" s="8"/>
    </row>
    <row r="8" spans="1:6" s="29" customFormat="1" ht="15" customHeight="1">
      <c r="A8" s="29" t="s">
        <v>0</v>
      </c>
      <c r="B8" s="29" t="s">
        <v>281</v>
      </c>
      <c r="C8" s="30"/>
      <c r="D8" s="30"/>
    </row>
    <row r="9" spans="1:6" s="9" customFormat="1" ht="15" customHeight="1">
      <c r="A9" s="9" t="s">
        <v>0</v>
      </c>
      <c r="B9" s="9" t="s">
        <v>284</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460</v>
      </c>
      <c r="B1" s="2" t="s">
        <v>464</v>
      </c>
    </row>
    <row r="2" spans="1:2" ht="15" customHeight="1">
      <c r="A2" s="13" t="s">
        <v>435</v>
      </c>
      <c r="B2" s="3" t="s">
        <v>164</v>
      </c>
    </row>
    <row r="3" spans="1:2" ht="15" customHeight="1">
      <c r="A3" t="s">
        <v>436</v>
      </c>
      <c r="B3" s="3" t="s">
        <v>164</v>
      </c>
    </row>
    <row r="4" spans="1:2" ht="15" customHeight="1">
      <c r="A4" t="s">
        <v>437</v>
      </c>
      <c r="B4" s="3" t="s">
        <v>164</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461</v>
      </c>
      <c r="B1" s="2" t="s">
        <v>460</v>
      </c>
      <c r="C1" s="2" t="s">
        <v>462</v>
      </c>
      <c r="D1" s="2" t="s">
        <v>463</v>
      </c>
      <c r="E1" s="2" t="s">
        <v>468</v>
      </c>
      <c r="F1" s="2" t="s">
        <v>473</v>
      </c>
    </row>
    <row r="2" spans="1:6" s="29" customFormat="1" ht="15" customHeight="1">
      <c r="A2" s="30" t="s">
        <v>0</v>
      </c>
      <c r="B2" s="29" t="s">
        <v>286</v>
      </c>
      <c r="C2" s="30"/>
      <c r="D2" s="30"/>
    </row>
    <row r="3" spans="1:6" ht="15" customHeight="1">
      <c r="A3" s="3" t="s">
        <v>410</v>
      </c>
      <c r="B3" s="13" t="s">
        <v>439</v>
      </c>
      <c r="C3" s="3" t="s">
        <v>171</v>
      </c>
      <c r="D3" s="3">
        <v>1</v>
      </c>
      <c r="E3" s="3" t="s">
        <v>467</v>
      </c>
      <c r="F3" s="4" t="s">
        <v>470</v>
      </c>
    </row>
    <row r="4" spans="1:6" s="12" customFormat="1" ht="15" customHeight="1">
      <c r="A4" s="11" t="s">
        <v>358</v>
      </c>
      <c r="B4" s="12" t="s">
        <v>295</v>
      </c>
      <c r="C4" s="11" t="s">
        <v>163</v>
      </c>
      <c r="D4" s="11">
        <v>1</v>
      </c>
    </row>
    <row r="5" spans="1:6" s="9" customFormat="1" ht="15" customHeight="1">
      <c r="A5" s="8" t="s">
        <v>0</v>
      </c>
      <c r="B5" s="9" t="s">
        <v>289</v>
      </c>
      <c r="C5" s="8"/>
      <c r="D5" s="8"/>
    </row>
    <row r="6" spans="1:6" s="12" customFormat="1" ht="15" customHeight="1">
      <c r="A6" s="11" t="s">
        <v>357</v>
      </c>
      <c r="B6" s="12" t="s">
        <v>291</v>
      </c>
      <c r="C6" s="11" t="s">
        <v>163</v>
      </c>
      <c r="D6" s="11">
        <v>1</v>
      </c>
    </row>
    <row r="7" spans="1:6" ht="15" customHeight="1">
      <c r="A7" s="3" t="s">
        <v>356</v>
      </c>
      <c r="B7" s="12" t="s">
        <v>292</v>
      </c>
      <c r="C7" s="3" t="s">
        <v>171</v>
      </c>
      <c r="D7" s="3">
        <v>1</v>
      </c>
    </row>
    <row r="8" spans="1:6" s="29" customFormat="1" ht="15" customHeight="1">
      <c r="A8" s="30" t="s">
        <v>0</v>
      </c>
      <c r="B8" s="29" t="s">
        <v>293</v>
      </c>
      <c r="C8" s="30"/>
      <c r="D8" s="30"/>
    </row>
    <row r="9" spans="1:6" s="12" customFormat="1" ht="15" customHeight="1">
      <c r="A9" s="11" t="s">
        <v>355</v>
      </c>
      <c r="B9" s="12" t="s">
        <v>218</v>
      </c>
      <c r="C9" s="11" t="s">
        <v>163</v>
      </c>
      <c r="D9" s="11">
        <v>1</v>
      </c>
    </row>
    <row r="10" spans="1:6" s="9" customFormat="1" ht="15" customHeight="1">
      <c r="A10" s="8" t="s">
        <v>0</v>
      </c>
      <c r="B10" s="9" t="s">
        <v>294</v>
      </c>
      <c r="C10" s="8"/>
      <c r="D10" s="8"/>
    </row>
    <row r="11" spans="1:6" s="12" customFormat="1" ht="15" customHeight="1">
      <c r="A11" s="11" t="s">
        <v>354</v>
      </c>
      <c r="B11" s="12" t="s">
        <v>221</v>
      </c>
      <c r="C11" s="11" t="s">
        <v>171</v>
      </c>
      <c r="D11" s="11">
        <v>1</v>
      </c>
    </row>
    <row r="12" spans="1:6" s="12" customFormat="1" ht="15" customHeight="1">
      <c r="A12" s="11" t="s">
        <v>353</v>
      </c>
      <c r="B12" s="12" t="s">
        <v>222</v>
      </c>
      <c r="C12" s="11" t="s">
        <v>171</v>
      </c>
      <c r="D12" s="11">
        <v>1</v>
      </c>
    </row>
    <row r="13" spans="1:6" s="12" customFormat="1" ht="15" customHeight="1">
      <c r="A13" s="11" t="s">
        <v>352</v>
      </c>
      <c r="B13" s="12" t="s">
        <v>223</v>
      </c>
      <c r="C13" s="11" t="s">
        <v>171</v>
      </c>
      <c r="D13" s="11">
        <v>1</v>
      </c>
    </row>
    <row r="14" spans="1:6" s="12" customFormat="1" ht="15" customHeight="1">
      <c r="A14" s="11" t="s">
        <v>351</v>
      </c>
      <c r="B14" s="12" t="s">
        <v>224</v>
      </c>
      <c r="C14" s="11" t="s">
        <v>171</v>
      </c>
      <c r="D14" s="11">
        <v>1</v>
      </c>
    </row>
    <row r="17" spans="1:10" s="12" customFormat="1" ht="15" customHeight="1">
      <c r="A17" s="10"/>
      <c r="B17" s="10"/>
      <c r="C17" s="5"/>
      <c r="D17" s="5"/>
      <c r="F17" s="11"/>
      <c r="G17" s="11"/>
      <c r="H17" s="11"/>
      <c r="I17" s="11"/>
      <c r="J17" s="5"/>
    </row>
    <row r="18" spans="1:10" s="12" customFormat="1" ht="15" customHeight="1">
      <c r="A18" s="10"/>
      <c r="B18" s="10"/>
      <c r="C18" s="5"/>
      <c r="D18" s="5"/>
      <c r="F18" s="11"/>
      <c r="G18" s="11"/>
      <c r="H18" s="11"/>
      <c r="I18" s="11"/>
      <c r="J18" s="5"/>
    </row>
    <row r="19" spans="1:10" s="12" customFormat="1" ht="15" customHeight="1">
      <c r="A19" s="10"/>
      <c r="B19" s="10"/>
      <c r="C19" s="5"/>
      <c r="D19" s="5"/>
      <c r="F19" s="11"/>
      <c r="G19" s="11"/>
      <c r="H19" s="11"/>
      <c r="I19" s="34"/>
      <c r="J19" s="35"/>
    </row>
    <row r="20" spans="1:10" s="12" customFormat="1" ht="15" customHeight="1">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baseColWidth="10" defaultColWidth="8.83203125" defaultRowHeight="14" x14ac:dyDescent="0"/>
  <cols>
    <col min="1" max="2" width="50" customWidth="1"/>
  </cols>
  <sheetData>
    <row r="1" spans="1:2" s="2" customFormat="1">
      <c r="A1" s="2" t="s">
        <v>460</v>
      </c>
      <c r="B1" s="2" t="s">
        <v>464</v>
      </c>
    </row>
    <row r="2" spans="1:2" s="12" customFormat="1" ht="15" customHeight="1">
      <c r="A2" s="12" t="s">
        <v>441</v>
      </c>
      <c r="B2" s="11" t="s">
        <v>164</v>
      </c>
    </row>
    <row r="3" spans="1:2" s="12" customFormat="1" ht="15" customHeight="1">
      <c r="A3" s="12" t="s">
        <v>442</v>
      </c>
      <c r="B3" s="11" t="s">
        <v>164</v>
      </c>
    </row>
    <row r="4" spans="1:2" ht="15" customHeight="1">
      <c r="A4" s="12" t="s">
        <v>443</v>
      </c>
      <c r="B4" s="3">
        <v>0</v>
      </c>
    </row>
    <row r="5" spans="1:2" s="12" customFormat="1" ht="15" customHeight="1">
      <c r="A5" s="12" t="s">
        <v>444</v>
      </c>
      <c r="B5" s="11" t="s">
        <v>164</v>
      </c>
    </row>
    <row r="6" spans="1:2" s="12" customFormat="1" ht="15" customHeight="1">
      <c r="A6" s="12" t="s">
        <v>445</v>
      </c>
      <c r="B6" s="11">
        <v>46</v>
      </c>
    </row>
    <row r="7" spans="1:2" s="12" customFormat="1" ht="15" customHeight="1">
      <c r="A7" s="12" t="s">
        <v>446</v>
      </c>
      <c r="B7" s="11">
        <v>1</v>
      </c>
    </row>
    <row r="8" spans="1:2" s="12" customFormat="1" ht="15" customHeight="1">
      <c r="A8" s="12" t="s">
        <v>447</v>
      </c>
      <c r="B8" s="43">
        <v>0.66666666666666596</v>
      </c>
    </row>
    <row r="9" spans="1:2" s="12" customFormat="1" ht="15" customHeight="1">
      <c r="A9" s="12" t="s">
        <v>448</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2" customFormat="1">
      <c r="A1" s="2" t="s">
        <v>461</v>
      </c>
      <c r="B1" s="2" t="s">
        <v>460</v>
      </c>
      <c r="C1" s="2" t="s">
        <v>462</v>
      </c>
      <c r="D1" s="2" t="s">
        <v>463</v>
      </c>
      <c r="E1" s="2" t="s">
        <v>468</v>
      </c>
      <c r="F1" s="2" t="s">
        <v>473</v>
      </c>
    </row>
    <row r="2" spans="1:6" ht="15" customHeight="1">
      <c r="A2" s="3" t="s">
        <v>381</v>
      </c>
      <c r="B2" s="12" t="s">
        <v>188</v>
      </c>
      <c r="C2" s="3" t="s">
        <v>171</v>
      </c>
      <c r="D2" s="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2" customFormat="1">
      <c r="A1" s="2" t="s">
        <v>460</v>
      </c>
      <c r="B1" s="2" t="s">
        <v>464</v>
      </c>
    </row>
    <row r="2" spans="1:2" ht="15" customHeight="1">
      <c r="A2" s="12" t="s">
        <v>449</v>
      </c>
      <c r="B2" s="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baseColWidth="10" defaultColWidth="8.83203125" defaultRowHeight="15" customHeight="1" x14ac:dyDescent="0"/>
  <cols>
    <col min="1" max="2" width="2.83203125" style="4" customWidth="1"/>
    <col min="3" max="4" width="2.83203125" style="1" customWidth="1"/>
    <col min="5" max="5" width="57.1640625" customWidth="1"/>
    <col min="6" max="6" width="34.33203125" style="3" bestFit="1" customWidth="1"/>
    <col min="7" max="7" width="12.33203125" style="3" bestFit="1" customWidth="1"/>
    <col min="8" max="8" width="12.33203125" style="3" customWidth="1"/>
    <col min="9" max="9" width="34.6640625" style="3" bestFit="1" customWidth="1"/>
    <col min="10" max="10" width="2.83203125" style="1" customWidth="1"/>
  </cols>
  <sheetData>
    <row r="1" spans="1:11" s="9" customFormat="1" ht="15" customHeight="1">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141</v>
      </c>
      <c r="D1" s="7"/>
      <c r="E1" s="9" t="s">
        <v>140</v>
      </c>
      <c r="F1" s="8"/>
      <c r="G1" s="8"/>
      <c r="H1" s="8"/>
      <c r="I1" s="8"/>
      <c r="J1" s="7" t="str">
        <f t="shared" ref="J1:J6" si="1">IF(OR(C1="P",C1="S"),IF(L1="",1,IF(L1=1,N1,IF(L1=2,N1&amp;" * "&amp;Q1,"ERROR"))),"")</f>
        <v/>
      </c>
    </row>
    <row r="2" spans="1:11" s="12" customFormat="1" ht="15" customHeight="1">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130</v>
      </c>
      <c r="D2" s="5"/>
      <c r="E2" s="12" t="s">
        <v>142</v>
      </c>
      <c r="F2" s="11"/>
      <c r="G2" s="11"/>
      <c r="H2" s="11"/>
      <c r="I2" s="16" t="s">
        <v>151</v>
      </c>
      <c r="J2" s="32" t="str">
        <f t="shared" si="1"/>
        <v/>
      </c>
      <c r="K2" s="12" t="s">
        <v>146</v>
      </c>
    </row>
    <row r="3" spans="1:11" s="9" customFormat="1" ht="15" customHeight="1">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141</v>
      </c>
      <c r="D3" s="7"/>
      <c r="E3" s="9" t="s">
        <v>143</v>
      </c>
      <c r="F3" s="8"/>
      <c r="G3" s="8"/>
      <c r="H3" s="8"/>
      <c r="I3" s="8"/>
      <c r="J3" s="7" t="str">
        <f t="shared" si="1"/>
        <v/>
      </c>
    </row>
    <row r="4" spans="1:11" s="12" customFormat="1" ht="15" customHeight="1">
      <c r="A4" s="10" t="str">
        <f t="shared" si="0"/>
        <v>#define HASH_A 611057</v>
      </c>
      <c r="B4" s="10" t="str">
        <f t="shared" si="2"/>
        <v/>
      </c>
      <c r="C4" s="5" t="s">
        <v>130</v>
      </c>
      <c r="D4" s="5"/>
      <c r="E4" s="12" t="s">
        <v>157</v>
      </c>
      <c r="F4" s="11"/>
      <c r="G4" s="11"/>
      <c r="H4" s="11"/>
      <c r="I4" s="11">
        <v>611057</v>
      </c>
      <c r="J4" s="5" t="str">
        <f t="shared" si="1"/>
        <v/>
      </c>
      <c r="K4" s="12" t="s">
        <v>236</v>
      </c>
    </row>
    <row r="5" spans="1:11" s="12" customFormat="1" ht="15" customHeight="1">
      <c r="A5" s="10" t="str">
        <f t="shared" si="0"/>
        <v>#define HASH_B 286421</v>
      </c>
      <c r="B5" s="10" t="str">
        <f t="shared" si="2"/>
        <v/>
      </c>
      <c r="C5" s="5" t="s">
        <v>130</v>
      </c>
      <c r="D5" s="5"/>
      <c r="E5" s="12" t="s">
        <v>158</v>
      </c>
      <c r="F5" s="11"/>
      <c r="G5" s="11"/>
      <c r="H5" s="11"/>
      <c r="I5" s="11">
        <v>286421</v>
      </c>
      <c r="J5" s="5" t="str">
        <f t="shared" si="1"/>
        <v/>
      </c>
      <c r="K5" s="12" t="s">
        <v>237</v>
      </c>
    </row>
    <row r="6" spans="1:11" s="12" customFormat="1" ht="15" customHeight="1">
      <c r="A6" s="10" t="str">
        <f t="shared" si="0"/>
        <v>#define HASH_C 126989</v>
      </c>
      <c r="B6" s="10" t="str">
        <f t="shared" si="2"/>
        <v/>
      </c>
      <c r="C6" s="5" t="s">
        <v>130</v>
      </c>
      <c r="D6" s="5"/>
      <c r="E6" s="12" t="s">
        <v>144</v>
      </c>
      <c r="F6" s="11"/>
      <c r="G6" s="11"/>
      <c r="H6" s="11"/>
      <c r="I6" s="11">
        <v>126989</v>
      </c>
      <c r="J6" s="5" t="str">
        <f t="shared" si="1"/>
        <v/>
      </c>
      <c r="K6" s="12" t="s">
        <v>238</v>
      </c>
    </row>
    <row r="7" spans="1:11" s="12" customFormat="1" ht="15" customHeight="1">
      <c r="A7" s="10" t="str">
        <f t="shared" si="0"/>
        <v>#define HASH_CAPACITY_MULTIPLICATOR 1.5</v>
      </c>
      <c r="B7" s="10" t="str">
        <f t="shared" si="2"/>
        <v/>
      </c>
      <c r="C7" s="5" t="s">
        <v>130</v>
      </c>
      <c r="D7" s="5"/>
      <c r="E7" s="12" t="s">
        <v>318</v>
      </c>
      <c r="F7" s="11"/>
      <c r="G7" s="11"/>
      <c r="H7" s="11"/>
      <c r="I7" s="11">
        <v>1.5</v>
      </c>
      <c r="J7" s="5"/>
    </row>
    <row r="8" spans="1:11" s="9" customFormat="1" ht="15" customHeight="1">
      <c r="A8" s="6" t="str">
        <f t="shared" si="0"/>
        <v xml:space="preserve">
// HashTables Sizes</v>
      </c>
      <c r="B8" s="6" t="str">
        <f t="shared" si="2"/>
        <v xml:space="preserve">  // HashTables Sizes</v>
      </c>
      <c r="C8" s="7" t="s">
        <v>141</v>
      </c>
      <c r="D8" s="7"/>
      <c r="E8" s="9" t="s">
        <v>311</v>
      </c>
      <c r="F8" s="8"/>
      <c r="G8" s="8"/>
      <c r="H8" s="8"/>
      <c r="I8" s="8"/>
      <c r="J8" s="7" t="str">
        <f>IF(OR(C8="P",C8="S"),IF(L8="",1,IF(L8=1,N8,IF(L8=2,N8&amp;" * "&amp;Q8,"ERROR"))),"")</f>
        <v/>
      </c>
    </row>
    <row r="9" spans="1:11" s="12" customFormat="1" ht="15" customHeight="1">
      <c r="A9" s="10" t="str">
        <f t="shared" si="0"/>
        <v>#define MAX_LINKING_NEURONS MAX_V1_NEURONS + MAX_MT_NEURONS</v>
      </c>
      <c r="B9" s="10" t="str">
        <f t="shared" si="2"/>
        <v/>
      </c>
      <c r="C9" s="5" t="s">
        <v>130</v>
      </c>
      <c r="D9" s="5"/>
      <c r="E9" s="12" t="s">
        <v>310</v>
      </c>
      <c r="F9" s="11"/>
      <c r="G9" s="11"/>
      <c r="H9" s="11"/>
      <c r="I9" s="11" t="str">
        <f>E30&amp;" + "&amp;E63</f>
        <v>MAX_V1_NEURONS + MAX_MT_NEURONS</v>
      </c>
      <c r="J9" s="5"/>
    </row>
    <row r="10" spans="1:11" s="12" customFormat="1" ht="15" customHeight="1">
      <c r="A10" s="10" t="str">
        <f t="shared" si="0"/>
        <v>#define INTERPRETER_MANAGER_COMMANDS_HASH_SIZE 15</v>
      </c>
      <c r="B10" s="10" t="str">
        <f t="shared" si="2"/>
        <v/>
      </c>
      <c r="C10" s="5" t="s">
        <v>130</v>
      </c>
      <c r="D10" s="5"/>
      <c r="E10" s="12" t="s">
        <v>307</v>
      </c>
      <c r="F10" s="11"/>
      <c r="G10" s="11"/>
      <c r="H10" s="11"/>
      <c r="I10" s="11">
        <f>COUNTA(IM.Initialize!A:A)-COUNTIF(IM.Initialize!A:A,"#")-1</f>
        <v>15</v>
      </c>
      <c r="J10" s="5" t="str">
        <f>IF(OR(C10="P",C10="S"),IF(L10="",1,IF(L10=1,N10,IF(L10=2,N10&amp;" * "&amp;Q10,"ERROR"))),"")</f>
        <v/>
      </c>
    </row>
    <row r="11" spans="1:11" s="12" customFormat="1" ht="15" customHeight="1">
      <c r="A11" s="10" t="str">
        <f t="shared" si="0"/>
        <v>#define LOG_MANAGER_MESSAGES_HASH_SIZE 122</v>
      </c>
      <c r="B11" s="10" t="str">
        <f t="shared" si="2"/>
        <v/>
      </c>
      <c r="C11" s="5" t="s">
        <v>130</v>
      </c>
      <c r="D11" s="5"/>
      <c r="E11" s="12" t="s">
        <v>308</v>
      </c>
      <c r="F11" s="11"/>
      <c r="G11" s="11"/>
      <c r="H11" s="11"/>
      <c r="I11" s="11">
        <f>COUNTA(LM.Initialize!A:A)-COUNTIF(LM.Initialize!A:A,"#")</f>
        <v>122</v>
      </c>
      <c r="J11" s="5" t="str">
        <f>IF(OR(C11="P",C11="S"),IF(L11="",1,IF(L11=1,N11,IF(L11=2,N11&amp;" * "&amp;Q11,"ERROR"))),"")</f>
        <v/>
      </c>
    </row>
    <row r="12" spans="1:11" s="12" customFormat="1" ht="15" customHeight="1">
      <c r="A12" s="10" t="str">
        <f t="shared" si="0"/>
        <v>#define SETTINGS_MANAGER_INT_HASH_SIZE 2</v>
      </c>
      <c r="B12" s="10" t="str">
        <f t="shared" si="2"/>
        <v/>
      </c>
      <c r="C12" s="5" t="s">
        <v>130</v>
      </c>
      <c r="D12" s="5"/>
      <c r="E12" s="12" t="s">
        <v>309</v>
      </c>
      <c r="F12" s="11"/>
      <c r="G12" s="11"/>
      <c r="H12" s="11"/>
      <c r="I12" s="11" t="str">
        <f>SUMIFS(J:J,G:G,"=Data_int",C:C,"=P")&amp;CONCATENATEIFS(C1:C515,"S",G1:G515,"Data_int",J1:J515)</f>
        <v>2</v>
      </c>
      <c r="J12" s="5" t="str">
        <f>IF(OR(C12="P",C12="S"),IF(L12="",1,IF(L12=1,N12,IF(L12=2,N12&amp;" * "&amp;Q12,"ERROR"))),"")</f>
        <v/>
      </c>
    </row>
    <row r="13" spans="1:11" s="12" customFormat="1" ht="15" customHeight="1">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130</v>
      </c>
      <c r="D13" s="5"/>
      <c r="E13" s="12" t="s">
        <v>313</v>
      </c>
      <c r="F13" s="11"/>
      <c r="G13" s="11"/>
      <c r="H13" s="11"/>
      <c r="I13" s="11" t="str">
        <f>SUMIFS(J:J,G:G,"=Data_float",C:C,"=P")&amp;CONCATENATEIFS(C1:C515,"S",G1:G515,"Data_float",J1:J515)</f>
        <v>0</v>
      </c>
      <c r="J13" s="5"/>
    </row>
    <row r="14" spans="1:11" s="12" customFormat="1" ht="15" customHeight="1">
      <c r="A14" s="10" t="str">
        <f t="shared" si="3"/>
        <v>#define SETTINGS_MANAGER_DOUBLE_HASH_SIZE 19 + MAX_V1_NEURONS + MAX_MT_NEURONS + MAX_V1_NEURONS * MAX_V1_NEURONS</v>
      </c>
      <c r="B14" s="10" t="str">
        <f t="shared" si="2"/>
        <v/>
      </c>
      <c r="C14" s="5" t="s">
        <v>130</v>
      </c>
      <c r="D14" s="5"/>
      <c r="E14" s="12" t="s">
        <v>312</v>
      </c>
      <c r="F14" s="11"/>
      <c r="G14" s="11"/>
      <c r="H14" s="11"/>
      <c r="I14" s="11" t="str">
        <f>SUMIFS(J:J,G:G,"=Data_double",C:C,"=P")&amp;CONCATENATEIFS(C1:C515,"S",G1:G515,"Data_double",J1:J515)</f>
        <v>19 + MAX_V1_NEURONS + MAX_MT_NEURONS + MAX_V1_NEURONS * MAX_V1_NEURONS</v>
      </c>
      <c r="J14" s="5"/>
    </row>
    <row r="15" spans="1:11" s="12" customFormat="1" ht="15" customHeight="1">
      <c r="A15" s="10" t="str">
        <f t="shared" si="3"/>
        <v>#define SETTINGS_MANAGER_STRING_HASH_SIZE 10</v>
      </c>
      <c r="B15" s="10" t="str">
        <f t="shared" si="2"/>
        <v/>
      </c>
      <c r="C15" s="5" t="s">
        <v>130</v>
      </c>
      <c r="D15" s="5"/>
      <c r="E15" s="12" t="s">
        <v>314</v>
      </c>
      <c r="F15" s="11"/>
      <c r="G15" s="11"/>
      <c r="H15" s="11"/>
      <c r="I15" s="11" t="str">
        <f>SUMIFS(J:J,G:G,"=Data_string",C:C,"=P")&amp;CONCATENATEIFS(C1:C515,"S",G1:G515,"Data_string",J1:J515)</f>
        <v>10</v>
      </c>
      <c r="J15" s="5"/>
    </row>
    <row r="16" spans="1:11" s="12" customFormat="1" ht="15" customHeight="1">
      <c r="A16" s="10" t="str">
        <f t="shared" si="3"/>
        <v>#define SETTINGS_MANAGER_BOOL_HASH_SIZE 2</v>
      </c>
      <c r="B16" s="10" t="str">
        <f t="shared" si="2"/>
        <v/>
      </c>
      <c r="C16" s="5" t="s">
        <v>130</v>
      </c>
      <c r="D16" s="5"/>
      <c r="E16" s="12" t="s">
        <v>315</v>
      </c>
      <c r="F16" s="11"/>
      <c r="G16" s="11"/>
      <c r="H16" s="11"/>
      <c r="I16" s="11" t="str">
        <f>SUMIFS(J:J,G:G,"=Data_bool",C:C,"=P")&amp;CONCATENATEIFS(C1:C515,"S",G1:G515,"Data_bool",J1:J515)</f>
        <v>2</v>
      </c>
      <c r="J16" s="5"/>
    </row>
    <row r="17" spans="1:15" s="12" customFormat="1" ht="15" customHeight="1">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130</v>
      </c>
      <c r="D17" s="5"/>
      <c r="E17" s="12" t="s">
        <v>317</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130</v>
      </c>
      <c r="D18" s="5"/>
      <c r="E18" s="12" t="s">
        <v>316</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141</v>
      </c>
      <c r="D19" s="7"/>
      <c r="E19" s="9" t="s">
        <v>264</v>
      </c>
      <c r="F19" s="8"/>
      <c r="G19" s="8"/>
      <c r="H19" s="8"/>
      <c r="I19" s="8"/>
      <c r="J19" s="7" t="str">
        <f t="shared" ref="J19:J52" si="5">IF(OR(C19="P",C19="S"),IF(L19="",1,IF(L19=1,N19,IF(L19=2,N19&amp;" * "&amp;Q19,"ERROR"))),"")</f>
        <v/>
      </c>
    </row>
    <row r="20" spans="1:15" ht="15" customHeight="1">
      <c r="A20" s="4" t="str">
        <f t="shared" si="4"/>
        <v>#define DEFAULT_MESSAGES true</v>
      </c>
      <c r="B20" s="10" t="str">
        <f t="shared" si="2"/>
        <v/>
      </c>
      <c r="C20" s="1" t="s">
        <v>130</v>
      </c>
      <c r="E20" t="s">
        <v>147</v>
      </c>
      <c r="I20" s="14" t="s">
        <v>149</v>
      </c>
      <c r="J20" s="33" t="str">
        <f t="shared" si="5"/>
        <v/>
      </c>
      <c r="K20" t="s">
        <v>153</v>
      </c>
    </row>
    <row r="21" spans="1:15" ht="15" customHeight="1">
      <c r="A21" s="4" t="str">
        <f t="shared" si="4"/>
        <v>#define DEFAULT_SILENT_OUTPUT false</v>
      </c>
      <c r="B21" s="10" t="str">
        <f t="shared" si="2"/>
        <v/>
      </c>
      <c r="C21" s="1" t="s">
        <v>130</v>
      </c>
      <c r="E21" t="s">
        <v>148</v>
      </c>
      <c r="I21" s="14" t="s">
        <v>150</v>
      </c>
      <c r="J21" s="33" t="str">
        <f t="shared" si="5"/>
        <v/>
      </c>
      <c r="K21" t="s">
        <v>154</v>
      </c>
    </row>
    <row r="22" spans="1:15" ht="15" customHeight="1">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130</v>
      </c>
      <c r="E22" t="s">
        <v>396</v>
      </c>
      <c r="I22" s="14" t="s">
        <v>150</v>
      </c>
      <c r="J22" s="33" t="str">
        <f>IF(OR(C22="P",C22="S"),IF(L22="",1,IF(L22=1,N22,IF(L22=2,N22&amp;" * "&amp;Q22,"ERROR"))),"")</f>
        <v/>
      </c>
    </row>
    <row r="23" spans="1:15" s="9" customFormat="1" ht="15" customHeight="1">
      <c r="A23" s="6" t="str">
        <f t="shared" si="4"/>
        <v xml:space="preserve">
// Environment Variables</v>
      </c>
      <c r="B23" s="6" t="str">
        <f t="shared" si="2"/>
        <v xml:space="preserve">  // Environment Variables</v>
      </c>
      <c r="C23" s="7" t="s">
        <v>141</v>
      </c>
      <c r="D23" s="7"/>
      <c r="E23" s="9" t="s">
        <v>152</v>
      </c>
      <c r="F23" s="8"/>
      <c r="G23" s="8"/>
      <c r="H23" s="8"/>
      <c r="I23" s="8"/>
      <c r="J23" s="7" t="str">
        <f t="shared" si="5"/>
        <v/>
      </c>
    </row>
    <row r="24" spans="1:15" ht="15" customHeight="1">
      <c r="A24" s="4" t="str">
        <f t="shared" si="4"/>
        <v>#define HIDE_END "ENV:hide_end"
#define DEFAULT_HIDE_END false</v>
      </c>
      <c r="B24" s="10" t="str">
        <f t="shared" si="2"/>
        <v xml:space="preserve">  Variables.SetSetting(HIDE_END, Data_bool, 1);</v>
      </c>
      <c r="C24" s="1" t="s">
        <v>155</v>
      </c>
      <c r="D24" s="1" t="s">
        <v>227</v>
      </c>
      <c r="E24" s="13" t="s">
        <v>243</v>
      </c>
      <c r="F24" s="3" t="s">
        <v>380</v>
      </c>
      <c r="G24" s="3" t="s">
        <v>156</v>
      </c>
      <c r="H24" s="3">
        <v>1</v>
      </c>
      <c r="I24" s="14" t="s">
        <v>150</v>
      </c>
      <c r="J24" s="33">
        <f t="shared" si="5"/>
        <v>1</v>
      </c>
      <c r="K24" s="3" t="s">
        <v>244</v>
      </c>
    </row>
    <row r="25" spans="1:15" ht="15" customHeight="1">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Data_int, 1);</v>
      </c>
      <c r="C25" s="1" t="s">
        <v>155</v>
      </c>
      <c r="D25" s="1" t="s">
        <v>227</v>
      </c>
      <c r="E25" s="13" t="s">
        <v>392</v>
      </c>
      <c r="F25" s="3" t="s">
        <v>391</v>
      </c>
      <c r="G25" s="3" t="s">
        <v>234</v>
      </c>
      <c r="H25" s="3">
        <v>1</v>
      </c>
      <c r="I25" s="14">
        <v>10</v>
      </c>
      <c r="J25" s="33">
        <f t="shared" si="5"/>
        <v>1</v>
      </c>
      <c r="K25" s="3" t="s">
        <v>393</v>
      </c>
    </row>
    <row r="26" spans="1:15" ht="15" customHeight="1">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Data_bool, 1);</v>
      </c>
      <c r="C26" s="1" t="s">
        <v>155</v>
      </c>
      <c r="D26" s="1" t="s">
        <v>227</v>
      </c>
      <c r="E26" s="13" t="s">
        <v>403</v>
      </c>
      <c r="F26" s="3" t="s">
        <v>404</v>
      </c>
      <c r="G26" s="3" t="s">
        <v>156</v>
      </c>
      <c r="H26" s="3">
        <v>1</v>
      </c>
      <c r="I26" s="14" t="s">
        <v>150</v>
      </c>
      <c r="J26" s="33">
        <f t="shared" si="5"/>
        <v>1</v>
      </c>
      <c r="K26" s="3"/>
    </row>
    <row r="27" spans="1:15" s="25" customFormat="1" ht="15" customHeight="1">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141</v>
      </c>
      <c r="D27" s="24"/>
      <c r="E27" s="25" t="s">
        <v>276</v>
      </c>
      <c r="F27" s="26"/>
      <c r="G27" s="26"/>
      <c r="H27" s="26"/>
      <c r="I27" s="26"/>
      <c r="J27" s="24" t="str">
        <f t="shared" si="5"/>
        <v/>
      </c>
    </row>
    <row r="28" spans="1:15" s="9" customFormat="1" ht="15" customHeight="1">
      <c r="A28" s="6" t="str">
        <f t="shared" si="6"/>
        <v xml:space="preserve">
// V1 Neuron Parameters</v>
      </c>
      <c r="B28" s="6" t="str">
        <f t="shared" si="2"/>
        <v xml:space="preserve">  // V1 Neuron Parameters</v>
      </c>
      <c r="C28" s="7" t="s">
        <v>141</v>
      </c>
      <c r="D28" s="7"/>
      <c r="E28" s="9" t="s">
        <v>159</v>
      </c>
      <c r="F28" s="8"/>
      <c r="G28" s="8"/>
      <c r="H28" s="8"/>
      <c r="I28" s="8"/>
      <c r="J28" s="7" t="str">
        <f t="shared" si="5"/>
        <v/>
      </c>
    </row>
    <row r="29" spans="1:15" s="12" customFormat="1" ht="15" customHeight="1">
      <c r="A29" s="10" t="str">
        <f t="shared" si="6"/>
        <v>#define V1_LABEL "V1"</v>
      </c>
      <c r="B29" s="10" t="str">
        <f t="shared" si="2"/>
        <v/>
      </c>
      <c r="C29" s="5" t="s">
        <v>130</v>
      </c>
      <c r="D29" s="5"/>
      <c r="E29" s="17" t="s">
        <v>228</v>
      </c>
      <c r="F29" s="11"/>
      <c r="G29" s="11"/>
      <c r="H29" s="11"/>
      <c r="I29" s="11" t="s">
        <v>229</v>
      </c>
      <c r="J29" s="5" t="str">
        <f t="shared" si="5"/>
        <v/>
      </c>
    </row>
    <row r="30" spans="1:15" ht="15" customHeight="1">
      <c r="A30" s="4" t="str">
        <f t="shared" si="6"/>
        <v>#define MAX_V1_NEURONS 600</v>
      </c>
      <c r="B30" s="10" t="str">
        <f t="shared" si="2"/>
        <v/>
      </c>
      <c r="C30" s="1" t="s">
        <v>130</v>
      </c>
      <c r="E30" s="13" t="s">
        <v>160</v>
      </c>
      <c r="I30" s="3">
        <v>600</v>
      </c>
      <c r="J30" s="1" t="str">
        <f t="shared" si="5"/>
        <v/>
      </c>
      <c r="K30" t="s">
        <v>266</v>
      </c>
    </row>
    <row r="31" spans="1:15" ht="15" customHeight="1">
      <c r="A31" s="4" t="str">
        <f t="shared" si="6"/>
        <v/>
      </c>
      <c r="B31" s="10" t="str">
        <f t="shared" si="2"/>
        <v xml:space="preserve">  for (int i = 0; i &lt; MAX_V1_NEURONS; i++) {
    Variables.SetSetting(string("SIM:") + V1_LABEL + string("'") + IIntToString(i), Data_double, 8);
  }</v>
      </c>
      <c r="C31" s="1" t="s">
        <v>226</v>
      </c>
      <c r="D31" s="1" t="s">
        <v>226</v>
      </c>
      <c r="E31" s="13"/>
      <c r="G31" s="3" t="s">
        <v>171</v>
      </c>
      <c r="H31" s="3">
        <v>8</v>
      </c>
      <c r="J31" s="1" t="str">
        <f t="shared" si="5"/>
        <v>MAX_V1_NEURONS</v>
      </c>
      <c r="L31">
        <v>1</v>
      </c>
      <c r="M31" t="s">
        <v>382</v>
      </c>
      <c r="N31" t="s">
        <v>160</v>
      </c>
      <c r="O31" t="s">
        <v>389</v>
      </c>
    </row>
    <row r="32" spans="1:15" ht="15" customHeight="1">
      <c r="A32" s="4" t="str">
        <f t="shared" si="6"/>
        <v>#define V1_FIRST_CALCULATION "SIM:V1_first_calculation"
#define DEFAULT_V1_FIRST_CALCULATION "none"</v>
      </c>
      <c r="B32" s="10" t="str">
        <f t="shared" si="2"/>
        <v xml:space="preserve">  Variables.SetSetting(V1_FIRST_CALCULATION, Data_string, 1);</v>
      </c>
      <c r="C32" s="1" t="s">
        <v>155</v>
      </c>
      <c r="D32" s="1" t="s">
        <v>226</v>
      </c>
      <c r="E32" s="13" t="s">
        <v>297</v>
      </c>
      <c r="F32" s="3" t="s">
        <v>379</v>
      </c>
      <c r="G32" s="3" t="s">
        <v>163</v>
      </c>
      <c r="H32" s="3">
        <v>1</v>
      </c>
      <c r="I32" s="3" t="s">
        <v>164</v>
      </c>
      <c r="J32" s="1">
        <f t="shared" si="5"/>
        <v>1</v>
      </c>
      <c r="K32" t="s">
        <v>298</v>
      </c>
    </row>
    <row r="33" spans="1:11" ht="15" customHeight="1">
      <c r="A33" s="4" t="str">
        <f t="shared" si="6"/>
        <v>#define V1_ACTIVATION_METHOD "SIM:V1_act_method"
#define DEFAULT_V1_ACTIVATION_METHOD "none"</v>
      </c>
      <c r="B33" s="10" t="str">
        <f t="shared" si="2"/>
        <v xml:space="preserve">  Variables.SetSetting(V1_ACTIVATION_METHOD, Data_string, 1);</v>
      </c>
      <c r="C33" s="1" t="s">
        <v>155</v>
      </c>
      <c r="D33" s="1" t="s">
        <v>226</v>
      </c>
      <c r="E33" s="13" t="s">
        <v>162</v>
      </c>
      <c r="F33" s="3" t="s">
        <v>378</v>
      </c>
      <c r="G33" s="3" t="s">
        <v>163</v>
      </c>
      <c r="H33" s="3">
        <v>1</v>
      </c>
      <c r="I33" s="3" t="s">
        <v>164</v>
      </c>
      <c r="J33" s="1">
        <f t="shared" si="5"/>
        <v>1</v>
      </c>
      <c r="K33" t="s">
        <v>167</v>
      </c>
    </row>
    <row r="34" spans="1:11" ht="15" customHeight="1">
      <c r="A34" s="4" t="str">
        <f t="shared" si="6"/>
        <v>#define V1_DACTIVATION_METHOD "SIM:V1_dac_method"
#define DEFAULT_V1_DACTIVATION_METHOD "none"</v>
      </c>
      <c r="B34" s="10" t="str">
        <f t="shared" si="2"/>
        <v xml:space="preserve">  Variables.SetSetting(V1_DACTIVATION_METHOD, Data_string, 1);</v>
      </c>
      <c r="C34" s="1" t="s">
        <v>155</v>
      </c>
      <c r="D34" s="1" t="s">
        <v>226</v>
      </c>
      <c r="E34" s="13" t="s">
        <v>165</v>
      </c>
      <c r="F34" s="3" t="s">
        <v>377</v>
      </c>
      <c r="G34" s="3" t="s">
        <v>163</v>
      </c>
      <c r="H34" s="3">
        <v>1</v>
      </c>
      <c r="I34" s="3" t="s">
        <v>164</v>
      </c>
      <c r="J34" s="1">
        <f t="shared" si="5"/>
        <v>1</v>
      </c>
      <c r="K34" t="s">
        <v>166</v>
      </c>
    </row>
    <row r="35" spans="1:11" ht="15" customHeight="1">
      <c r="A35" s="4" t="str">
        <f t="shared" si="6"/>
        <v>#define V1_EXTERNAL_EXCITATION_METHOD "SIM:V1_external_excitation_method"
#define DEFAULT_V1_EXTERNAL_EXCITATION_METHOD "none"</v>
      </c>
      <c r="B35" s="10" t="str">
        <f t="shared" si="2"/>
        <v xml:space="preserve">  Variables.SetSetting(V1_EXTERNAL_EXCITATION_METHOD, Data_string, 1);</v>
      </c>
      <c r="C35" s="1" t="s">
        <v>155</v>
      </c>
      <c r="D35" s="1" t="s">
        <v>226</v>
      </c>
      <c r="E35" s="13" t="s">
        <v>225</v>
      </c>
      <c r="F35" s="3" t="s">
        <v>376</v>
      </c>
      <c r="G35" s="3" t="s">
        <v>163</v>
      </c>
      <c r="H35" s="3">
        <v>1</v>
      </c>
      <c r="I35" s="3" t="s">
        <v>164</v>
      </c>
      <c r="J35" s="1">
        <f t="shared" si="5"/>
        <v>1</v>
      </c>
    </row>
    <row r="36" spans="1:11" s="29" customFormat="1" ht="15" customHeight="1">
      <c r="A36" s="27" t="str">
        <f t="shared" si="6"/>
        <v xml:space="preserve">
// V1 Activation Methods</v>
      </c>
      <c r="B36" s="27" t="str">
        <f t="shared" si="2"/>
        <v xml:space="preserve">  // V1 Activation Methods</v>
      </c>
      <c r="C36" s="28" t="s">
        <v>141</v>
      </c>
      <c r="D36" s="28"/>
      <c r="E36" s="31" t="s">
        <v>267</v>
      </c>
      <c r="F36" s="30"/>
      <c r="G36" s="30"/>
      <c r="H36" s="30"/>
      <c r="I36" s="30"/>
      <c r="J36" s="28" t="str">
        <f t="shared" si="5"/>
        <v/>
      </c>
    </row>
    <row r="37" spans="1:11" ht="15" customHeight="1">
      <c r="A37" s="4" t="str">
        <f t="shared" si="6"/>
        <v>#define V1_A001 "V1_A001"</v>
      </c>
      <c r="B37" s="10" t="str">
        <f t="shared" si="2"/>
        <v/>
      </c>
      <c r="C37" s="1" t="s">
        <v>130</v>
      </c>
      <c r="E37" s="13" t="s">
        <v>268</v>
      </c>
      <c r="I37" s="3" t="s">
        <v>269</v>
      </c>
      <c r="J37" s="1" t="str">
        <f t="shared" si="5"/>
        <v/>
      </c>
      <c r="K37" t="s">
        <v>270</v>
      </c>
    </row>
    <row r="38" spans="1:11" s="9" customFormat="1" ht="15" customHeight="1">
      <c r="A38" s="6" t="str">
        <f t="shared" si="6"/>
        <v xml:space="preserve">
// V1_A001 Method Parameters</v>
      </c>
      <c r="B38" s="6" t="str">
        <f t="shared" si="2"/>
        <v xml:space="preserve">  // V1_A001 Method Parameters</v>
      </c>
      <c r="C38" s="7" t="s">
        <v>141</v>
      </c>
      <c r="D38" s="7"/>
      <c r="E38" s="15" t="s">
        <v>273</v>
      </c>
      <c r="F38" s="8"/>
      <c r="G38" s="8"/>
      <c r="H38" s="8"/>
      <c r="I38" s="8"/>
      <c r="J38" s="7" t="str">
        <f t="shared" si="5"/>
        <v/>
      </c>
    </row>
    <row r="39" spans="1:11" ht="15" customHeight="1">
      <c r="A39" s="4" t="str">
        <f t="shared" si="6"/>
        <v>#define V1_A001_NL_MAX "SIM:V1_A001_nl_max"
#define DEFAULT_V1_A001_NL_MAX 1</v>
      </c>
      <c r="B39" s="10" t="str">
        <f t="shared" si="2"/>
        <v xml:space="preserve">  Variables.SetSetting(V1_A001_NL_MAX, Data_double, 1);</v>
      </c>
      <c r="C39" s="1" t="s">
        <v>155</v>
      </c>
      <c r="D39" s="1" t="s">
        <v>226</v>
      </c>
      <c r="E39" s="13" t="s">
        <v>304</v>
      </c>
      <c r="F39" s="3" t="s">
        <v>375</v>
      </c>
      <c r="G39" s="3" t="s">
        <v>171</v>
      </c>
      <c r="H39" s="3">
        <v>1</v>
      </c>
      <c r="I39" s="3">
        <v>1</v>
      </c>
      <c r="J39" s="1">
        <f t="shared" si="5"/>
        <v>1</v>
      </c>
    </row>
    <row r="40" spans="1:11" ht="15" customHeight="1">
      <c r="A40" s="4" t="str">
        <f t="shared" si="6"/>
        <v>#define V1_A001_NL_A "SIM:V1_A001_nl_a"
#define DEFAULT_V1_A001_NL_A 5</v>
      </c>
      <c r="B40" s="10" t="str">
        <f t="shared" si="2"/>
        <v xml:space="preserve">  Variables.SetSetting(V1_A001_NL_A, Data_double, 1);</v>
      </c>
      <c r="C40" s="1" t="s">
        <v>155</v>
      </c>
      <c r="D40" s="1" t="s">
        <v>226</v>
      </c>
      <c r="E40" s="13" t="s">
        <v>305</v>
      </c>
      <c r="F40" s="3" t="s">
        <v>374</v>
      </c>
      <c r="G40" s="3" t="s">
        <v>171</v>
      </c>
      <c r="H40" s="3">
        <v>1</v>
      </c>
      <c r="I40" s="3">
        <v>5</v>
      </c>
      <c r="J40" s="1">
        <f t="shared" si="5"/>
        <v>1</v>
      </c>
    </row>
    <row r="41" spans="1:11" ht="15" customHeight="1">
      <c r="A41" s="4" t="str">
        <f t="shared" si="6"/>
        <v>#define V1_A001_NL_B "SIM:V1_A001_nl_b"
#define DEFAULT_V1_A001_NL_B 0.17</v>
      </c>
      <c r="B41" s="10" t="str">
        <f t="shared" si="2"/>
        <v xml:space="preserve">  Variables.SetSetting(V1_A001_NL_B, Data_double, 1);</v>
      </c>
      <c r="C41" s="1" t="s">
        <v>155</v>
      </c>
      <c r="D41" s="1" t="s">
        <v>226</v>
      </c>
      <c r="E41" s="13" t="s">
        <v>306</v>
      </c>
      <c r="F41" s="3" t="s">
        <v>373</v>
      </c>
      <c r="G41" s="3" t="s">
        <v>171</v>
      </c>
      <c r="H41" s="3">
        <v>1</v>
      </c>
      <c r="I41" s="3">
        <v>0.17</v>
      </c>
      <c r="J41" s="1">
        <f t="shared" si="5"/>
        <v>1</v>
      </c>
    </row>
    <row r="42" spans="1:11" s="9" customFormat="1" ht="15" customHeight="1">
      <c r="A42" s="6" t="str">
        <f t="shared" si="6"/>
        <v xml:space="preserve">
// None</v>
      </c>
      <c r="B42" s="6" t="str">
        <f t="shared" si="2"/>
        <v xml:space="preserve">  // None</v>
      </c>
      <c r="C42" s="7" t="s">
        <v>141</v>
      </c>
      <c r="D42" s="7"/>
      <c r="E42" s="15" t="s">
        <v>279</v>
      </c>
      <c r="F42" s="8"/>
      <c r="G42" s="8"/>
      <c r="H42" s="8"/>
      <c r="I42" s="8"/>
      <c r="J42" s="7" t="str">
        <f t="shared" si="5"/>
        <v/>
      </c>
    </row>
    <row r="43" spans="1:11" s="29" customFormat="1" ht="15" customHeight="1">
      <c r="A43" s="27" t="str">
        <f t="shared" si="6"/>
        <v xml:space="preserve">
// V1 Derivate Activation Methods</v>
      </c>
      <c r="B43" s="27" t="str">
        <f t="shared" si="2"/>
        <v xml:space="preserve">  // V1 Derivate Activation Methods</v>
      </c>
      <c r="C43" s="28" t="s">
        <v>141</v>
      </c>
      <c r="D43" s="28"/>
      <c r="E43" s="31" t="s">
        <v>271</v>
      </c>
      <c r="F43" s="30"/>
      <c r="G43" s="30"/>
      <c r="H43" s="30"/>
      <c r="I43" s="30"/>
      <c r="J43" s="28" t="str">
        <f t="shared" si="5"/>
        <v/>
      </c>
    </row>
    <row r="44" spans="1:11" ht="15" customHeight="1">
      <c r="A44" s="4" t="str">
        <f t="shared" si="6"/>
        <v>#define V1_D001 "V1_D001"</v>
      </c>
      <c r="B44" s="10" t="str">
        <f t="shared" si="2"/>
        <v/>
      </c>
      <c r="C44" s="1" t="s">
        <v>130</v>
      </c>
      <c r="E44" s="13" t="s">
        <v>168</v>
      </c>
      <c r="I44" s="3" t="s">
        <v>214</v>
      </c>
      <c r="J44" s="1" t="str">
        <f t="shared" si="5"/>
        <v/>
      </c>
      <c r="K44" t="s">
        <v>169</v>
      </c>
    </row>
    <row r="45" spans="1:11" s="9" customFormat="1" ht="15" customHeight="1">
      <c r="A45" s="6" t="str">
        <f t="shared" si="6"/>
        <v xml:space="preserve">
// V1_D001 Method Parameters</v>
      </c>
      <c r="B45" s="6" t="str">
        <f t="shared" si="2"/>
        <v xml:space="preserve">  // V1_D001 Method Parameters</v>
      </c>
      <c r="C45" s="7" t="s">
        <v>141</v>
      </c>
      <c r="D45" s="7"/>
      <c r="E45" s="15" t="s">
        <v>272</v>
      </c>
      <c r="F45" s="8"/>
      <c r="G45" s="8"/>
      <c r="H45" s="8"/>
      <c r="I45" s="8"/>
      <c r="J45" s="7" t="str">
        <f t="shared" si="5"/>
        <v/>
      </c>
    </row>
    <row r="46" spans="1:11" ht="15" customHeight="1">
      <c r="A46" s="4" t="str">
        <f t="shared" si="6"/>
        <v>#define V1_D001_CONDUCTANCE_LEAK "SIM:V1_D001_conductance_leak"
#define DEFAULT_V1_D001_CONDUCTANCE_LEAK -0.1</v>
      </c>
      <c r="B46" s="10" t="str">
        <f t="shared" si="2"/>
        <v xml:space="preserve">  Variables.SetSetting(V1_D001_CONDUCTANCE_LEAK, Data_double, 1);</v>
      </c>
      <c r="C46" s="1" t="s">
        <v>155</v>
      </c>
      <c r="D46" s="1" t="s">
        <v>226</v>
      </c>
      <c r="E46" s="13" t="s">
        <v>170</v>
      </c>
      <c r="F46" s="3" t="s">
        <v>372</v>
      </c>
      <c r="G46" s="3" t="s">
        <v>171</v>
      </c>
      <c r="H46" s="3">
        <v>1</v>
      </c>
      <c r="I46" s="3">
        <v>-0.1</v>
      </c>
      <c r="J46" s="1">
        <f t="shared" si="5"/>
        <v>1</v>
      </c>
    </row>
    <row r="47" spans="1:11" ht="15" customHeight="1">
      <c r="A47" s="4" t="str">
        <f t="shared" si="6"/>
        <v>#define V1_D001_EXCITATORY_FACTOR "SIM:V1_D001_excitatory_factor"
#define DEFAULT_V1_D001_EXCITATORY_FACTOR 0.2</v>
      </c>
      <c r="B47" s="10" t="str">
        <f t="shared" si="2"/>
        <v xml:space="preserve">  Variables.SetSetting(V1_D001_EXCITATORY_FACTOR, Data_double, 1);</v>
      </c>
      <c r="C47" s="1" t="s">
        <v>155</v>
      </c>
      <c r="D47" s="1" t="s">
        <v>226</v>
      </c>
      <c r="E47" s="13" t="s">
        <v>172</v>
      </c>
      <c r="F47" s="3" t="s">
        <v>371</v>
      </c>
      <c r="G47" s="3" t="s">
        <v>171</v>
      </c>
      <c r="H47" s="3">
        <v>1</v>
      </c>
      <c r="I47" s="3">
        <v>0.2</v>
      </c>
      <c r="J47" s="1">
        <f t="shared" si="5"/>
        <v>1</v>
      </c>
    </row>
    <row r="48" spans="1:11" ht="15" customHeight="1">
      <c r="A48" s="4" t="str">
        <f t="shared" si="6"/>
        <v>#define V1_D001_INHIBITION_FACTOR "SIM:V1_D001_inhibition_factor"
#define DEFAULT_V1_D001_INHIBITION_FACTOR -0.8</v>
      </c>
      <c r="B48" s="10" t="str">
        <f t="shared" si="2"/>
        <v xml:space="preserve">  Variables.SetSetting(V1_D001_INHIBITION_FACTOR, Data_double, 1);</v>
      </c>
      <c r="C48" s="1" t="s">
        <v>155</v>
      </c>
      <c r="D48" s="1" t="s">
        <v>226</v>
      </c>
      <c r="E48" s="13" t="s">
        <v>173</v>
      </c>
      <c r="F48" s="3" t="s">
        <v>370</v>
      </c>
      <c r="G48" s="3" t="s">
        <v>171</v>
      </c>
      <c r="H48" s="3">
        <v>1</v>
      </c>
      <c r="I48" s="3">
        <v>-0.8</v>
      </c>
      <c r="J48" s="1">
        <f t="shared" si="5"/>
        <v>1</v>
      </c>
    </row>
    <row r="49" spans="1:15" ht="15" customHeight="1">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Data_double, 1);</v>
      </c>
      <c r="C49" s="1" t="s">
        <v>155</v>
      </c>
      <c r="D49" s="1" t="s">
        <v>226</v>
      </c>
      <c r="E49" s="13" t="s">
        <v>320</v>
      </c>
      <c r="F49" s="3" t="s">
        <v>369</v>
      </c>
      <c r="G49" s="3" t="s">
        <v>171</v>
      </c>
      <c r="H49" s="3">
        <v>1</v>
      </c>
      <c r="I49" s="3">
        <v>100</v>
      </c>
      <c r="J49" s="1">
        <f t="shared" si="5"/>
        <v>1</v>
      </c>
    </row>
    <row r="50" spans="1:15" s="29" customFormat="1" ht="15" customHeight="1">
      <c r="A50" s="27" t="str">
        <f t="shared" si="6"/>
        <v xml:space="preserve">
// V1 Diffusion Imput Methods</v>
      </c>
      <c r="B50" s="27" t="str">
        <f t="shared" si="2"/>
        <v xml:space="preserve">  // V1 Diffusion Imput Methods</v>
      </c>
      <c r="C50" s="28" t="s">
        <v>141</v>
      </c>
      <c r="D50" s="28"/>
      <c r="E50" s="29" t="s">
        <v>274</v>
      </c>
      <c r="F50" s="30"/>
      <c r="G50" s="30"/>
      <c r="H50" s="30"/>
      <c r="I50" s="30"/>
      <c r="J50" s="28" t="str">
        <f t="shared" si="5"/>
        <v/>
      </c>
    </row>
    <row r="51" spans="1:15" s="12" customFormat="1" ht="15" customHeight="1">
      <c r="A51" s="10" t="str">
        <f t="shared" si="6"/>
        <v>#define V1_F001 "V1_F001"</v>
      </c>
      <c r="B51" s="10" t="str">
        <f t="shared" si="2"/>
        <v/>
      </c>
      <c r="C51" s="5" t="s">
        <v>130</v>
      </c>
      <c r="D51" s="5"/>
      <c r="E51" s="12" t="s">
        <v>181</v>
      </c>
      <c r="F51" s="11"/>
      <c r="G51" s="11"/>
      <c r="H51" s="11"/>
      <c r="I51" s="11" t="s">
        <v>215</v>
      </c>
      <c r="J51" s="5" t="str">
        <f t="shared" si="5"/>
        <v/>
      </c>
    </row>
    <row r="52" spans="1:15" s="9" customFormat="1" ht="15" customHeight="1">
      <c r="A52" s="6" t="str">
        <f t="shared" si="6"/>
        <v xml:space="preserve">
// V1_F001 Method Parameters</v>
      </c>
      <c r="B52" s="6" t="str">
        <f t="shared" si="2"/>
        <v xml:space="preserve">  // V1_F001 Method Parameters</v>
      </c>
      <c r="C52" s="7" t="s">
        <v>141</v>
      </c>
      <c r="D52" s="7"/>
      <c r="E52" s="9" t="s">
        <v>275</v>
      </c>
      <c r="F52" s="8"/>
      <c r="G52" s="8"/>
      <c r="H52" s="8"/>
      <c r="I52" s="8"/>
      <c r="J52" s="7" t="str">
        <f t="shared" si="5"/>
        <v/>
      </c>
    </row>
    <row r="53" spans="1:15" ht="15" customHeight="1">
      <c r="A53" s="4" t="str">
        <f t="shared" si="6"/>
        <v>#define V1_F001_A "SIM:V1_F001_a"
#define DEFAULT_V1_F001_A 0</v>
      </c>
      <c r="B53" s="10" t="str">
        <f t="shared" si="2"/>
        <v xml:space="preserve">  Variables.SetSetting(V1_F001_A, Data_double, 1);</v>
      </c>
      <c r="C53" s="1" t="s">
        <v>155</v>
      </c>
      <c r="D53" s="1" t="s">
        <v>226</v>
      </c>
      <c r="E53" t="s">
        <v>174</v>
      </c>
      <c r="F53" t="s">
        <v>368</v>
      </c>
      <c r="G53" s="3" t="s">
        <v>171</v>
      </c>
      <c r="H53" s="3">
        <v>1</v>
      </c>
      <c r="I53" s="3">
        <v>0</v>
      </c>
      <c r="J53" s="1">
        <f t="shared" ref="J53:J84" si="7">IF(OR(C53="P",C53="S"),IF(L53="",1,IF(L53=1,N53,IF(L53=2,N53&amp;" * "&amp;Q53,"ERROR"))),"")</f>
        <v>1</v>
      </c>
    </row>
    <row r="54" spans="1:15" ht="15" customHeight="1">
      <c r="A54" s="4" t="str">
        <f t="shared" si="6"/>
        <v>#define V1_F001_B "SIM:V1_F001_b"
#define DEFAULT_V1_F001_B 0</v>
      </c>
      <c r="B54" s="10" t="str">
        <f t="shared" si="2"/>
        <v xml:space="preserve">  Variables.SetSetting(V1_F001_B, Data_double, 1);</v>
      </c>
      <c r="C54" s="1" t="s">
        <v>155</v>
      </c>
      <c r="D54" s="1" t="s">
        <v>226</v>
      </c>
      <c r="E54" t="s">
        <v>175</v>
      </c>
      <c r="F54" t="s">
        <v>367</v>
      </c>
      <c r="G54" s="3" t="s">
        <v>171</v>
      </c>
      <c r="H54" s="3">
        <v>1</v>
      </c>
      <c r="I54" s="3">
        <v>0</v>
      </c>
      <c r="J54" s="1">
        <f t="shared" si="7"/>
        <v>1</v>
      </c>
    </row>
    <row r="55" spans="1:15" ht="15" customHeight="1">
      <c r="A55" s="4" t="str">
        <f t="shared" si="6"/>
        <v>#define V1_F001_ORIENTATION "SIM:V1_F001_orientation"
#define DEFAULT_V1_F001_ORIENTATION 0</v>
      </c>
      <c r="B55" s="10" t="str">
        <f t="shared" si="2"/>
        <v xml:space="preserve">  Variables.SetSetting(V1_F001_ORIENTATION, Data_double, 1);</v>
      </c>
      <c r="C55" s="1" t="s">
        <v>155</v>
      </c>
      <c r="D55" s="1" t="s">
        <v>226</v>
      </c>
      <c r="E55" t="s">
        <v>176</v>
      </c>
      <c r="F55" t="s">
        <v>366</v>
      </c>
      <c r="G55" s="3" t="s">
        <v>171</v>
      </c>
      <c r="H55" s="3">
        <v>1</v>
      </c>
      <c r="I55" s="3">
        <v>0</v>
      </c>
      <c r="J55" s="1">
        <f t="shared" si="7"/>
        <v>1</v>
      </c>
    </row>
    <row r="56" spans="1:15" ht="15" customHeight="1">
      <c r="A56" s="4" t="str">
        <f t="shared" si="6"/>
        <v>#define V1_F001_SPATIAL_FREQUENCY "SIM:V1_F001_spatial_frequency"
#define DEFAULT_V1_F001_SPATIAL_FREQUENCY 0</v>
      </c>
      <c r="B56" s="10" t="str">
        <f t="shared" si="2"/>
        <v xml:space="preserve">  Variables.SetSetting(V1_F001_SPATIAL_FREQUENCY, Data_double, 1);</v>
      </c>
      <c r="C56" s="1" t="s">
        <v>155</v>
      </c>
      <c r="D56" s="1" t="s">
        <v>226</v>
      </c>
      <c r="E56" t="s">
        <v>177</v>
      </c>
      <c r="F56" t="s">
        <v>365</v>
      </c>
      <c r="G56" s="3" t="s">
        <v>171</v>
      </c>
      <c r="H56" s="3">
        <v>1</v>
      </c>
      <c r="I56" s="3">
        <v>0</v>
      </c>
      <c r="J56" s="1">
        <f t="shared" si="7"/>
        <v>1</v>
      </c>
    </row>
    <row r="57" spans="1:15" ht="15" customHeight="1">
      <c r="A57" s="4" t="str">
        <f t="shared" si="6"/>
        <v>#define V1_F001_TEMPORAL_FREQUENCY "SIM:V1_F001_temporal_frequency"
#define DEFAULT_V1_F001_TEMPORAL_FREQUENCY 0</v>
      </c>
      <c r="B57" s="10" t="str">
        <f t="shared" si="2"/>
        <v xml:space="preserve">  Variables.SetSetting(V1_F001_TEMPORAL_FREQUENCY, Data_double, 1);</v>
      </c>
      <c r="C57" s="1" t="s">
        <v>155</v>
      </c>
      <c r="D57" s="1" t="s">
        <v>226</v>
      </c>
      <c r="E57" t="s">
        <v>178</v>
      </c>
      <c r="F57" t="s">
        <v>364</v>
      </c>
      <c r="G57" s="3" t="s">
        <v>171</v>
      </c>
      <c r="H57" s="3">
        <v>1</v>
      </c>
      <c r="I57" s="3">
        <v>0</v>
      </c>
      <c r="J57" s="1">
        <f t="shared" si="7"/>
        <v>1</v>
      </c>
    </row>
    <row r="58" spans="1:15" ht="15" customHeight="1">
      <c r="A58" s="4" t="str">
        <f t="shared" si="6"/>
        <v>#define V1_F001_MAGNITUDE "SIM:V1_F001_magnitude"
#define DEFAULT_V1_F001_MAGNITUDE 0</v>
      </c>
      <c r="B58" s="10" t="str">
        <f t="shared" si="2"/>
        <v xml:space="preserve">  Variables.SetSetting(V1_F001_MAGNITUDE, Data_double, 1);</v>
      </c>
      <c r="C58" s="1" t="s">
        <v>155</v>
      </c>
      <c r="D58" s="1" t="s">
        <v>226</v>
      </c>
      <c r="E58" t="s">
        <v>179</v>
      </c>
      <c r="F58" t="s">
        <v>363</v>
      </c>
      <c r="G58" s="3" t="s">
        <v>171</v>
      </c>
      <c r="H58" s="3">
        <v>1</v>
      </c>
      <c r="I58" s="3">
        <v>0</v>
      </c>
      <c r="J58" s="1">
        <f t="shared" si="7"/>
        <v>1</v>
      </c>
    </row>
    <row r="59" spans="1:15" ht="15" customHeight="1">
      <c r="A59" s="4" t="str">
        <f t="shared" si="6"/>
        <v>#define V1_F001_PHASE "SIM:V1_F001_phase"
#define DEFAULT_V1_F001_PHASE 0</v>
      </c>
      <c r="B59" s="10" t="str">
        <f t="shared" si="2"/>
        <v xml:space="preserve">  Variables.SetSetting(V1_F001_PHASE, Data_int, 1);</v>
      </c>
      <c r="C59" s="1" t="s">
        <v>155</v>
      </c>
      <c r="D59" s="1" t="s">
        <v>226</v>
      </c>
      <c r="E59" t="s">
        <v>180</v>
      </c>
      <c r="F59" t="s">
        <v>362</v>
      </c>
      <c r="G59" s="3" t="s">
        <v>234</v>
      </c>
      <c r="H59" s="3">
        <v>1</v>
      </c>
      <c r="I59" s="3">
        <v>0</v>
      </c>
      <c r="J59" s="1">
        <f t="shared" si="7"/>
        <v>1</v>
      </c>
    </row>
    <row r="60" spans="1:15" s="25" customFormat="1" ht="15" customHeight="1">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141</v>
      </c>
      <c r="D60" s="24"/>
      <c r="E60" s="25" t="s">
        <v>277</v>
      </c>
      <c r="F60" s="26"/>
      <c r="G60" s="26"/>
      <c r="H60" s="26"/>
      <c r="I60" s="26"/>
      <c r="J60" s="24" t="str">
        <f t="shared" si="7"/>
        <v/>
      </c>
    </row>
    <row r="61" spans="1:15" s="9" customFormat="1" ht="15" customHeight="1">
      <c r="A61" s="6" t="str">
        <f t="shared" si="8"/>
        <v xml:space="preserve">
// MT Neuron Parameters</v>
      </c>
      <c r="B61" s="6" t="str">
        <f t="shared" si="2"/>
        <v xml:space="preserve">  // MT Neuron Parameters</v>
      </c>
      <c r="C61" s="7" t="s">
        <v>141</v>
      </c>
      <c r="D61" s="7"/>
      <c r="E61" s="9" t="s">
        <v>182</v>
      </c>
      <c r="F61" s="8"/>
      <c r="G61" s="8"/>
      <c r="H61" s="8"/>
      <c r="I61" s="8"/>
      <c r="J61" s="7" t="str">
        <f t="shared" si="7"/>
        <v/>
      </c>
    </row>
    <row r="62" spans="1:15" s="12" customFormat="1" ht="15" customHeight="1">
      <c r="A62" s="10" t="str">
        <f t="shared" si="8"/>
        <v>#define MT_LABEL "MT"</v>
      </c>
      <c r="B62" s="10" t="str">
        <f t="shared" si="2"/>
        <v/>
      </c>
      <c r="C62" s="5" t="s">
        <v>130</v>
      </c>
      <c r="D62" s="5"/>
      <c r="E62" s="17" t="s">
        <v>230</v>
      </c>
      <c r="F62" s="11"/>
      <c r="G62" s="11"/>
      <c r="H62" s="11"/>
      <c r="I62" s="11" t="s">
        <v>231</v>
      </c>
      <c r="J62" s="5" t="str">
        <f t="shared" si="7"/>
        <v/>
      </c>
    </row>
    <row r="63" spans="1:15" ht="15" customHeight="1">
      <c r="A63" s="4" t="str">
        <f t="shared" si="8"/>
        <v>#define MAX_MT_NEURONS 10</v>
      </c>
      <c r="B63" s="10" t="str">
        <f t="shared" si="2"/>
        <v/>
      </c>
      <c r="C63" s="1" t="s">
        <v>130</v>
      </c>
      <c r="E63" t="s">
        <v>183</v>
      </c>
      <c r="I63" s="3">
        <v>10</v>
      </c>
      <c r="J63" s="1" t="str">
        <f t="shared" si="7"/>
        <v/>
      </c>
    </row>
    <row r="64" spans="1:15" ht="15" customHeight="1">
      <c r="A64" s="4" t="str">
        <f t="shared" si="8"/>
        <v/>
      </c>
      <c r="B64" s="10" t="str">
        <f t="shared" si="2"/>
        <v xml:space="preserve">  for (int i = 0; i &lt; MAX_MT_NEURONS; i++) {
    Variables.SetSetting(string("SIM:") + MT_LABEL + string("'") + IIntToString(i), Data_double, 6);
  }</v>
      </c>
      <c r="C64" s="1" t="s">
        <v>226</v>
      </c>
      <c r="D64" s="1" t="s">
        <v>226</v>
      </c>
      <c r="E64" s="13"/>
      <c r="G64" s="3" t="s">
        <v>171</v>
      </c>
      <c r="H64" s="3">
        <v>6</v>
      </c>
      <c r="J64" s="1" t="str">
        <f t="shared" si="7"/>
        <v>MAX_MT_NEURONS</v>
      </c>
      <c r="L64">
        <v>1</v>
      </c>
      <c r="M64" t="s">
        <v>383</v>
      </c>
      <c r="N64" t="s">
        <v>183</v>
      </c>
      <c r="O64" t="s">
        <v>389</v>
      </c>
    </row>
    <row r="65" spans="1:11" ht="15" customHeight="1">
      <c r="A65" s="4" t="str">
        <f t="shared" si="8"/>
        <v>#define MT_FIRST_CALCULATION "SIM:MT_first_calculation"
#define DEFAULT_MT_FIRST_CALCULATION "none"</v>
      </c>
      <c r="B65" s="10" t="str">
        <f t="shared" si="2"/>
        <v xml:space="preserve">  Variables.SetSetting(MT_FIRST_CALCULATION, Data_string, 1);</v>
      </c>
      <c r="C65" s="1" t="s">
        <v>155</v>
      </c>
      <c r="D65" s="1" t="s">
        <v>226</v>
      </c>
      <c r="E65" s="13" t="s">
        <v>299</v>
      </c>
      <c r="F65" s="3" t="s">
        <v>361</v>
      </c>
      <c r="G65" s="3" t="s">
        <v>163</v>
      </c>
      <c r="H65" s="3">
        <v>1</v>
      </c>
      <c r="I65" s="3" t="s">
        <v>164</v>
      </c>
      <c r="J65" s="1">
        <f t="shared" si="7"/>
        <v>1</v>
      </c>
      <c r="K65" t="s">
        <v>298</v>
      </c>
    </row>
    <row r="66" spans="1:11" ht="15" customHeight="1">
      <c r="A66" s="4" t="str">
        <f t="shared" si="8"/>
        <v>#define MT_ACTIVATION_METHOD "SIM:MT_act_method"
#define DEFAULT_MT_ACTIVATION_METHOD "none"</v>
      </c>
      <c r="B66" s="10" t="str">
        <f t="shared" si="2"/>
        <v xml:space="preserve">  Variables.SetSetting(MT_ACTIVATION_METHOD, Data_string, 1);</v>
      </c>
      <c r="C66" s="1" t="s">
        <v>155</v>
      </c>
      <c r="D66" s="1" t="s">
        <v>226</v>
      </c>
      <c r="E66" t="s">
        <v>184</v>
      </c>
      <c r="F66" s="3" t="s">
        <v>360</v>
      </c>
      <c r="G66" s="3" t="s">
        <v>163</v>
      </c>
      <c r="H66" s="3">
        <v>1</v>
      </c>
      <c r="I66" s="3" t="s">
        <v>164</v>
      </c>
      <c r="J66" s="1">
        <f t="shared" si="7"/>
        <v>1</v>
      </c>
    </row>
    <row r="67" spans="1:11" ht="15" customHeight="1">
      <c r="A67" s="4" t="str">
        <f t="shared" si="8"/>
        <v>#define MT_DACTIVATION_METHOD "SIM:MT_dac_method"
#define DEFAULT_MT_DACTIVATION_METHOD "none"</v>
      </c>
      <c r="B67" s="10" t="str">
        <f t="shared" si="2"/>
        <v xml:space="preserve">  Variables.SetSetting(MT_DACTIVATION_METHOD, Data_string, 1);</v>
      </c>
      <c r="C67" s="1" t="s">
        <v>155</v>
      </c>
      <c r="D67" s="1" t="s">
        <v>226</v>
      </c>
      <c r="E67" t="s">
        <v>185</v>
      </c>
      <c r="F67" s="3" t="s">
        <v>359</v>
      </c>
      <c r="G67" s="3" t="s">
        <v>163</v>
      </c>
      <c r="H67" s="3">
        <v>1</v>
      </c>
      <c r="I67" s="3" t="s">
        <v>164</v>
      </c>
      <c r="J67" s="1">
        <f t="shared" si="7"/>
        <v>1</v>
      </c>
    </row>
    <row r="68" spans="1:11" s="29" customFormat="1" ht="15" customHeight="1">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141</v>
      </c>
      <c r="D68" s="28"/>
      <c r="E68" s="29" t="s">
        <v>280</v>
      </c>
      <c r="F68" s="30"/>
      <c r="G68" s="30"/>
      <c r="H68" s="30"/>
      <c r="I68" s="30"/>
      <c r="J68" s="28" t="str">
        <f t="shared" si="7"/>
        <v/>
      </c>
    </row>
    <row r="69" spans="1:11" ht="15" customHeight="1">
      <c r="A69" s="4" t="str">
        <f t="shared" si="8"/>
        <v>#define MT_A001 "MT_A001"</v>
      </c>
      <c r="B69" s="10" t="str">
        <f t="shared" si="9"/>
        <v/>
      </c>
      <c r="C69" s="1" t="s">
        <v>130</v>
      </c>
      <c r="E69" t="s">
        <v>186</v>
      </c>
      <c r="I69" s="3" t="s">
        <v>216</v>
      </c>
      <c r="J69" s="1" t="str">
        <f t="shared" si="7"/>
        <v/>
      </c>
    </row>
    <row r="70" spans="1:11" s="9" customFormat="1" ht="15" customHeight="1">
      <c r="A70" s="6" t="str">
        <f t="shared" si="8"/>
        <v xml:space="preserve">
// MT_A001 Parameters</v>
      </c>
      <c r="B70" s="6" t="str">
        <f t="shared" si="9"/>
        <v xml:space="preserve">  // MT_A001 Parameters</v>
      </c>
      <c r="C70" s="7" t="s">
        <v>141</v>
      </c>
      <c r="D70" s="7"/>
      <c r="E70" s="9" t="s">
        <v>278</v>
      </c>
      <c r="F70" s="8"/>
      <c r="G70" s="8"/>
      <c r="H70" s="8"/>
      <c r="I70" s="8"/>
      <c r="J70" s="7" t="str">
        <f t="shared" si="7"/>
        <v/>
      </c>
    </row>
    <row r="71" spans="1:11" s="9" customFormat="1" ht="15" customHeight="1">
      <c r="A71" s="6" t="str">
        <f t="shared" si="8"/>
        <v xml:space="preserve">
// None</v>
      </c>
      <c r="B71" s="6" t="str">
        <f t="shared" si="9"/>
        <v xml:space="preserve">  // None</v>
      </c>
      <c r="C71" s="7" t="s">
        <v>141</v>
      </c>
      <c r="D71" s="7"/>
      <c r="E71" s="9" t="s">
        <v>279</v>
      </c>
      <c r="F71" s="8"/>
      <c r="G71" s="8"/>
      <c r="H71" s="8"/>
      <c r="I71" s="8"/>
      <c r="J71" s="7" t="str">
        <f t="shared" si="7"/>
        <v/>
      </c>
    </row>
    <row r="72" spans="1:11" s="29" customFormat="1" ht="15" customHeight="1">
      <c r="A72" s="27" t="str">
        <f t="shared" si="8"/>
        <v xml:space="preserve">
// MT Derivate Activation Methods</v>
      </c>
      <c r="B72" s="27" t="str">
        <f t="shared" si="9"/>
        <v xml:space="preserve">  // MT Derivate Activation Methods</v>
      </c>
      <c r="C72" s="28" t="s">
        <v>141</v>
      </c>
      <c r="D72" s="28"/>
      <c r="E72" s="29" t="s">
        <v>281</v>
      </c>
      <c r="F72" s="30"/>
      <c r="G72" s="30"/>
      <c r="H72" s="30"/>
      <c r="I72" s="30"/>
      <c r="J72" s="28" t="str">
        <f t="shared" si="7"/>
        <v/>
      </c>
    </row>
    <row r="73" spans="1:11" ht="15" customHeight="1">
      <c r="A73" s="4" t="str">
        <f t="shared" si="8"/>
        <v>#define MT_D001 "MT_D001"</v>
      </c>
      <c r="B73" s="10" t="str">
        <f t="shared" si="9"/>
        <v/>
      </c>
      <c r="C73" s="1" t="s">
        <v>130</v>
      </c>
      <c r="E73" t="s">
        <v>282</v>
      </c>
      <c r="I73" s="3" t="s">
        <v>283</v>
      </c>
      <c r="J73" s="1" t="str">
        <f t="shared" si="7"/>
        <v/>
      </c>
    </row>
    <row r="74" spans="1:11" s="9" customFormat="1" ht="15" customHeight="1">
      <c r="A74" s="6" t="str">
        <f t="shared" si="8"/>
        <v xml:space="preserve">
// MT_D001 Parameters</v>
      </c>
      <c r="B74" s="6" t="str">
        <f t="shared" si="9"/>
        <v xml:space="preserve">  // MT_D001 Parameters</v>
      </c>
      <c r="C74" s="7" t="s">
        <v>141</v>
      </c>
      <c r="D74" s="7"/>
      <c r="E74" s="9" t="s">
        <v>284</v>
      </c>
      <c r="F74" s="8"/>
      <c r="G74" s="8"/>
      <c r="H74" s="8"/>
      <c r="I74" s="8"/>
      <c r="J74" s="7" t="str">
        <f t="shared" si="7"/>
        <v/>
      </c>
    </row>
    <row r="75" spans="1:11" s="9" customFormat="1" ht="15" customHeight="1">
      <c r="A75" s="6" t="str">
        <f t="shared" si="8"/>
        <v xml:space="preserve">
// None</v>
      </c>
      <c r="B75" s="6" t="str">
        <f t="shared" si="9"/>
        <v xml:space="preserve">  // None</v>
      </c>
      <c r="C75" s="7" t="s">
        <v>141</v>
      </c>
      <c r="D75" s="7"/>
      <c r="E75" s="9" t="s">
        <v>279</v>
      </c>
      <c r="F75" s="8"/>
      <c r="G75" s="8"/>
      <c r="H75" s="8"/>
      <c r="I75" s="8"/>
      <c r="J75" s="7" t="str">
        <f t="shared" si="7"/>
        <v/>
      </c>
    </row>
    <row r="76" spans="1:11" s="25" customFormat="1" ht="15" customHeight="1">
      <c r="A76" s="23" t="str">
        <f t="shared" si="8"/>
        <v xml:space="preserve">
// Neuron Linking</v>
      </c>
      <c r="B76" s="23" t="str">
        <f t="shared" si="9"/>
        <v xml:space="preserve">  // Neuron Linking</v>
      </c>
      <c r="C76" s="24" t="s">
        <v>141</v>
      </c>
      <c r="D76" s="24"/>
      <c r="E76" s="25" t="s">
        <v>285</v>
      </c>
      <c r="F76" s="26"/>
      <c r="G76" s="26"/>
      <c r="H76" s="26"/>
      <c r="I76" s="26"/>
      <c r="J76" s="24" t="str">
        <f t="shared" si="7"/>
        <v/>
      </c>
    </row>
    <row r="77" spans="1:11" s="29" customFormat="1" ht="15" customHeight="1">
      <c r="A77" s="27" t="str">
        <f t="shared" si="8"/>
        <v xml:space="preserve">
// V1V1 Linking Methods</v>
      </c>
      <c r="B77" s="27" t="str">
        <f t="shared" si="9"/>
        <v xml:space="preserve">  // V1V1 Linking Methods</v>
      </c>
      <c r="C77" s="28" t="s">
        <v>141</v>
      </c>
      <c r="D77" s="28"/>
      <c r="E77" s="29" t="s">
        <v>286</v>
      </c>
      <c r="F77" s="30"/>
      <c r="G77" s="30"/>
      <c r="H77" s="30"/>
      <c r="I77" s="30"/>
      <c r="J77" s="28" t="str">
        <f t="shared" si="7"/>
        <v/>
      </c>
    </row>
    <row r="78" spans="1:11" s="12" customFormat="1" ht="15" customHeight="1">
      <c r="A78" s="10" t="str">
        <f t="shared" si="8"/>
        <v>#define V1V1_CONNECTION_METHOD "SIM:V1V1_connection_method"
#define DEFAULT_V1V1_CONNECTION_METHOD "none"</v>
      </c>
      <c r="B78" s="10" t="str">
        <f t="shared" si="9"/>
        <v xml:space="preserve">  Variables.SetSetting(V1V1_CONNECTION_METHOD, Data_string, 1);</v>
      </c>
      <c r="C78" s="5" t="s">
        <v>155</v>
      </c>
      <c r="D78" s="5" t="s">
        <v>226</v>
      </c>
      <c r="E78" s="12" t="s">
        <v>295</v>
      </c>
      <c r="F78" s="11" t="s">
        <v>358</v>
      </c>
      <c r="G78" s="11" t="s">
        <v>163</v>
      </c>
      <c r="H78" s="11">
        <v>1</v>
      </c>
      <c r="I78" s="11" t="s">
        <v>164</v>
      </c>
      <c r="J78" s="5">
        <f t="shared" si="7"/>
        <v>1</v>
      </c>
    </row>
    <row r="79" spans="1:11" ht="15" customHeight="1">
      <c r="A79" s="4" t="str">
        <f t="shared" si="8"/>
        <v>#define V1V1_L001 "V1V1_L001"</v>
      </c>
      <c r="B79" s="10" t="str">
        <f t="shared" si="9"/>
        <v/>
      </c>
      <c r="C79" s="1" t="s">
        <v>130</v>
      </c>
      <c r="E79" t="s">
        <v>287</v>
      </c>
      <c r="I79" s="3" t="s">
        <v>288</v>
      </c>
      <c r="J79" s="1" t="str">
        <f t="shared" si="7"/>
        <v/>
      </c>
    </row>
    <row r="80" spans="1:11" s="9" customFormat="1" ht="15" customHeight="1">
      <c r="A80" s="6" t="str">
        <f t="shared" si="8"/>
        <v xml:space="preserve">
// V1V1_L001 Link Parameters</v>
      </c>
      <c r="B80" s="6" t="str">
        <f t="shared" si="9"/>
        <v xml:space="preserve">  // V1V1_L001 Link Parameters</v>
      </c>
      <c r="C80" s="7" t="s">
        <v>141</v>
      </c>
      <c r="D80" s="7"/>
      <c r="E80" s="9" t="s">
        <v>289</v>
      </c>
      <c r="F80" s="8"/>
      <c r="G80" s="8"/>
      <c r="H80" s="8"/>
      <c r="I80" s="8"/>
      <c r="J80" s="7" t="str">
        <f t="shared" si="7"/>
        <v/>
      </c>
    </row>
    <row r="81" spans="1:18" s="12" customFormat="1" ht="15" customHeight="1">
      <c r="A81" s="10" t="str">
        <f t="shared" si="8"/>
        <v>#define V1V1_L001_BASE_WEIGHT_SOURCE "SIM:V1V1_L001_base_weight_source"
#define DEFAULT_V1V1_L001_BASE_WEIGHT_SOURCE "none"</v>
      </c>
      <c r="B81" s="10" t="str">
        <f t="shared" si="9"/>
        <v xml:space="preserve">  Variables.SetSetting(V1V1_L001_BASE_WEIGHT_SOURCE, Data_string, 1);</v>
      </c>
      <c r="C81" s="5" t="s">
        <v>155</v>
      </c>
      <c r="D81" s="5" t="s">
        <v>226</v>
      </c>
      <c r="E81" s="12" t="s">
        <v>291</v>
      </c>
      <c r="F81" s="11" t="s">
        <v>357</v>
      </c>
      <c r="G81" s="11" t="s">
        <v>163</v>
      </c>
      <c r="H81" s="11">
        <v>1</v>
      </c>
      <c r="I81" s="11" t="s">
        <v>164</v>
      </c>
      <c r="J81" s="1">
        <f t="shared" si="7"/>
        <v>1</v>
      </c>
    </row>
    <row r="82" spans="1:18" ht="15" customHeight="1">
      <c r="A82" s="4" t="str">
        <f t="shared" si="8"/>
        <v>#define V1V1_L001_DEFAULT_WEIGHT "SIM:V1V1_L001_default_weight"
#define DEFAULT_V1V1_L001_DEFAULT_WEIGHT 0</v>
      </c>
      <c r="B82" s="10" t="str">
        <f t="shared" si="9"/>
        <v xml:space="preserve">  Variables.SetSetting(V1V1_L001_DEFAULT_WEIGHT, Data_double, 1);</v>
      </c>
      <c r="C82" s="1" t="s">
        <v>155</v>
      </c>
      <c r="D82" s="1" t="s">
        <v>226</v>
      </c>
      <c r="E82" s="12" t="s">
        <v>292</v>
      </c>
      <c r="F82" s="3" t="s">
        <v>356</v>
      </c>
      <c r="G82" s="3" t="s">
        <v>171</v>
      </c>
      <c r="H82" s="3">
        <v>1</v>
      </c>
      <c r="I82" s="3">
        <v>0</v>
      </c>
      <c r="J82" s="1">
        <f t="shared" si="7"/>
        <v>1</v>
      </c>
    </row>
    <row r="83" spans="1:18" ht="15" customHeight="1">
      <c r="A83" s="4" t="str">
        <f t="shared" si="8"/>
        <v/>
      </c>
      <c r="B83" s="10" t="str">
        <f t="shared" si="9"/>
        <v xml:space="preserve">  for (int i = 0; i &lt; MAX_V1_NEURONS; i++) {
    for (int j = 0; j &lt; MAX_V1_NEURONS; j++) {
      Variables.SetSetting(string("SIM:") + V1_LABEL + string("'") + IIntToString(i) + ":" + V1_LABEL + string("'") + IIntToString(j), Data_double, 1);
    }
  }</v>
      </c>
      <c r="C83" s="1" t="s">
        <v>226</v>
      </c>
      <c r="D83" s="1" t="s">
        <v>226</v>
      </c>
      <c r="E83" s="12"/>
      <c r="G83" s="3" t="s">
        <v>171</v>
      </c>
      <c r="H83" s="3">
        <v>1</v>
      </c>
      <c r="I83" s="3" t="s">
        <v>292</v>
      </c>
      <c r="J83" s="1" t="str">
        <f t="shared" si="7"/>
        <v>MAX_V1_NEURONS * MAX_V1_NEURONS</v>
      </c>
      <c r="L83">
        <v>2</v>
      </c>
      <c r="M83" t="s">
        <v>382</v>
      </c>
      <c r="N83" t="s">
        <v>160</v>
      </c>
      <c r="O83" t="s">
        <v>389</v>
      </c>
      <c r="P83" t="s">
        <v>319</v>
      </c>
      <c r="Q83" t="s">
        <v>160</v>
      </c>
      <c r="R83" t="s">
        <v>390</v>
      </c>
    </row>
    <row r="84" spans="1:18" s="29" customFormat="1" ht="15" customHeight="1">
      <c r="A84" s="27" t="str">
        <f t="shared" si="8"/>
        <v xml:space="preserve">
// MTMT Link Methods</v>
      </c>
      <c r="B84" s="27" t="str">
        <f t="shared" si="9"/>
        <v xml:space="preserve">  // MTMT Link Methods</v>
      </c>
      <c r="C84" s="28" t="s">
        <v>141</v>
      </c>
      <c r="D84" s="28"/>
      <c r="E84" s="29" t="s">
        <v>290</v>
      </c>
      <c r="F84" s="30"/>
      <c r="G84" s="30"/>
      <c r="H84" s="30"/>
      <c r="I84" s="30"/>
      <c r="J84" s="28" t="str">
        <f t="shared" si="7"/>
        <v/>
      </c>
    </row>
    <row r="85" spans="1:18" s="9" customFormat="1" ht="15" customHeight="1">
      <c r="A85" s="6" t="str">
        <f t="shared" si="8"/>
        <v xml:space="preserve">
// None</v>
      </c>
      <c r="B85" s="6" t="str">
        <f t="shared" si="9"/>
        <v xml:space="preserve">  // None</v>
      </c>
      <c r="C85" s="7" t="s">
        <v>141</v>
      </c>
      <c r="D85" s="7"/>
      <c r="E85" s="9" t="s">
        <v>279</v>
      </c>
      <c r="F85" s="8"/>
      <c r="G85" s="8"/>
      <c r="H85" s="8"/>
      <c r="I85" s="8"/>
      <c r="J85" s="7" t="str">
        <f t="shared" ref="J85:J120" si="10">IF(OR(C85="P",C85="S"),IF(L85="",1,IF(L85=1,N85,IF(L85=2,N85&amp;" * "&amp;Q85,"ERROR"))),"")</f>
        <v/>
      </c>
    </row>
    <row r="86" spans="1:18" s="29" customFormat="1" ht="15" customHeight="1">
      <c r="A86" s="27" t="str">
        <f t="shared" si="8"/>
        <v xml:space="preserve">
// V1MT Linking Methods</v>
      </c>
      <c r="B86" s="27" t="str">
        <f t="shared" si="9"/>
        <v xml:space="preserve">  // V1MT Linking Methods</v>
      </c>
      <c r="C86" s="28" t="s">
        <v>141</v>
      </c>
      <c r="D86" s="28"/>
      <c r="E86" s="29" t="s">
        <v>293</v>
      </c>
      <c r="F86" s="30"/>
      <c r="G86" s="30"/>
      <c r="H86" s="30"/>
      <c r="I86" s="30"/>
      <c r="J86" s="28" t="str">
        <f t="shared" si="10"/>
        <v/>
      </c>
    </row>
    <row r="87" spans="1:18" s="12" customFormat="1" ht="15" customHeight="1">
      <c r="A87" s="10" t="str">
        <f t="shared" si="8"/>
        <v>#define V1MT_CONNECTION_METHOD "SIM:V1MT_connection_method"
#define DEFAULT_V1MT_CONNECTION_METHOD "none"</v>
      </c>
      <c r="B87" s="10" t="str">
        <f t="shared" si="9"/>
        <v xml:space="preserve">  Variables.SetSetting(V1MT_CONNECTION_METHOD, Data_string, 1);</v>
      </c>
      <c r="C87" s="5" t="s">
        <v>155</v>
      </c>
      <c r="D87" s="5" t="s">
        <v>226</v>
      </c>
      <c r="E87" s="12" t="s">
        <v>218</v>
      </c>
      <c r="F87" s="11" t="s">
        <v>355</v>
      </c>
      <c r="G87" s="11" t="s">
        <v>163</v>
      </c>
      <c r="H87" s="11">
        <v>1</v>
      </c>
      <c r="I87" s="11" t="s">
        <v>164</v>
      </c>
      <c r="J87" s="1">
        <f t="shared" si="10"/>
        <v>1</v>
      </c>
    </row>
    <row r="88" spans="1:18" s="12" customFormat="1" ht="15" customHeight="1">
      <c r="A88" s="10" t="str">
        <f t="shared" si="8"/>
        <v>#define V1MT_L001 "V1MT_L001"</v>
      </c>
      <c r="B88" s="10" t="str">
        <f t="shared" si="9"/>
        <v/>
      </c>
      <c r="C88" s="5" t="s">
        <v>130</v>
      </c>
      <c r="D88" s="5"/>
      <c r="E88" s="12" t="s">
        <v>219</v>
      </c>
      <c r="F88" s="11"/>
      <c r="G88" s="11"/>
      <c r="H88" s="11"/>
      <c r="I88" s="11" t="s">
        <v>220</v>
      </c>
      <c r="J88" s="5" t="str">
        <f t="shared" si="10"/>
        <v/>
      </c>
    </row>
    <row r="89" spans="1:18" s="9" customFormat="1" ht="15" customHeight="1">
      <c r="A89" s="6" t="str">
        <f t="shared" si="8"/>
        <v xml:space="preserve">
// V1MT_L001 Link Parameters</v>
      </c>
      <c r="B89" s="6" t="str">
        <f t="shared" si="9"/>
        <v xml:space="preserve">  // V1MT_L001 Link Parameters</v>
      </c>
      <c r="C89" s="7" t="s">
        <v>141</v>
      </c>
      <c r="D89" s="7"/>
      <c r="E89" s="9" t="s">
        <v>294</v>
      </c>
      <c r="F89" s="8"/>
      <c r="G89" s="8"/>
      <c r="H89" s="8"/>
      <c r="I89" s="8"/>
      <c r="J89" s="7" t="str">
        <f t="shared" si="10"/>
        <v/>
      </c>
    </row>
    <row r="90" spans="1:18" s="12" customFormat="1" ht="15" customHeight="1">
      <c r="A90" s="10" t="str">
        <f t="shared" si="8"/>
        <v>#define V1MT_L001_APERTURE "SIM:V1MT_L001_aperture"
#define DEFAULT_V1MT_L001_APERTURE 45.0 + 1.0</v>
      </c>
      <c r="B90" s="10" t="str">
        <f t="shared" si="9"/>
        <v xml:space="preserve">  Variables.SetSetting(V1MT_L001_APERTURE, Data_double, 1);</v>
      </c>
      <c r="C90" s="5" t="s">
        <v>155</v>
      </c>
      <c r="D90" s="5" t="s">
        <v>226</v>
      </c>
      <c r="E90" s="12" t="s">
        <v>221</v>
      </c>
      <c r="F90" s="11" t="s">
        <v>354</v>
      </c>
      <c r="G90" s="11" t="s">
        <v>171</v>
      </c>
      <c r="H90" s="11">
        <v>1</v>
      </c>
      <c r="I90" s="11" t="s">
        <v>321</v>
      </c>
      <c r="J90" s="5">
        <f t="shared" si="10"/>
        <v>1</v>
      </c>
    </row>
    <row r="91" spans="1:18" s="12" customFormat="1" ht="15" customHeight="1">
      <c r="A91" s="10" t="str">
        <f t="shared" si="8"/>
        <v>#define V1MT_L001_AMPLIFICATION "SIM:V1MT_L001_amplification"
#define DEFAULT_V1MT_L001_AMPLIFICATION 1</v>
      </c>
      <c r="B91" s="10" t="str">
        <f t="shared" si="9"/>
        <v xml:space="preserve">  Variables.SetSetting(V1MT_L001_AMPLIFICATION, Data_double, 1);</v>
      </c>
      <c r="C91" s="5" t="s">
        <v>155</v>
      </c>
      <c r="D91" s="5" t="s">
        <v>226</v>
      </c>
      <c r="E91" s="12" t="s">
        <v>222</v>
      </c>
      <c r="F91" s="11" t="s">
        <v>353</v>
      </c>
      <c r="G91" s="11" t="s">
        <v>171</v>
      </c>
      <c r="H91" s="11">
        <v>1</v>
      </c>
      <c r="I91" s="11">
        <v>1</v>
      </c>
      <c r="J91" s="5">
        <f t="shared" si="10"/>
        <v>1</v>
      </c>
    </row>
    <row r="92" spans="1:18" s="12" customFormat="1" ht="15" customHeight="1">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Data_double, 1);</v>
      </c>
      <c r="C92" s="5" t="s">
        <v>155</v>
      </c>
      <c r="D92" s="5" t="s">
        <v>226</v>
      </c>
      <c r="E92" s="12" t="s">
        <v>223</v>
      </c>
      <c r="F92" s="11" t="s">
        <v>352</v>
      </c>
      <c r="G92" s="11" t="s">
        <v>171</v>
      </c>
      <c r="H92" s="11">
        <v>1</v>
      </c>
      <c r="I92" s="34" t="s">
        <v>265</v>
      </c>
      <c r="J92" s="35">
        <f t="shared" si="10"/>
        <v>1</v>
      </c>
    </row>
    <row r="93" spans="1:18" s="12" customFormat="1" ht="15" customHeight="1">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Data_double, 1);</v>
      </c>
      <c r="C93" s="5" t="s">
        <v>155</v>
      </c>
      <c r="D93" s="5" t="s">
        <v>226</v>
      </c>
      <c r="E93" s="12" t="s">
        <v>224</v>
      </c>
      <c r="F93" s="11" t="s">
        <v>351</v>
      </c>
      <c r="G93" s="11" t="s">
        <v>171</v>
      </c>
      <c r="H93" s="11">
        <v>1</v>
      </c>
      <c r="I93" s="36">
        <v>5.33648681640625</v>
      </c>
      <c r="J93" s="37">
        <f t="shared" si="10"/>
        <v>1</v>
      </c>
    </row>
    <row r="94" spans="1:18" s="25" customFormat="1" ht="15" customHeight="1">
      <c r="A94" s="23" t="str">
        <f t="shared" si="11"/>
        <v xml:space="preserve">
// Defines</v>
      </c>
      <c r="B94" s="23" t="str">
        <f t="shared" si="12"/>
        <v xml:space="preserve">  // Defines</v>
      </c>
      <c r="C94" s="24" t="s">
        <v>141</v>
      </c>
      <c r="D94" s="24"/>
      <c r="E94" s="25" t="s">
        <v>296</v>
      </c>
      <c r="F94" s="26"/>
      <c r="G94" s="26"/>
      <c r="H94" s="26"/>
      <c r="I94" s="26"/>
      <c r="J94" s="24" t="str">
        <f t="shared" si="10"/>
        <v/>
      </c>
    </row>
    <row r="95" spans="1:18" s="9" customFormat="1" ht="15" customHeight="1">
      <c r="A95" s="6" t="str">
        <f t="shared" si="11"/>
        <v xml:space="preserve">
// Simulator Defines</v>
      </c>
      <c r="B95" s="6" t="str">
        <f t="shared" si="12"/>
        <v xml:space="preserve">  // Simulator Defines</v>
      </c>
      <c r="C95" s="7" t="s">
        <v>141</v>
      </c>
      <c r="D95" s="7"/>
      <c r="E95" s="9" t="s">
        <v>187</v>
      </c>
      <c r="F95" s="8"/>
      <c r="G95" s="8"/>
      <c r="H95" s="8"/>
      <c r="I95" s="8"/>
      <c r="J95" s="7" t="str">
        <f t="shared" si="10"/>
        <v/>
      </c>
    </row>
    <row r="96" spans="1:18" ht="15" customHeight="1">
      <c r="A96" s="4" t="str">
        <f t="shared" si="11"/>
        <v>#define SIMULATOR_TIME_STEP "SIM:simulator_time_step"
#define DEFAULT_SIMULATOR_TIME_STEP 0.005</v>
      </c>
      <c r="B96" s="10" t="str">
        <f t="shared" si="12"/>
        <v xml:space="preserve">  Variables.SetSetting(SIMULATOR_TIME_STEP, Data_double, 1);</v>
      </c>
      <c r="C96" s="1" t="s">
        <v>155</v>
      </c>
      <c r="D96" s="1" t="s">
        <v>226</v>
      </c>
      <c r="E96" s="12" t="s">
        <v>188</v>
      </c>
      <c r="F96" s="3" t="s">
        <v>381</v>
      </c>
      <c r="G96" s="3" t="s">
        <v>171</v>
      </c>
      <c r="H96" s="3">
        <v>1</v>
      </c>
      <c r="I96" s="3">
        <v>5.0000000000000001E-3</v>
      </c>
      <c r="J96" s="1">
        <f t="shared" si="10"/>
        <v>1</v>
      </c>
    </row>
    <row r="97" spans="1:10" s="12" customFormat="1" ht="15" customHeight="1">
      <c r="A97" s="10" t="str">
        <f t="shared" si="11"/>
        <v>#define CALCULATE_ACTIVATION "activation"</v>
      </c>
      <c r="B97" s="10" t="str">
        <f t="shared" si="12"/>
        <v/>
      </c>
      <c r="C97" s="5" t="s">
        <v>130</v>
      </c>
      <c r="D97" s="5"/>
      <c r="E97" s="12" t="s">
        <v>300</v>
      </c>
      <c r="F97" s="11"/>
      <c r="G97" s="11"/>
      <c r="H97" s="11"/>
      <c r="I97" s="11" t="s">
        <v>302</v>
      </c>
      <c r="J97" s="5" t="str">
        <f t="shared" si="10"/>
        <v/>
      </c>
    </row>
    <row r="98" spans="1:10" s="12" customFormat="1" ht="15" customHeight="1">
      <c r="A98" s="10" t="str">
        <f t="shared" si="11"/>
        <v>#define CALCULATE_DACTIVATION "dactivation"</v>
      </c>
      <c r="B98" s="10" t="str">
        <f t="shared" si="12"/>
        <v/>
      </c>
      <c r="C98" s="5" t="s">
        <v>130</v>
      </c>
      <c r="D98" s="5"/>
      <c r="E98" s="12" t="s">
        <v>301</v>
      </c>
      <c r="F98" s="11"/>
      <c r="G98" s="11"/>
      <c r="H98" s="11"/>
      <c r="I98" s="11" t="s">
        <v>303</v>
      </c>
      <c r="J98" s="5" t="str">
        <f t="shared" si="10"/>
        <v/>
      </c>
    </row>
    <row r="99" spans="1:10" s="9" customFormat="1" ht="15" customHeight="1">
      <c r="A99" s="6" t="str">
        <f t="shared" si="11"/>
        <v xml:space="preserve">
// Interface Defines</v>
      </c>
      <c r="B99" s="6" t="str">
        <f t="shared" si="12"/>
        <v xml:space="preserve">  // Interface Defines</v>
      </c>
      <c r="C99" s="7" t="s">
        <v>141</v>
      </c>
      <c r="D99" s="7"/>
      <c r="E99" s="9" t="s">
        <v>189</v>
      </c>
      <c r="F99" s="8"/>
      <c r="G99" s="8"/>
      <c r="H99" s="8"/>
      <c r="I99" s="8"/>
      <c r="J99" s="7" t="str">
        <f t="shared" si="10"/>
        <v/>
      </c>
    </row>
    <row r="100" spans="1:10" s="12" customFormat="1" ht="15" customHeight="1">
      <c r="A100" s="10" t="str">
        <f t="shared" si="11"/>
        <v>#define LABEL_DONE "DONE"</v>
      </c>
      <c r="B100" s="10" t="str">
        <f t="shared" si="12"/>
        <v/>
      </c>
      <c r="C100" s="5" t="s">
        <v>130</v>
      </c>
      <c r="D100" s="5"/>
      <c r="E100" s="12" t="s">
        <v>190</v>
      </c>
      <c r="F100" s="11"/>
      <c r="G100" s="11"/>
      <c r="H100" s="11"/>
      <c r="I100" s="11" t="s">
        <v>191</v>
      </c>
      <c r="J100" s="5" t="str">
        <f t="shared" si="10"/>
        <v/>
      </c>
    </row>
    <row r="101" spans="1:10" s="12" customFormat="1" ht="15" customHeight="1">
      <c r="A101" s="10" t="str">
        <f t="shared" si="11"/>
        <v>#define LABEL_FAIL "FAIL"</v>
      </c>
      <c r="B101" s="10" t="str">
        <f t="shared" si="12"/>
        <v/>
      </c>
      <c r="C101" s="5" t="s">
        <v>130</v>
      </c>
      <c r="D101" s="5"/>
      <c r="E101" s="12" t="s">
        <v>217</v>
      </c>
      <c r="F101" s="11"/>
      <c r="G101" s="11"/>
      <c r="H101" s="11"/>
      <c r="I101" s="11" t="s">
        <v>192</v>
      </c>
      <c r="J101" s="5" t="str">
        <f t="shared" si="10"/>
        <v/>
      </c>
    </row>
    <row r="102" spans="1:10" ht="15" customHeight="1">
      <c r="A102" s="4" t="str">
        <f t="shared" si="11"/>
        <v>#define LABEL_COMMENT_STRING "#"</v>
      </c>
      <c r="B102" s="10" t="str">
        <f t="shared" si="12"/>
        <v/>
      </c>
      <c r="C102" s="1" t="s">
        <v>130</v>
      </c>
      <c r="E102" t="s">
        <v>203</v>
      </c>
      <c r="I102" s="3" t="s">
        <v>206</v>
      </c>
      <c r="J102" s="1" t="str">
        <f t="shared" si="10"/>
        <v/>
      </c>
    </row>
    <row r="103" spans="1:10" ht="15" customHeight="1">
      <c r="A103" s="4" t="str">
        <f t="shared" si="11"/>
        <v>#define LABEL_COMMENT_CHAR '#'</v>
      </c>
      <c r="B103" s="10" t="str">
        <f t="shared" si="12"/>
        <v/>
      </c>
      <c r="C103" s="1" t="s">
        <v>130</v>
      </c>
      <c r="E103" t="s">
        <v>204</v>
      </c>
      <c r="I103" s="3" t="s">
        <v>205</v>
      </c>
      <c r="J103" s="1" t="str">
        <f t="shared" si="10"/>
        <v/>
      </c>
    </row>
    <row r="104" spans="1:10" ht="15" customHeight="1">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130</v>
      </c>
      <c r="E104" t="s">
        <v>384</v>
      </c>
      <c r="I104" s="3" t="s">
        <v>386</v>
      </c>
    </row>
    <row r="105" spans="1:10" ht="15" customHeight="1">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130</v>
      </c>
      <c r="E105" t="s">
        <v>385</v>
      </c>
      <c r="I105" s="14" t="s">
        <v>387</v>
      </c>
    </row>
    <row r="106" spans="1:10" ht="15" customHeight="1">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130</v>
      </c>
      <c r="E106" t="s">
        <v>400</v>
      </c>
      <c r="I106" s="14" t="s">
        <v>386</v>
      </c>
    </row>
    <row r="107" spans="1:10" ht="15" customHeight="1">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130</v>
      </c>
      <c r="E107" t="s">
        <v>401</v>
      </c>
      <c r="I107" s="14" t="s">
        <v>402</v>
      </c>
    </row>
    <row r="108" spans="1:10" s="9" customFormat="1" ht="15" customHeight="1">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141</v>
      </c>
      <c r="D108" s="7"/>
      <c r="E108" s="9" t="s">
        <v>334</v>
      </c>
      <c r="F108" s="8"/>
      <c r="G108" s="8"/>
      <c r="H108" s="8"/>
      <c r="I108" s="8"/>
      <c r="J108" s="7" t="str">
        <f>IF(OR(C108="P",C108="S"),IF(L108="",1,IF(L108=1,N108,IF(L108=2,N108&amp;" * "&amp;Q108,"ERROR"))),"")</f>
        <v/>
      </c>
    </row>
    <row r="109" spans="1:10" ht="15" customHeight="1">
      <c r="A109" s="4" t="str">
        <f t="shared" si="11"/>
        <v>#define LABEL_VARIABLE_MANAGEMENT "varman"</v>
      </c>
      <c r="B109" s="10" t="str">
        <f t="shared" si="12"/>
        <v/>
      </c>
      <c r="C109" s="1" t="s">
        <v>130</v>
      </c>
      <c r="E109" t="s">
        <v>333</v>
      </c>
      <c r="I109" s="3" t="s">
        <v>337</v>
      </c>
      <c r="J109" s="1" t="str">
        <f>IF(OR(C109="P",C109="S"),IF(L109="",1,IF(L109=1,N109,IF(L109=2,N109&amp;" * "&amp;Q109,"ERROR"))),"")</f>
        <v/>
      </c>
    </row>
    <row r="110" spans="1:10" ht="15" customHeight="1">
      <c r="A110" s="4" t="str">
        <f t="shared" si="11"/>
        <v>#define VARMAN_SET "set"</v>
      </c>
      <c r="B110" s="10" t="str">
        <f t="shared" si="12"/>
        <v/>
      </c>
      <c r="C110" s="1" t="s">
        <v>130</v>
      </c>
      <c r="E110" t="s">
        <v>335</v>
      </c>
      <c r="I110" s="3" t="s">
        <v>336</v>
      </c>
      <c r="J110" s="1" t="str">
        <f>IF(OR(C110="P",C110="S"),IF(L110="",1,IF(L110=1,N110,IF(L110=2,N110&amp;" * "&amp;Q110,"ERROR"))),"")</f>
        <v/>
      </c>
    </row>
    <row r="111" spans="1:10" ht="15" customHeight="1">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130</v>
      </c>
      <c r="E111" t="s">
        <v>347</v>
      </c>
      <c r="I111" s="3" t="s">
        <v>349</v>
      </c>
    </row>
    <row r="112" spans="1:10" s="9" customFormat="1" ht="15" customHeight="1">
      <c r="A112" s="6" t="str">
        <f t="shared" si="11"/>
        <v xml:space="preserve">
// Run Simulation Calls</v>
      </c>
      <c r="B112" s="6" t="str">
        <f t="shared" si="12"/>
        <v xml:space="preserve">  // Run Simulation Calls</v>
      </c>
      <c r="C112" s="7" t="s">
        <v>141</v>
      </c>
      <c r="D112" s="7"/>
      <c r="E112" s="9" t="s">
        <v>207</v>
      </c>
      <c r="F112" s="8"/>
      <c r="G112" s="8"/>
      <c r="H112" s="8"/>
      <c r="I112" s="8"/>
      <c r="J112" s="7" t="str">
        <f t="shared" si="10"/>
        <v/>
      </c>
    </row>
    <row r="113" spans="1:10" ht="15" customHeight="1">
      <c r="A113" s="4" t="str">
        <f t="shared" si="11"/>
        <v>#define LABEL_RUN_SIMULATION "runsim"</v>
      </c>
      <c r="B113" s="10" t="str">
        <f t="shared" si="12"/>
        <v/>
      </c>
      <c r="C113" s="1" t="s">
        <v>130</v>
      </c>
      <c r="E113" t="s">
        <v>195</v>
      </c>
      <c r="I113" s="3" t="s">
        <v>200</v>
      </c>
      <c r="J113" s="1" t="str">
        <f t="shared" si="10"/>
        <v/>
      </c>
    </row>
    <row r="114" spans="1:10" ht="15" customHeight="1">
      <c r="A114" s="4" t="str">
        <f t="shared" si="11"/>
        <v>#define RUNSIM_SS_INITIALIZE "ss_initialize"</v>
      </c>
      <c r="B114" s="10" t="str">
        <f t="shared" si="12"/>
        <v/>
      </c>
      <c r="C114" s="1" t="s">
        <v>130</v>
      </c>
      <c r="E114" t="s">
        <v>339</v>
      </c>
      <c r="I114" s="3" t="s">
        <v>253</v>
      </c>
      <c r="J114" s="1" t="str">
        <f t="shared" si="10"/>
        <v/>
      </c>
    </row>
    <row r="115" spans="1:10" ht="15" customHeight="1">
      <c r="A115" s="4" t="str">
        <f t="shared" si="11"/>
        <v>#define RUNSIM_SS_ADD_V1_DIFFUSION "ss_add_V1_diffusion"</v>
      </c>
      <c r="B115" s="10" t="str">
        <f t="shared" si="12"/>
        <v/>
      </c>
      <c r="C115" s="1" t="s">
        <v>130</v>
      </c>
      <c r="E115" t="s">
        <v>340</v>
      </c>
      <c r="I115" s="3" t="s">
        <v>254</v>
      </c>
      <c r="J115" s="1" t="str">
        <f t="shared" si="10"/>
        <v/>
      </c>
    </row>
    <row r="116" spans="1:10" ht="15" customHeight="1">
      <c r="A116" s="4" t="str">
        <f t="shared" si="11"/>
        <v>#define RUNSIM_SS_SIMULATE "ss_simulate"</v>
      </c>
      <c r="B116" s="10" t="str">
        <f t="shared" si="12"/>
        <v/>
      </c>
      <c r="C116" s="1" t="s">
        <v>130</v>
      </c>
      <c r="E116" t="s">
        <v>341</v>
      </c>
      <c r="I116" s="3" t="s">
        <v>255</v>
      </c>
      <c r="J116" s="1" t="str">
        <f t="shared" si="10"/>
        <v/>
      </c>
    </row>
    <row r="117" spans="1:10" s="9" customFormat="1" ht="15" customHeight="1">
      <c r="A117" s="6" t="str">
        <f t="shared" si="11"/>
        <v xml:space="preserve">
// Reporting Calls</v>
      </c>
      <c r="B117" s="6" t="str">
        <f t="shared" si="12"/>
        <v xml:space="preserve">  // Reporting Calls</v>
      </c>
      <c r="C117" s="7" t="s">
        <v>141</v>
      </c>
      <c r="D117" s="7"/>
      <c r="E117" s="9" t="s">
        <v>208</v>
      </c>
      <c r="F117" s="8"/>
      <c r="G117" s="8"/>
      <c r="H117" s="8"/>
      <c r="I117" s="8"/>
      <c r="J117" s="7" t="str">
        <f t="shared" si="10"/>
        <v/>
      </c>
    </row>
    <row r="118" spans="1:10" ht="15" customHeight="1">
      <c r="A118" s="4" t="str">
        <f t="shared" si="11"/>
        <v>#define LABEL_REPORTING "report"</v>
      </c>
      <c r="B118" s="10" t="str">
        <f t="shared" si="12"/>
        <v/>
      </c>
      <c r="C118" s="1" t="s">
        <v>130</v>
      </c>
      <c r="E118" t="s">
        <v>196</v>
      </c>
      <c r="I118" s="3" t="s">
        <v>201</v>
      </c>
      <c r="J118" s="1" t="str">
        <f t="shared" si="10"/>
        <v/>
      </c>
    </row>
    <row r="119" spans="1:10" ht="15" customHeight="1">
      <c r="A119" s="4" t="str">
        <f t="shared" si="11"/>
        <v>#define REPORT_SS_PRINT_V1_ACTIVATION "ss_print_V1_activation"</v>
      </c>
      <c r="B119" s="10" t="str">
        <f t="shared" si="12"/>
        <v/>
      </c>
      <c r="C119" s="1" t="s">
        <v>130</v>
      </c>
      <c r="E119" t="s">
        <v>342</v>
      </c>
      <c r="I119" s="3" t="s">
        <v>258</v>
      </c>
      <c r="J119" s="1" t="str">
        <f t="shared" si="10"/>
        <v/>
      </c>
    </row>
    <row r="120" spans="1:10" ht="15" customHeight="1">
      <c r="A120" s="4" t="str">
        <f t="shared" si="11"/>
        <v>#define REPORT_SS_PRINT_V1_ACTIVATION_HORIZONTAL "ss_print_V1_activation_horizontal"</v>
      </c>
      <c r="B120" s="10" t="str">
        <f t="shared" si="12"/>
        <v/>
      </c>
      <c r="C120" s="1" t="s">
        <v>130</v>
      </c>
      <c r="E120" t="s">
        <v>343</v>
      </c>
      <c r="I120" s="3" t="s">
        <v>259</v>
      </c>
      <c r="J120" s="1" t="str">
        <f t="shared" si="10"/>
        <v/>
      </c>
    </row>
    <row r="121" spans="1:10" ht="15" customHeight="1">
      <c r="A121" s="4" t="str">
        <f t="shared" si="11"/>
        <v>#define REPORT_SS_PRINT_V1_EXTERNAL_EXCITATION "ss_print_V1_external_excitation"</v>
      </c>
      <c r="B121" s="10" t="str">
        <f t="shared" si="12"/>
        <v/>
      </c>
      <c r="C121" s="1" t="s">
        <v>130</v>
      </c>
      <c r="E121" t="s">
        <v>344</v>
      </c>
      <c r="I121" s="3" t="s">
        <v>260</v>
      </c>
      <c r="J121" s="1" t="str">
        <f t="shared" ref="J121:J132" si="13">IF(OR(C121="P",C121="S"),IF(L121="",1,IF(L121=1,N121,IF(L121=2,N121&amp;" * "&amp;Q121,"ERROR"))),"")</f>
        <v/>
      </c>
    </row>
    <row r="122" spans="1:10" ht="15" customHeight="1">
      <c r="A122" s="4" t="str">
        <f t="shared" si="11"/>
        <v>#define REPORT_SS_PRINT_MT_ACTIVATION "ss_print_MT_activation"</v>
      </c>
      <c r="B122" s="10" t="str">
        <f t="shared" si="12"/>
        <v/>
      </c>
      <c r="C122" s="1" t="s">
        <v>130</v>
      </c>
      <c r="E122" t="s">
        <v>345</v>
      </c>
      <c r="I122" s="3" t="s">
        <v>261</v>
      </c>
      <c r="J122" s="1" t="str">
        <f t="shared" si="13"/>
        <v/>
      </c>
    </row>
    <row r="123" spans="1:10" ht="15" customHeight="1">
      <c r="A123" s="4" t="str">
        <f t="shared" si="11"/>
        <v>#define REPORT_SS_PRINT_MT_ACTIVATION_HORIZONTAL "ss_print_MT_activation_horizontal"</v>
      </c>
      <c r="B123" s="10" t="str">
        <f t="shared" si="12"/>
        <v/>
      </c>
      <c r="C123" s="1" t="s">
        <v>130</v>
      </c>
      <c r="E123" t="s">
        <v>346</v>
      </c>
      <c r="I123" s="3" t="s">
        <v>262</v>
      </c>
      <c r="J123" s="1" t="str">
        <f t="shared" si="13"/>
        <v/>
      </c>
    </row>
    <row r="124" spans="1:10" s="9" customFormat="1" ht="15" customHeight="1">
      <c r="A124" s="6" t="str">
        <f t="shared" si="11"/>
        <v xml:space="preserve">
// IO Interaction Calls</v>
      </c>
      <c r="B124" s="6" t="str">
        <f t="shared" si="12"/>
        <v xml:space="preserve">  // IO Interaction Calls</v>
      </c>
      <c r="C124" s="7" t="s">
        <v>141</v>
      </c>
      <c r="D124" s="7"/>
      <c r="E124" s="9" t="s">
        <v>211</v>
      </c>
      <c r="F124" s="8"/>
      <c r="G124" s="8"/>
      <c r="H124" s="8"/>
      <c r="I124" s="8"/>
      <c r="J124" s="7" t="str">
        <f t="shared" si="13"/>
        <v/>
      </c>
    </row>
    <row r="125" spans="1:10" ht="15" customHeight="1">
      <c r="A125" s="4" t="str">
        <f t="shared" si="11"/>
        <v>#define LABEL_IO_INTERACTIONS "rescue"</v>
      </c>
      <c r="B125" s="10" t="str">
        <f t="shared" si="12"/>
        <v/>
      </c>
      <c r="C125" s="1" t="s">
        <v>130</v>
      </c>
      <c r="E125" t="s">
        <v>197</v>
      </c>
      <c r="I125" s="3" t="s">
        <v>202</v>
      </c>
      <c r="J125" s="1" t="str">
        <f t="shared" si="13"/>
        <v/>
      </c>
    </row>
    <row r="126" spans="1:10" ht="15" customHeight="1">
      <c r="A126" s="4" t="str">
        <f t="shared" si="11"/>
        <v>#define RESCUE_NPROC "nproc"</v>
      </c>
      <c r="B126" s="10" t="str">
        <f t="shared" si="12"/>
        <v/>
      </c>
      <c r="C126" s="1" t="s">
        <v>130</v>
      </c>
      <c r="E126" t="s">
        <v>350</v>
      </c>
      <c r="I126" s="3" t="s">
        <v>263</v>
      </c>
      <c r="J126" s="1" t="str">
        <f t="shared" si="13"/>
        <v/>
      </c>
    </row>
    <row r="127" spans="1:10" ht="15" customHeight="1">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130</v>
      </c>
      <c r="E127" t="s">
        <v>397</v>
      </c>
      <c r="I127" s="3" t="s">
        <v>399</v>
      </c>
    </row>
    <row r="128" spans="1:10" s="21" customFormat="1" ht="15" customHeight="1">
      <c r="A128" s="19"/>
      <c r="B128" s="18" t="str">
        <f t="shared" si="12"/>
        <v/>
      </c>
      <c r="C128" s="20"/>
      <c r="D128" s="20"/>
      <c r="E128" s="21" t="s">
        <v>251</v>
      </c>
      <c r="F128" s="22"/>
      <c r="G128" s="22"/>
      <c r="H128" s="22"/>
      <c r="I128" s="22"/>
      <c r="J128" s="20" t="str">
        <f t="shared" si="13"/>
        <v/>
      </c>
    </row>
    <row r="129" spans="1:11" ht="15" customHeight="1">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130</v>
      </c>
      <c r="E129" t="s">
        <v>212</v>
      </c>
      <c r="I129" s="3" t="s">
        <v>213</v>
      </c>
      <c r="J129" s="1" t="str">
        <f t="shared" si="13"/>
        <v/>
      </c>
    </row>
    <row r="130" spans="1:11" s="12" customFormat="1" ht="15" customHeight="1">
      <c r="A130" s="10" t="str">
        <f t="shared" si="14"/>
        <v>#define HASH_SIZE 2097152</v>
      </c>
      <c r="B130" s="10" t="str">
        <f t="shared" si="12"/>
        <v/>
      </c>
      <c r="C130" s="5" t="s">
        <v>130</v>
      </c>
      <c r="D130" s="5"/>
      <c r="E130" s="12" t="s">
        <v>145</v>
      </c>
      <c r="F130" s="11"/>
      <c r="G130" s="11"/>
      <c r="H130" s="11"/>
      <c r="I130" s="11">
        <v>2097152</v>
      </c>
      <c r="J130" s="5" t="str">
        <f t="shared" si="13"/>
        <v/>
      </c>
      <c r="K130" s="12" t="s">
        <v>239</v>
      </c>
    </row>
    <row r="131" spans="1:11" ht="15" customHeight="1">
      <c r="A131" s="4" t="str">
        <f t="shared" si="14"/>
        <v>#define LABEL_ENVIRONMENT_SETTINGS "setenv"</v>
      </c>
      <c r="B131" s="10" t="str">
        <f t="shared" si="12"/>
        <v/>
      </c>
      <c r="C131" s="1" t="s">
        <v>130</v>
      </c>
      <c r="E131" t="s">
        <v>193</v>
      </c>
      <c r="I131" s="3" t="s">
        <v>198</v>
      </c>
      <c r="J131" s="1" t="str">
        <f t="shared" si="13"/>
        <v/>
      </c>
    </row>
    <row r="132" spans="1:11" ht="15" customHeight="1">
      <c r="A132" s="4" t="str">
        <f t="shared" si="14"/>
        <v>#define LABEL_SIMULATOR_SETTINGS "setsim"</v>
      </c>
      <c r="B132" s="10" t="str">
        <f t="shared" si="12"/>
        <v/>
      </c>
      <c r="C132" s="1" t="s">
        <v>130</v>
      </c>
      <c r="E132" t="s">
        <v>194</v>
      </c>
      <c r="I132" s="3" t="s">
        <v>199</v>
      </c>
      <c r="J132" s="1" t="str">
        <f t="shared" si="13"/>
        <v/>
      </c>
    </row>
    <row r="133" spans="1:11" ht="15" customHeight="1">
      <c r="A133" s="4" t="str">
        <f t="shared" si="14"/>
        <v>#define PRINT_ENV "print_env"</v>
      </c>
      <c r="B133" s="10" t="str">
        <f t="shared" si="12"/>
        <v/>
      </c>
      <c r="C133" s="1" t="s">
        <v>130</v>
      </c>
      <c r="E133" t="s">
        <v>209</v>
      </c>
      <c r="I133" s="3" t="s">
        <v>256</v>
      </c>
      <c r="J133" s="1" t="str">
        <f>IF(OR(C133="P",C133="S"),IF(L133="",1,IF(L133=1,N133,IF(L133=2,N133&amp;" * "&amp;Q133,"ERROR"))),"")</f>
        <v/>
      </c>
    </row>
    <row r="134" spans="1:11" ht="15" customHeight="1">
      <c r="A134" s="4" t="str">
        <f t="shared" si="14"/>
        <v>#define PRINT_SIM "print_sim"</v>
      </c>
      <c r="B134" s="10" t="str">
        <f t="shared" si="12"/>
        <v/>
      </c>
      <c r="C134" s="1" t="s">
        <v>130</v>
      </c>
      <c r="E134" t="s">
        <v>210</v>
      </c>
      <c r="I134" s="3" t="s">
        <v>257</v>
      </c>
      <c r="J134" s="1" t="str">
        <f>IF(OR(C134="P",C134="S"),IF(L134="",1,IF(L134=1,N134,IF(L134=2,N134&amp;" * "&amp;Q134,"ERROR"))),"")</f>
        <v/>
      </c>
    </row>
    <row r="135" spans="1:11" ht="15" customHeight="1">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130</v>
      </c>
      <c r="E135" s="13" t="s">
        <v>232</v>
      </c>
      <c r="I135" s="3">
        <v>6</v>
      </c>
      <c r="J135" s="1" t="str">
        <f>IF(OR(C135="P",C135="S"),IF(L135="",1,IF(L135=1,N135,IF(L135=2,N135&amp;" * "&amp;Q135,"ERROR"))),"")</f>
        <v/>
      </c>
      <c r="K135" t="s">
        <v>161</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C1" sqref="C1"/>
    </sheetView>
  </sheetViews>
  <sheetFormatPr baseColWidth="10" defaultRowHeight="14" x14ac:dyDescent="0"/>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c r="A1" s="1">
        <v>0</v>
      </c>
      <c r="B1" s="1" t="s">
        <v>579</v>
      </c>
      <c r="D1" s="89">
        <f>A1+32</f>
        <v>32</v>
      </c>
      <c r="E1" s="89" t="str">
        <f>CHAR(D1)</f>
        <v xml:space="preserve"> </v>
      </c>
      <c r="F1" s="90" t="s">
        <v>588</v>
      </c>
      <c r="G1" s="1">
        <f>D1+32</f>
        <v>64</v>
      </c>
      <c r="H1" s="1" t="str">
        <f>CHAR(G1)</f>
        <v>@</v>
      </c>
      <c r="J1" s="1">
        <f>G1+32</f>
        <v>96</v>
      </c>
      <c r="K1" s="1" t="str">
        <f>CHAR(J1)</f>
        <v>`</v>
      </c>
      <c r="M1" s="1">
        <f>J1+32</f>
        <v>128</v>
      </c>
      <c r="N1" s="1" t="str">
        <f>CHAR(M1)</f>
        <v>Ä</v>
      </c>
      <c r="P1" s="1">
        <f>M1+32</f>
        <v>160</v>
      </c>
      <c r="Q1" s="1" t="str">
        <f>CHAR(P1)</f>
        <v>†</v>
      </c>
      <c r="S1" s="1">
        <f>P1+32</f>
        <v>192</v>
      </c>
      <c r="T1" s="1" t="str">
        <f>CHAR(S1)</f>
        <v>¿</v>
      </c>
      <c r="V1" s="1">
        <f>S1+32</f>
        <v>224</v>
      </c>
      <c r="W1" s="1" t="str">
        <f>CHAR(V1)</f>
        <v>‡</v>
      </c>
    </row>
    <row r="2" spans="1:23">
      <c r="A2" s="1">
        <v>1</v>
      </c>
      <c r="B2" s="1" t="s">
        <v>579</v>
      </c>
      <c r="D2" s="1">
        <f t="shared" ref="D2:D32" si="0">A2+32</f>
        <v>33</v>
      </c>
      <c r="E2" s="1" t="str">
        <f t="shared" ref="E2:E32" si="1">CHAR(D2)</f>
        <v>!</v>
      </c>
      <c r="G2" s="89">
        <f t="shared" ref="G2:G32" si="2">D2+32</f>
        <v>65</v>
      </c>
      <c r="H2" s="89" t="str">
        <f t="shared" ref="H2:H32" si="3">CHAR(G2)</f>
        <v>A</v>
      </c>
      <c r="I2" s="90" t="s">
        <v>581</v>
      </c>
      <c r="J2" s="89">
        <f t="shared" ref="J2:J32" si="4">G2+32</f>
        <v>97</v>
      </c>
      <c r="K2" s="89" t="str">
        <f t="shared" ref="K2:K31" si="5">CHAR(J2)</f>
        <v>a</v>
      </c>
      <c r="L2" s="90" t="s">
        <v>581</v>
      </c>
      <c r="M2" s="1">
        <f t="shared" ref="M2:M32" si="6">J2+32</f>
        <v>129</v>
      </c>
      <c r="N2" s="1" t="str">
        <f t="shared" ref="N2:N32" si="7">CHAR(M2)</f>
        <v>Å</v>
      </c>
      <c r="P2" s="1">
        <f t="shared" ref="P2:P32" si="8">M2+32</f>
        <v>161</v>
      </c>
      <c r="Q2" s="1" t="str">
        <f t="shared" ref="Q2:Q32" si="9">CHAR(P2)</f>
        <v>°</v>
      </c>
      <c r="S2" s="1">
        <f t="shared" ref="S2:S32" si="10">P2+32</f>
        <v>193</v>
      </c>
      <c r="T2" s="1" t="str">
        <f t="shared" ref="T2:T32" si="11">CHAR(S2)</f>
        <v>¡</v>
      </c>
      <c r="V2" s="1">
        <f t="shared" ref="V2:V32" si="12">S2+32</f>
        <v>225</v>
      </c>
      <c r="W2" s="1" t="str">
        <f t="shared" ref="W2:W32" si="13">CHAR(V2)</f>
        <v>·</v>
      </c>
    </row>
    <row r="3" spans="1:23">
      <c r="A3" s="1">
        <v>2</v>
      </c>
      <c r="B3" s="1" t="s">
        <v>579</v>
      </c>
      <c r="D3" s="1">
        <f t="shared" si="0"/>
        <v>34</v>
      </c>
      <c r="E3" s="1" t="str">
        <f t="shared" si="1"/>
        <v>"</v>
      </c>
      <c r="G3" s="89">
        <f t="shared" si="2"/>
        <v>66</v>
      </c>
      <c r="H3" s="89" t="str">
        <f t="shared" si="3"/>
        <v>B</v>
      </c>
      <c r="I3" s="90" t="s">
        <v>581</v>
      </c>
      <c r="J3" s="89">
        <f t="shared" si="4"/>
        <v>98</v>
      </c>
      <c r="K3" s="89" t="str">
        <f t="shared" si="5"/>
        <v>b</v>
      </c>
      <c r="L3" s="90" t="s">
        <v>581</v>
      </c>
      <c r="M3" s="1">
        <f t="shared" si="6"/>
        <v>130</v>
      </c>
      <c r="N3" s="1" t="str">
        <f t="shared" si="7"/>
        <v>Ç</v>
      </c>
      <c r="P3" s="1">
        <f t="shared" si="8"/>
        <v>162</v>
      </c>
      <c r="Q3" s="1" t="str">
        <f t="shared" si="9"/>
        <v>¢</v>
      </c>
      <c r="S3" s="1">
        <f t="shared" si="10"/>
        <v>194</v>
      </c>
      <c r="T3" s="1" t="str">
        <f t="shared" si="11"/>
        <v>¬</v>
      </c>
      <c r="V3" s="1">
        <f t="shared" si="12"/>
        <v>226</v>
      </c>
      <c r="W3" s="1" t="str">
        <f t="shared" si="13"/>
        <v>‚</v>
      </c>
    </row>
    <row r="4" spans="1:23">
      <c r="A4" s="1">
        <v>3</v>
      </c>
      <c r="B4" s="1" t="s">
        <v>579</v>
      </c>
      <c r="D4" s="89">
        <f t="shared" si="0"/>
        <v>35</v>
      </c>
      <c r="E4" s="89" t="str">
        <f t="shared" si="1"/>
        <v>#</v>
      </c>
      <c r="F4" s="90" t="s">
        <v>582</v>
      </c>
      <c r="G4" s="89">
        <f t="shared" si="2"/>
        <v>67</v>
      </c>
      <c r="H4" s="89" t="str">
        <f t="shared" si="3"/>
        <v>C</v>
      </c>
      <c r="I4" s="90" t="s">
        <v>581</v>
      </c>
      <c r="J4" s="89">
        <f t="shared" si="4"/>
        <v>99</v>
      </c>
      <c r="K4" s="89" t="str">
        <f t="shared" si="5"/>
        <v>c</v>
      </c>
      <c r="L4" s="90" t="s">
        <v>581</v>
      </c>
      <c r="M4" s="1">
        <f t="shared" si="6"/>
        <v>131</v>
      </c>
      <c r="N4" s="1" t="str">
        <f t="shared" si="7"/>
        <v>É</v>
      </c>
      <c r="P4" s="1">
        <f t="shared" si="8"/>
        <v>163</v>
      </c>
      <c r="Q4" s="1" t="str">
        <f t="shared" si="9"/>
        <v>£</v>
      </c>
      <c r="S4" s="1">
        <f t="shared" si="10"/>
        <v>195</v>
      </c>
      <c r="T4" s="1" t="str">
        <f t="shared" si="11"/>
        <v>√</v>
      </c>
      <c r="V4" s="1">
        <f t="shared" si="12"/>
        <v>227</v>
      </c>
      <c r="W4" s="1" t="str">
        <f t="shared" si="13"/>
        <v>„</v>
      </c>
    </row>
    <row r="5" spans="1:23">
      <c r="A5" s="1">
        <v>4</v>
      </c>
      <c r="B5" s="1" t="s">
        <v>579</v>
      </c>
      <c r="D5" s="1">
        <f t="shared" si="0"/>
        <v>36</v>
      </c>
      <c r="E5" s="1" t="str">
        <f t="shared" si="1"/>
        <v>$</v>
      </c>
      <c r="G5" s="89">
        <f t="shared" si="2"/>
        <v>68</v>
      </c>
      <c r="H5" s="89" t="str">
        <f t="shared" si="3"/>
        <v>D</v>
      </c>
      <c r="I5" s="90" t="s">
        <v>581</v>
      </c>
      <c r="J5" s="89">
        <f t="shared" si="4"/>
        <v>100</v>
      </c>
      <c r="K5" s="89" t="str">
        <f t="shared" si="5"/>
        <v>d</v>
      </c>
      <c r="L5" s="90" t="s">
        <v>581</v>
      </c>
      <c r="M5" s="1">
        <f t="shared" si="6"/>
        <v>132</v>
      </c>
      <c r="N5" s="1" t="str">
        <f t="shared" si="7"/>
        <v>Ñ</v>
      </c>
      <c r="P5" s="1">
        <f t="shared" si="8"/>
        <v>164</v>
      </c>
      <c r="Q5" s="1" t="str">
        <f t="shared" si="9"/>
        <v>§</v>
      </c>
      <c r="S5" s="1">
        <f t="shared" si="10"/>
        <v>196</v>
      </c>
      <c r="T5" s="1" t="str">
        <f t="shared" si="11"/>
        <v>ƒ</v>
      </c>
      <c r="V5" s="1">
        <f t="shared" si="12"/>
        <v>228</v>
      </c>
      <c r="W5" s="1" t="str">
        <f t="shared" si="13"/>
        <v>‰</v>
      </c>
    </row>
    <row r="6" spans="1:23">
      <c r="A6" s="1">
        <v>5</v>
      </c>
      <c r="B6" s="1" t="s">
        <v>579</v>
      </c>
      <c r="D6" s="1">
        <f t="shared" si="0"/>
        <v>37</v>
      </c>
      <c r="E6" s="1" t="str">
        <f t="shared" si="1"/>
        <v>%</v>
      </c>
      <c r="G6" s="89">
        <f t="shared" si="2"/>
        <v>69</v>
      </c>
      <c r="H6" s="89" t="str">
        <f t="shared" si="3"/>
        <v>E</v>
      </c>
      <c r="I6" s="90" t="s">
        <v>581</v>
      </c>
      <c r="J6" s="89">
        <f t="shared" si="4"/>
        <v>101</v>
      </c>
      <c r="K6" s="89" t="str">
        <f t="shared" si="5"/>
        <v>e</v>
      </c>
      <c r="L6" s="90" t="s">
        <v>581</v>
      </c>
      <c r="M6" s="1">
        <f t="shared" si="6"/>
        <v>133</v>
      </c>
      <c r="N6" s="1" t="str">
        <f t="shared" si="7"/>
        <v>Ö</v>
      </c>
      <c r="P6" s="1">
        <f t="shared" si="8"/>
        <v>165</v>
      </c>
      <c r="Q6" s="1" t="str">
        <f t="shared" si="9"/>
        <v>•</v>
      </c>
      <c r="S6" s="1">
        <f t="shared" si="10"/>
        <v>197</v>
      </c>
      <c r="T6" s="1" t="str">
        <f t="shared" si="11"/>
        <v>≈</v>
      </c>
      <c r="V6" s="1">
        <f t="shared" si="12"/>
        <v>229</v>
      </c>
      <c r="W6" s="1" t="str">
        <f t="shared" si="13"/>
        <v>Â</v>
      </c>
    </row>
    <row r="7" spans="1:23">
      <c r="A7" s="1">
        <v>6</v>
      </c>
      <c r="B7" s="1" t="s">
        <v>579</v>
      </c>
      <c r="D7" s="1">
        <f t="shared" si="0"/>
        <v>38</v>
      </c>
      <c r="E7" s="1" t="str">
        <f t="shared" si="1"/>
        <v>&amp;</v>
      </c>
      <c r="G7" s="89">
        <f t="shared" si="2"/>
        <v>70</v>
      </c>
      <c r="H7" s="89" t="str">
        <f t="shared" si="3"/>
        <v>F</v>
      </c>
      <c r="I7" s="90" t="s">
        <v>581</v>
      </c>
      <c r="J7" s="89">
        <f t="shared" si="4"/>
        <v>102</v>
      </c>
      <c r="K7" s="89" t="str">
        <f t="shared" si="5"/>
        <v>f</v>
      </c>
      <c r="L7" s="90" t="s">
        <v>581</v>
      </c>
      <c r="M7" s="1">
        <f t="shared" si="6"/>
        <v>134</v>
      </c>
      <c r="N7" s="1" t="str">
        <f t="shared" si="7"/>
        <v>Ü</v>
      </c>
      <c r="P7" s="1">
        <f t="shared" si="8"/>
        <v>166</v>
      </c>
      <c r="Q7" s="1" t="str">
        <f t="shared" si="9"/>
        <v>¶</v>
      </c>
      <c r="S7" s="1">
        <f t="shared" si="10"/>
        <v>198</v>
      </c>
      <c r="T7" s="1" t="str">
        <f t="shared" si="11"/>
        <v>∆</v>
      </c>
      <c r="V7" s="1">
        <f t="shared" si="12"/>
        <v>230</v>
      </c>
      <c r="W7" s="1" t="str">
        <f t="shared" si="13"/>
        <v>Ê</v>
      </c>
    </row>
    <row r="8" spans="1:23">
      <c r="A8" s="1">
        <v>7</v>
      </c>
      <c r="B8" s="1" t="s">
        <v>579</v>
      </c>
      <c r="D8" s="89">
        <f t="shared" si="0"/>
        <v>39</v>
      </c>
      <c r="E8" s="89" t="str">
        <f t="shared" si="1"/>
        <v>'</v>
      </c>
      <c r="F8" s="90" t="s">
        <v>585</v>
      </c>
      <c r="G8" s="89">
        <f t="shared" si="2"/>
        <v>71</v>
      </c>
      <c r="H8" s="89" t="str">
        <f t="shared" si="3"/>
        <v>G</v>
      </c>
      <c r="I8" s="90" t="s">
        <v>581</v>
      </c>
      <c r="J8" s="89">
        <f t="shared" si="4"/>
        <v>103</v>
      </c>
      <c r="K8" s="89" t="str">
        <f t="shared" si="5"/>
        <v>g</v>
      </c>
      <c r="L8" s="90" t="s">
        <v>581</v>
      </c>
      <c r="M8" s="1">
        <f t="shared" si="6"/>
        <v>135</v>
      </c>
      <c r="N8" s="1" t="str">
        <f t="shared" si="7"/>
        <v>á</v>
      </c>
      <c r="P8" s="1">
        <f t="shared" si="8"/>
        <v>167</v>
      </c>
      <c r="Q8" s="1" t="str">
        <f t="shared" si="9"/>
        <v>ß</v>
      </c>
      <c r="S8" s="1">
        <f t="shared" si="10"/>
        <v>199</v>
      </c>
      <c r="T8" s="1" t="str">
        <f t="shared" si="11"/>
        <v>«</v>
      </c>
      <c r="V8" s="1">
        <f t="shared" si="12"/>
        <v>231</v>
      </c>
      <c r="W8" s="1" t="str">
        <f t="shared" si="13"/>
        <v>Á</v>
      </c>
    </row>
    <row r="9" spans="1:23">
      <c r="A9" s="1">
        <v>8</v>
      </c>
      <c r="B9" s="1" t="s">
        <v>579</v>
      </c>
      <c r="D9" s="1">
        <f t="shared" si="0"/>
        <v>40</v>
      </c>
      <c r="E9" s="1" t="str">
        <f t="shared" si="1"/>
        <v>(</v>
      </c>
      <c r="G9" s="89">
        <f t="shared" si="2"/>
        <v>72</v>
      </c>
      <c r="H9" s="89" t="str">
        <f t="shared" si="3"/>
        <v>H</v>
      </c>
      <c r="I9" s="90" t="s">
        <v>581</v>
      </c>
      <c r="J9" s="89">
        <f t="shared" si="4"/>
        <v>104</v>
      </c>
      <c r="K9" s="89" t="str">
        <f t="shared" si="5"/>
        <v>h</v>
      </c>
      <c r="L9" s="90" t="s">
        <v>581</v>
      </c>
      <c r="M9" s="1">
        <f t="shared" si="6"/>
        <v>136</v>
      </c>
      <c r="N9" s="1" t="str">
        <f t="shared" si="7"/>
        <v>à</v>
      </c>
      <c r="P9" s="1">
        <f t="shared" si="8"/>
        <v>168</v>
      </c>
      <c r="Q9" s="1" t="str">
        <f t="shared" si="9"/>
        <v>®</v>
      </c>
      <c r="S9" s="1">
        <f t="shared" si="10"/>
        <v>200</v>
      </c>
      <c r="T9" s="1" t="str">
        <f t="shared" si="11"/>
        <v>»</v>
      </c>
      <c r="V9" s="1">
        <f t="shared" si="12"/>
        <v>232</v>
      </c>
      <c r="W9" s="1" t="str">
        <f t="shared" si="13"/>
        <v>Ë</v>
      </c>
    </row>
    <row r="10" spans="1:23">
      <c r="A10" s="89">
        <v>9</v>
      </c>
      <c r="B10" s="89" t="s">
        <v>580</v>
      </c>
      <c r="C10" s="90" t="s">
        <v>593</v>
      </c>
      <c r="D10" s="1">
        <f t="shared" si="0"/>
        <v>41</v>
      </c>
      <c r="E10" s="1" t="str">
        <f t="shared" si="1"/>
        <v>)</v>
      </c>
      <c r="G10" s="89">
        <f t="shared" si="2"/>
        <v>73</v>
      </c>
      <c r="H10" s="89" t="str">
        <f t="shared" si="3"/>
        <v>I</v>
      </c>
      <c r="I10" s="90" t="s">
        <v>581</v>
      </c>
      <c r="J10" s="89">
        <f t="shared" si="4"/>
        <v>105</v>
      </c>
      <c r="K10" s="89" t="str">
        <f t="shared" si="5"/>
        <v>i</v>
      </c>
      <c r="L10" s="90" t="s">
        <v>581</v>
      </c>
      <c r="M10" s="1">
        <f t="shared" si="6"/>
        <v>137</v>
      </c>
      <c r="N10" s="1" t="str">
        <f t="shared" si="7"/>
        <v>â</v>
      </c>
      <c r="P10" s="1">
        <f t="shared" si="8"/>
        <v>169</v>
      </c>
      <c r="Q10" s="1" t="str">
        <f t="shared" si="9"/>
        <v>©</v>
      </c>
      <c r="S10" s="1">
        <f t="shared" si="10"/>
        <v>201</v>
      </c>
      <c r="T10" s="1" t="str">
        <f t="shared" si="11"/>
        <v>…</v>
      </c>
      <c r="V10" s="1">
        <f t="shared" si="12"/>
        <v>233</v>
      </c>
      <c r="W10" s="1" t="str">
        <f t="shared" si="13"/>
        <v>È</v>
      </c>
    </row>
    <row r="11" spans="1:23">
      <c r="A11" s="1">
        <v>10</v>
      </c>
      <c r="B11" s="1" t="s">
        <v>579</v>
      </c>
      <c r="D11" s="1">
        <f t="shared" si="0"/>
        <v>42</v>
      </c>
      <c r="E11" s="1" t="str">
        <f t="shared" si="1"/>
        <v>*</v>
      </c>
      <c r="G11" s="89">
        <f t="shared" si="2"/>
        <v>74</v>
      </c>
      <c r="H11" s="89" t="str">
        <f t="shared" si="3"/>
        <v>J</v>
      </c>
      <c r="I11" s="90" t="s">
        <v>581</v>
      </c>
      <c r="J11" s="89">
        <f t="shared" si="4"/>
        <v>106</v>
      </c>
      <c r="K11" s="89" t="str">
        <f t="shared" si="5"/>
        <v>j</v>
      </c>
      <c r="L11" s="90" t="s">
        <v>581</v>
      </c>
      <c r="M11" s="1">
        <f t="shared" si="6"/>
        <v>138</v>
      </c>
      <c r="N11" s="1" t="str">
        <f t="shared" si="7"/>
        <v>ä</v>
      </c>
      <c r="P11" s="1">
        <f t="shared" si="8"/>
        <v>170</v>
      </c>
      <c r="Q11" s="1" t="str">
        <f t="shared" si="9"/>
        <v>™</v>
      </c>
      <c r="S11" s="1">
        <f t="shared" si="10"/>
        <v>202</v>
      </c>
      <c r="T11" s="1" t="str">
        <f t="shared" si="11"/>
        <v> </v>
      </c>
      <c r="V11" s="1">
        <f t="shared" si="12"/>
        <v>234</v>
      </c>
      <c r="W11" s="1" t="str">
        <f t="shared" si="13"/>
        <v>Í</v>
      </c>
    </row>
    <row r="12" spans="1:23">
      <c r="A12" s="1">
        <v>11</v>
      </c>
      <c r="B12" s="1" t="s">
        <v>579</v>
      </c>
      <c r="D12" s="1">
        <f t="shared" si="0"/>
        <v>43</v>
      </c>
      <c r="E12" s="1" t="str">
        <f t="shared" si="1"/>
        <v>+</v>
      </c>
      <c r="G12" s="89">
        <f t="shared" si="2"/>
        <v>75</v>
      </c>
      <c r="H12" s="89" t="str">
        <f t="shared" si="3"/>
        <v>K</v>
      </c>
      <c r="I12" s="90" t="s">
        <v>581</v>
      </c>
      <c r="J12" s="89">
        <f t="shared" si="4"/>
        <v>107</v>
      </c>
      <c r="K12" s="89" t="str">
        <f t="shared" si="5"/>
        <v>k</v>
      </c>
      <c r="L12" s="90" t="s">
        <v>581</v>
      </c>
      <c r="M12" s="1">
        <f t="shared" si="6"/>
        <v>139</v>
      </c>
      <c r="N12" s="1" t="str">
        <f t="shared" si="7"/>
        <v>ã</v>
      </c>
      <c r="P12" s="1">
        <f t="shared" si="8"/>
        <v>171</v>
      </c>
      <c r="Q12" s="1" t="str">
        <f t="shared" si="9"/>
        <v>´</v>
      </c>
      <c r="S12" s="1">
        <f t="shared" si="10"/>
        <v>203</v>
      </c>
      <c r="T12" s="1" t="str">
        <f t="shared" si="11"/>
        <v>À</v>
      </c>
      <c r="V12" s="1">
        <f t="shared" si="12"/>
        <v>235</v>
      </c>
      <c r="W12" s="1" t="str">
        <f t="shared" si="13"/>
        <v>Î</v>
      </c>
    </row>
    <row r="13" spans="1:23">
      <c r="A13" s="1">
        <v>12</v>
      </c>
      <c r="B13" s="1" t="s">
        <v>579</v>
      </c>
      <c r="D13" s="1">
        <f t="shared" si="0"/>
        <v>44</v>
      </c>
      <c r="E13" s="1" t="str">
        <f t="shared" si="1"/>
        <v>,</v>
      </c>
      <c r="G13" s="89">
        <f t="shared" si="2"/>
        <v>76</v>
      </c>
      <c r="H13" s="89" t="str">
        <f t="shared" si="3"/>
        <v>L</v>
      </c>
      <c r="I13" s="90" t="s">
        <v>581</v>
      </c>
      <c r="J13" s="89">
        <f t="shared" si="4"/>
        <v>108</v>
      </c>
      <c r="K13" s="89" t="str">
        <f t="shared" si="5"/>
        <v>l</v>
      </c>
      <c r="L13" s="90" t="s">
        <v>581</v>
      </c>
      <c r="M13" s="1">
        <f t="shared" si="6"/>
        <v>140</v>
      </c>
      <c r="N13" s="1" t="str">
        <f t="shared" si="7"/>
        <v>å</v>
      </c>
      <c r="P13" s="1">
        <f t="shared" si="8"/>
        <v>172</v>
      </c>
      <c r="Q13" s="1" t="str">
        <f t="shared" si="9"/>
        <v>¨</v>
      </c>
      <c r="S13" s="1">
        <f t="shared" si="10"/>
        <v>204</v>
      </c>
      <c r="T13" s="1" t="str">
        <f t="shared" si="11"/>
        <v>Ã</v>
      </c>
      <c r="V13" s="1">
        <f t="shared" si="12"/>
        <v>236</v>
      </c>
      <c r="W13" s="1" t="str">
        <f t="shared" si="13"/>
        <v>Ï</v>
      </c>
    </row>
    <row r="14" spans="1:23">
      <c r="A14" s="1">
        <v>13</v>
      </c>
      <c r="B14" s="1" t="s">
        <v>579</v>
      </c>
      <c r="D14" s="89">
        <f t="shared" si="0"/>
        <v>45</v>
      </c>
      <c r="E14" s="89" t="str">
        <f t="shared" si="1"/>
        <v>-</v>
      </c>
      <c r="F14" s="90" t="s">
        <v>583</v>
      </c>
      <c r="G14" s="89">
        <f t="shared" si="2"/>
        <v>77</v>
      </c>
      <c r="H14" s="89" t="str">
        <f t="shared" si="3"/>
        <v>M</v>
      </c>
      <c r="I14" s="90" t="s">
        <v>581</v>
      </c>
      <c r="J14" s="89">
        <f t="shared" si="4"/>
        <v>109</v>
      </c>
      <c r="K14" s="89" t="str">
        <f t="shared" si="5"/>
        <v>m</v>
      </c>
      <c r="L14" s="90" t="s">
        <v>581</v>
      </c>
      <c r="M14" s="1">
        <f t="shared" si="6"/>
        <v>141</v>
      </c>
      <c r="N14" s="1" t="str">
        <f t="shared" si="7"/>
        <v>ç</v>
      </c>
      <c r="P14" s="1">
        <f t="shared" si="8"/>
        <v>173</v>
      </c>
      <c r="Q14" s="1" t="str">
        <f t="shared" si="9"/>
        <v>≠</v>
      </c>
      <c r="S14" s="1">
        <f t="shared" si="10"/>
        <v>205</v>
      </c>
      <c r="T14" s="1" t="str">
        <f t="shared" si="11"/>
        <v>Õ</v>
      </c>
      <c r="V14" s="1">
        <f t="shared" si="12"/>
        <v>237</v>
      </c>
      <c r="W14" s="1" t="str">
        <f t="shared" si="13"/>
        <v>Ì</v>
      </c>
    </row>
    <row r="15" spans="1:23">
      <c r="A15" s="1">
        <v>14</v>
      </c>
      <c r="B15" s="1" t="s">
        <v>579</v>
      </c>
      <c r="D15" s="89">
        <f t="shared" si="0"/>
        <v>46</v>
      </c>
      <c r="E15" s="89" t="str">
        <f t="shared" si="1"/>
        <v>.</v>
      </c>
      <c r="F15" s="90" t="s">
        <v>589</v>
      </c>
      <c r="G15" s="89">
        <f t="shared" si="2"/>
        <v>78</v>
      </c>
      <c r="H15" s="89" t="str">
        <f t="shared" si="3"/>
        <v>N</v>
      </c>
      <c r="I15" s="90" t="s">
        <v>581</v>
      </c>
      <c r="J15" s="89">
        <f t="shared" si="4"/>
        <v>110</v>
      </c>
      <c r="K15" s="89" t="str">
        <f t="shared" si="5"/>
        <v>n</v>
      </c>
      <c r="L15" s="90" t="s">
        <v>581</v>
      </c>
      <c r="M15" s="1">
        <f t="shared" si="6"/>
        <v>142</v>
      </c>
      <c r="N15" s="1" t="str">
        <f t="shared" si="7"/>
        <v>é</v>
      </c>
      <c r="P15" s="1">
        <f t="shared" si="8"/>
        <v>174</v>
      </c>
      <c r="Q15" s="1" t="str">
        <f t="shared" si="9"/>
        <v>Æ</v>
      </c>
      <c r="S15" s="1">
        <f t="shared" si="10"/>
        <v>206</v>
      </c>
      <c r="T15" s="1" t="str">
        <f t="shared" si="11"/>
        <v>Œ</v>
      </c>
      <c r="V15" s="1">
        <f t="shared" si="12"/>
        <v>238</v>
      </c>
      <c r="W15" s="1" t="str">
        <f t="shared" si="13"/>
        <v>Ó</v>
      </c>
    </row>
    <row r="16" spans="1:23">
      <c r="A16" s="1">
        <v>15</v>
      </c>
      <c r="B16" s="1" t="s">
        <v>579</v>
      </c>
      <c r="D16" s="89">
        <f t="shared" si="0"/>
        <v>47</v>
      </c>
      <c r="E16" s="89" t="str">
        <f t="shared" si="1"/>
        <v>/</v>
      </c>
      <c r="F16" s="90" t="s">
        <v>591</v>
      </c>
      <c r="G16" s="89">
        <f t="shared" si="2"/>
        <v>79</v>
      </c>
      <c r="H16" s="89" t="str">
        <f t="shared" si="3"/>
        <v>O</v>
      </c>
      <c r="I16" s="90" t="s">
        <v>581</v>
      </c>
      <c r="J16" s="89">
        <f t="shared" si="4"/>
        <v>111</v>
      </c>
      <c r="K16" s="89" t="str">
        <f t="shared" si="5"/>
        <v>o</v>
      </c>
      <c r="L16" s="90" t="s">
        <v>581</v>
      </c>
      <c r="M16" s="1">
        <f t="shared" si="6"/>
        <v>143</v>
      </c>
      <c r="N16" s="1" t="str">
        <f t="shared" si="7"/>
        <v>è</v>
      </c>
      <c r="P16" s="1">
        <f t="shared" si="8"/>
        <v>175</v>
      </c>
      <c r="Q16" s="1" t="str">
        <f t="shared" si="9"/>
        <v>Ø</v>
      </c>
      <c r="S16" s="1">
        <f t="shared" si="10"/>
        <v>207</v>
      </c>
      <c r="T16" s="1" t="str">
        <f t="shared" si="11"/>
        <v>œ</v>
      </c>
      <c r="V16" s="1">
        <f t="shared" si="12"/>
        <v>239</v>
      </c>
      <c r="W16" s="1" t="str">
        <f t="shared" si="13"/>
        <v>Ô</v>
      </c>
    </row>
    <row r="17" spans="1:23">
      <c r="A17" s="1">
        <v>16</v>
      </c>
      <c r="B17" s="1" t="s">
        <v>579</v>
      </c>
      <c r="D17" s="89">
        <f t="shared" si="0"/>
        <v>48</v>
      </c>
      <c r="E17" s="89" t="str">
        <f t="shared" si="1"/>
        <v>0</v>
      </c>
      <c r="F17" s="90" t="s">
        <v>584</v>
      </c>
      <c r="G17" s="89">
        <f t="shared" si="2"/>
        <v>80</v>
      </c>
      <c r="H17" s="89" t="str">
        <f t="shared" si="3"/>
        <v>P</v>
      </c>
      <c r="I17" s="90" t="s">
        <v>581</v>
      </c>
      <c r="J17" s="89">
        <f t="shared" si="4"/>
        <v>112</v>
      </c>
      <c r="K17" s="89" t="str">
        <f t="shared" si="5"/>
        <v>p</v>
      </c>
      <c r="L17" s="90" t="s">
        <v>581</v>
      </c>
      <c r="M17" s="1">
        <f t="shared" si="6"/>
        <v>144</v>
      </c>
      <c r="N17" s="1" t="str">
        <f t="shared" si="7"/>
        <v>ê</v>
      </c>
      <c r="P17" s="1">
        <f t="shared" si="8"/>
        <v>176</v>
      </c>
      <c r="Q17" s="1" t="str">
        <f t="shared" si="9"/>
        <v>∞</v>
      </c>
      <c r="S17" s="1">
        <f t="shared" si="10"/>
        <v>208</v>
      </c>
      <c r="T17" s="1" t="str">
        <f t="shared" si="11"/>
        <v>–</v>
      </c>
      <c r="V17" s="1">
        <f t="shared" si="12"/>
        <v>240</v>
      </c>
      <c r="W17" s="1" t="str">
        <f t="shared" si="13"/>
        <v></v>
      </c>
    </row>
    <row r="18" spans="1:23">
      <c r="A18" s="1">
        <v>17</v>
      </c>
      <c r="B18" s="1" t="s">
        <v>579</v>
      </c>
      <c r="D18" s="89">
        <f t="shared" si="0"/>
        <v>49</v>
      </c>
      <c r="E18" s="89" t="str">
        <f t="shared" si="1"/>
        <v>1</v>
      </c>
      <c r="F18" s="90" t="s">
        <v>584</v>
      </c>
      <c r="G18" s="89">
        <f t="shared" si="2"/>
        <v>81</v>
      </c>
      <c r="H18" s="89" t="str">
        <f t="shared" si="3"/>
        <v>Q</v>
      </c>
      <c r="I18" s="90" t="s">
        <v>581</v>
      </c>
      <c r="J18" s="89">
        <f t="shared" si="4"/>
        <v>113</v>
      </c>
      <c r="K18" s="89" t="str">
        <f t="shared" si="5"/>
        <v>q</v>
      </c>
      <c r="L18" s="90" t="s">
        <v>581</v>
      </c>
      <c r="M18" s="1">
        <f t="shared" si="6"/>
        <v>145</v>
      </c>
      <c r="N18" s="1" t="str">
        <f t="shared" si="7"/>
        <v>ë</v>
      </c>
      <c r="P18" s="1">
        <f t="shared" si="8"/>
        <v>177</v>
      </c>
      <c r="Q18" s="1" t="str">
        <f t="shared" si="9"/>
        <v>±</v>
      </c>
      <c r="S18" s="1">
        <f t="shared" si="10"/>
        <v>209</v>
      </c>
      <c r="T18" s="1" t="str">
        <f t="shared" si="11"/>
        <v>—</v>
      </c>
      <c r="V18" s="1">
        <f t="shared" si="12"/>
        <v>241</v>
      </c>
      <c r="W18" s="1" t="str">
        <f t="shared" si="13"/>
        <v>Ò</v>
      </c>
    </row>
    <row r="19" spans="1:23">
      <c r="A19" s="1">
        <v>18</v>
      </c>
      <c r="B19" s="1" t="s">
        <v>579</v>
      </c>
      <c r="D19" s="89">
        <f t="shared" si="0"/>
        <v>50</v>
      </c>
      <c r="E19" s="89" t="str">
        <f t="shared" si="1"/>
        <v>2</v>
      </c>
      <c r="F19" s="90" t="s">
        <v>584</v>
      </c>
      <c r="G19" s="89">
        <f t="shared" si="2"/>
        <v>82</v>
      </c>
      <c r="H19" s="89" t="str">
        <f t="shared" si="3"/>
        <v>R</v>
      </c>
      <c r="I19" s="90" t="s">
        <v>581</v>
      </c>
      <c r="J19" s="89">
        <f t="shared" si="4"/>
        <v>114</v>
      </c>
      <c r="K19" s="89" t="str">
        <f t="shared" si="5"/>
        <v>r</v>
      </c>
      <c r="L19" s="90" t="s">
        <v>581</v>
      </c>
      <c r="M19" s="1">
        <f t="shared" si="6"/>
        <v>146</v>
      </c>
      <c r="N19" s="1" t="str">
        <f t="shared" si="7"/>
        <v>í</v>
      </c>
      <c r="P19" s="1">
        <f t="shared" si="8"/>
        <v>178</v>
      </c>
      <c r="Q19" s="1" t="str">
        <f t="shared" si="9"/>
        <v>≤</v>
      </c>
      <c r="S19" s="1">
        <f t="shared" si="10"/>
        <v>210</v>
      </c>
      <c r="T19" s="1" t="str">
        <f t="shared" si="11"/>
        <v>“</v>
      </c>
      <c r="V19" s="1">
        <f t="shared" si="12"/>
        <v>242</v>
      </c>
      <c r="W19" s="1" t="str">
        <f t="shared" si="13"/>
        <v>Ú</v>
      </c>
    </row>
    <row r="20" spans="1:23">
      <c r="A20" s="1">
        <v>19</v>
      </c>
      <c r="B20" s="1" t="s">
        <v>579</v>
      </c>
      <c r="D20" s="89">
        <f t="shared" si="0"/>
        <v>51</v>
      </c>
      <c r="E20" s="89" t="str">
        <f t="shared" si="1"/>
        <v>3</v>
      </c>
      <c r="F20" s="90" t="s">
        <v>584</v>
      </c>
      <c r="G20" s="89">
        <f t="shared" si="2"/>
        <v>83</v>
      </c>
      <c r="H20" s="89" t="str">
        <f t="shared" si="3"/>
        <v>S</v>
      </c>
      <c r="I20" s="90" t="s">
        <v>581</v>
      </c>
      <c r="J20" s="89">
        <f t="shared" si="4"/>
        <v>115</v>
      </c>
      <c r="K20" s="89" t="str">
        <f t="shared" si="5"/>
        <v>s</v>
      </c>
      <c r="L20" s="90" t="s">
        <v>581</v>
      </c>
      <c r="M20" s="1">
        <f t="shared" si="6"/>
        <v>147</v>
      </c>
      <c r="N20" s="1" t="str">
        <f t="shared" si="7"/>
        <v>ì</v>
      </c>
      <c r="P20" s="1">
        <f t="shared" si="8"/>
        <v>179</v>
      </c>
      <c r="Q20" s="1" t="str">
        <f t="shared" si="9"/>
        <v>≥</v>
      </c>
      <c r="S20" s="1">
        <f t="shared" si="10"/>
        <v>211</v>
      </c>
      <c r="T20" s="1" t="str">
        <f t="shared" si="11"/>
        <v>”</v>
      </c>
      <c r="V20" s="1">
        <f t="shared" si="12"/>
        <v>243</v>
      </c>
      <c r="W20" s="1" t="str">
        <f t="shared" si="13"/>
        <v>Û</v>
      </c>
    </row>
    <row r="21" spans="1:23">
      <c r="A21" s="1">
        <v>20</v>
      </c>
      <c r="B21" s="1" t="s">
        <v>579</v>
      </c>
      <c r="D21" s="89">
        <f t="shared" si="0"/>
        <v>52</v>
      </c>
      <c r="E21" s="89" t="str">
        <f t="shared" si="1"/>
        <v>4</v>
      </c>
      <c r="F21" s="90" t="s">
        <v>584</v>
      </c>
      <c r="G21" s="89">
        <f t="shared" si="2"/>
        <v>84</v>
      </c>
      <c r="H21" s="89" t="str">
        <f t="shared" si="3"/>
        <v>T</v>
      </c>
      <c r="I21" s="90" t="s">
        <v>581</v>
      </c>
      <c r="J21" s="89">
        <f t="shared" si="4"/>
        <v>116</v>
      </c>
      <c r="K21" s="89" t="str">
        <f t="shared" si="5"/>
        <v>t</v>
      </c>
      <c r="L21" s="90" t="s">
        <v>581</v>
      </c>
      <c r="M21" s="1">
        <f t="shared" si="6"/>
        <v>148</v>
      </c>
      <c r="N21" s="1" t="str">
        <f t="shared" si="7"/>
        <v>î</v>
      </c>
      <c r="P21" s="1">
        <f t="shared" si="8"/>
        <v>180</v>
      </c>
      <c r="Q21" s="1" t="str">
        <f t="shared" si="9"/>
        <v>¥</v>
      </c>
      <c r="S21" s="1">
        <f t="shared" si="10"/>
        <v>212</v>
      </c>
      <c r="T21" s="1" t="str">
        <f t="shared" si="11"/>
        <v>‘</v>
      </c>
      <c r="V21" s="1">
        <f t="shared" si="12"/>
        <v>244</v>
      </c>
      <c r="W21" s="1" t="str">
        <f t="shared" si="13"/>
        <v>Ù</v>
      </c>
    </row>
    <row r="22" spans="1:23">
      <c r="A22" s="1">
        <v>21</v>
      </c>
      <c r="B22" s="1" t="s">
        <v>579</v>
      </c>
      <c r="D22" s="89">
        <f t="shared" si="0"/>
        <v>53</v>
      </c>
      <c r="E22" s="89" t="str">
        <f t="shared" si="1"/>
        <v>5</v>
      </c>
      <c r="F22" s="90" t="s">
        <v>584</v>
      </c>
      <c r="G22" s="89">
        <f t="shared" si="2"/>
        <v>85</v>
      </c>
      <c r="H22" s="89" t="str">
        <f t="shared" si="3"/>
        <v>U</v>
      </c>
      <c r="I22" s="90" t="s">
        <v>581</v>
      </c>
      <c r="J22" s="89">
        <f t="shared" si="4"/>
        <v>117</v>
      </c>
      <c r="K22" s="89" t="str">
        <f t="shared" si="5"/>
        <v>u</v>
      </c>
      <c r="L22" s="90" t="s">
        <v>581</v>
      </c>
      <c r="M22" s="1">
        <f t="shared" si="6"/>
        <v>149</v>
      </c>
      <c r="N22" s="1" t="str">
        <f t="shared" si="7"/>
        <v>ï</v>
      </c>
      <c r="P22" s="1">
        <f t="shared" si="8"/>
        <v>181</v>
      </c>
      <c r="Q22" s="1" t="str">
        <f t="shared" si="9"/>
        <v>µ</v>
      </c>
      <c r="S22" s="1">
        <f t="shared" si="10"/>
        <v>213</v>
      </c>
      <c r="T22" s="1" t="str">
        <f t="shared" si="11"/>
        <v>’</v>
      </c>
      <c r="V22" s="1">
        <f t="shared" si="12"/>
        <v>245</v>
      </c>
      <c r="W22" s="1" t="str">
        <f t="shared" si="13"/>
        <v>ı</v>
      </c>
    </row>
    <row r="23" spans="1:23">
      <c r="A23" s="1">
        <v>22</v>
      </c>
      <c r="B23" s="1" t="s">
        <v>579</v>
      </c>
      <c r="D23" s="89">
        <f t="shared" si="0"/>
        <v>54</v>
      </c>
      <c r="E23" s="89" t="str">
        <f t="shared" si="1"/>
        <v>6</v>
      </c>
      <c r="F23" s="90" t="s">
        <v>584</v>
      </c>
      <c r="G23" s="89">
        <f t="shared" si="2"/>
        <v>86</v>
      </c>
      <c r="H23" s="89" t="str">
        <f t="shared" si="3"/>
        <v>V</v>
      </c>
      <c r="I23" s="90" t="s">
        <v>581</v>
      </c>
      <c r="J23" s="89">
        <f t="shared" si="4"/>
        <v>118</v>
      </c>
      <c r="K23" s="89" t="str">
        <f t="shared" si="5"/>
        <v>v</v>
      </c>
      <c r="L23" s="90" t="s">
        <v>581</v>
      </c>
      <c r="M23" s="1">
        <f t="shared" si="6"/>
        <v>150</v>
      </c>
      <c r="N23" s="1" t="str">
        <f t="shared" si="7"/>
        <v>ñ</v>
      </c>
      <c r="P23" s="1">
        <f t="shared" si="8"/>
        <v>182</v>
      </c>
      <c r="Q23" s="1" t="str">
        <f t="shared" si="9"/>
        <v>∂</v>
      </c>
      <c r="S23" s="1">
        <f t="shared" si="10"/>
        <v>214</v>
      </c>
      <c r="T23" s="1" t="str">
        <f t="shared" si="11"/>
        <v>÷</v>
      </c>
      <c r="V23" s="1">
        <f t="shared" si="12"/>
        <v>246</v>
      </c>
      <c r="W23" s="1" t="str">
        <f t="shared" si="13"/>
        <v>ˆ</v>
      </c>
    </row>
    <row r="24" spans="1:23">
      <c r="A24" s="1">
        <v>23</v>
      </c>
      <c r="B24" s="1" t="s">
        <v>579</v>
      </c>
      <c r="D24" s="89">
        <f t="shared" si="0"/>
        <v>55</v>
      </c>
      <c r="E24" s="89" t="str">
        <f t="shared" si="1"/>
        <v>7</v>
      </c>
      <c r="F24" s="90" t="s">
        <v>584</v>
      </c>
      <c r="G24" s="89">
        <f t="shared" si="2"/>
        <v>87</v>
      </c>
      <c r="H24" s="89" t="str">
        <f t="shared" si="3"/>
        <v>W</v>
      </c>
      <c r="I24" s="90" t="s">
        <v>581</v>
      </c>
      <c r="J24" s="89">
        <f t="shared" si="4"/>
        <v>119</v>
      </c>
      <c r="K24" s="89" t="str">
        <f t="shared" si="5"/>
        <v>w</v>
      </c>
      <c r="L24" s="90" t="s">
        <v>581</v>
      </c>
      <c r="M24" s="1">
        <f t="shared" si="6"/>
        <v>151</v>
      </c>
      <c r="N24" s="1" t="str">
        <f t="shared" si="7"/>
        <v>ó</v>
      </c>
      <c r="P24" s="1">
        <f t="shared" si="8"/>
        <v>183</v>
      </c>
      <c r="Q24" s="1" t="str">
        <f t="shared" si="9"/>
        <v>∑</v>
      </c>
      <c r="S24" s="1">
        <f t="shared" si="10"/>
        <v>215</v>
      </c>
      <c r="T24" s="1" t="str">
        <f t="shared" si="11"/>
        <v>◊</v>
      </c>
      <c r="V24" s="1">
        <f t="shared" si="12"/>
        <v>247</v>
      </c>
      <c r="W24" s="1" t="str">
        <f t="shared" si="13"/>
        <v>˜</v>
      </c>
    </row>
    <row r="25" spans="1:23">
      <c r="A25" s="1">
        <v>24</v>
      </c>
      <c r="B25" s="1" t="s">
        <v>579</v>
      </c>
      <c r="D25" s="89">
        <f t="shared" si="0"/>
        <v>56</v>
      </c>
      <c r="E25" s="89" t="str">
        <f t="shared" si="1"/>
        <v>8</v>
      </c>
      <c r="F25" s="90" t="s">
        <v>584</v>
      </c>
      <c r="G25" s="89">
        <f t="shared" si="2"/>
        <v>88</v>
      </c>
      <c r="H25" s="89" t="str">
        <f t="shared" si="3"/>
        <v>X</v>
      </c>
      <c r="I25" s="90" t="s">
        <v>581</v>
      </c>
      <c r="J25" s="89">
        <f t="shared" si="4"/>
        <v>120</v>
      </c>
      <c r="K25" s="89" t="str">
        <f t="shared" si="5"/>
        <v>x</v>
      </c>
      <c r="L25" s="90" t="s">
        <v>581</v>
      </c>
      <c r="M25" s="1">
        <f t="shared" si="6"/>
        <v>152</v>
      </c>
      <c r="N25" s="1" t="str">
        <f t="shared" si="7"/>
        <v>ò</v>
      </c>
      <c r="P25" s="1">
        <f t="shared" si="8"/>
        <v>184</v>
      </c>
      <c r="Q25" s="1" t="str">
        <f t="shared" si="9"/>
        <v>∏</v>
      </c>
      <c r="S25" s="1">
        <f t="shared" si="10"/>
        <v>216</v>
      </c>
      <c r="T25" s="1" t="str">
        <f t="shared" si="11"/>
        <v>ÿ</v>
      </c>
      <c r="V25" s="1">
        <f t="shared" si="12"/>
        <v>248</v>
      </c>
      <c r="W25" s="1" t="str">
        <f t="shared" si="13"/>
        <v>¯</v>
      </c>
    </row>
    <row r="26" spans="1:23">
      <c r="A26" s="1">
        <v>25</v>
      </c>
      <c r="B26" s="1" t="s">
        <v>579</v>
      </c>
      <c r="D26" s="89">
        <f t="shared" si="0"/>
        <v>57</v>
      </c>
      <c r="E26" s="89" t="str">
        <f t="shared" si="1"/>
        <v>9</v>
      </c>
      <c r="F26" s="90" t="s">
        <v>584</v>
      </c>
      <c r="G26" s="89">
        <f t="shared" si="2"/>
        <v>89</v>
      </c>
      <c r="H26" s="89" t="str">
        <f t="shared" si="3"/>
        <v>Y</v>
      </c>
      <c r="I26" s="90" t="s">
        <v>581</v>
      </c>
      <c r="J26" s="89">
        <f t="shared" si="4"/>
        <v>121</v>
      </c>
      <c r="K26" s="89" t="str">
        <f t="shared" si="5"/>
        <v>y</v>
      </c>
      <c r="L26" s="90" t="s">
        <v>581</v>
      </c>
      <c r="M26" s="1">
        <f t="shared" si="6"/>
        <v>153</v>
      </c>
      <c r="N26" s="1" t="str">
        <f t="shared" si="7"/>
        <v>ô</v>
      </c>
      <c r="P26" s="1">
        <f t="shared" si="8"/>
        <v>185</v>
      </c>
      <c r="Q26" s="1" t="str">
        <f t="shared" si="9"/>
        <v>π</v>
      </c>
      <c r="S26" s="1">
        <f t="shared" si="10"/>
        <v>217</v>
      </c>
      <c r="T26" s="1" t="str">
        <f t="shared" si="11"/>
        <v>Ÿ</v>
      </c>
      <c r="V26" s="1">
        <f t="shared" si="12"/>
        <v>249</v>
      </c>
      <c r="W26" s="1" t="str">
        <f t="shared" si="13"/>
        <v>˘</v>
      </c>
    </row>
    <row r="27" spans="1:23">
      <c r="A27" s="1">
        <v>26</v>
      </c>
      <c r="B27" s="1" t="s">
        <v>579</v>
      </c>
      <c r="D27" s="1">
        <f t="shared" si="0"/>
        <v>58</v>
      </c>
      <c r="E27" s="1" t="str">
        <f t="shared" si="1"/>
        <v>:</v>
      </c>
      <c r="G27" s="89">
        <f t="shared" si="2"/>
        <v>90</v>
      </c>
      <c r="H27" s="89" t="str">
        <f t="shared" si="3"/>
        <v>Z</v>
      </c>
      <c r="I27" s="90" t="s">
        <v>581</v>
      </c>
      <c r="J27" s="89">
        <f t="shared" si="4"/>
        <v>122</v>
      </c>
      <c r="K27" s="89" t="str">
        <f t="shared" si="5"/>
        <v>z</v>
      </c>
      <c r="L27" s="90" t="s">
        <v>581</v>
      </c>
      <c r="M27" s="1">
        <f t="shared" si="6"/>
        <v>154</v>
      </c>
      <c r="N27" s="1" t="str">
        <f t="shared" si="7"/>
        <v>ö</v>
      </c>
      <c r="P27" s="1">
        <f t="shared" si="8"/>
        <v>186</v>
      </c>
      <c r="Q27" s="1" t="str">
        <f t="shared" si="9"/>
        <v>∫</v>
      </c>
      <c r="S27" s="1">
        <f t="shared" si="10"/>
        <v>218</v>
      </c>
      <c r="T27" s="1" t="str">
        <f t="shared" si="11"/>
        <v>⁄</v>
      </c>
      <c r="V27" s="1">
        <f t="shared" si="12"/>
        <v>250</v>
      </c>
      <c r="W27" s="1" t="str">
        <f t="shared" si="13"/>
        <v>˙</v>
      </c>
    </row>
    <row r="28" spans="1:23">
      <c r="A28" s="1">
        <v>27</v>
      </c>
      <c r="B28" s="1" t="s">
        <v>579</v>
      </c>
      <c r="D28" s="1">
        <f t="shared" si="0"/>
        <v>59</v>
      </c>
      <c r="E28" s="1" t="str">
        <f t="shared" si="1"/>
        <v>;</v>
      </c>
      <c r="G28" s="1">
        <f t="shared" si="2"/>
        <v>91</v>
      </c>
      <c r="H28" s="1" t="str">
        <f t="shared" si="3"/>
        <v>[</v>
      </c>
      <c r="J28" s="1">
        <f t="shared" si="4"/>
        <v>123</v>
      </c>
      <c r="K28" s="1" t="str">
        <f t="shared" si="5"/>
        <v>{</v>
      </c>
      <c r="L28" s="90" t="s">
        <v>597</v>
      </c>
      <c r="M28" s="1">
        <f t="shared" si="6"/>
        <v>155</v>
      </c>
      <c r="N28" s="1" t="str">
        <f t="shared" si="7"/>
        <v>õ</v>
      </c>
      <c r="P28" s="1">
        <f t="shared" si="8"/>
        <v>187</v>
      </c>
      <c r="Q28" s="1" t="str">
        <f t="shared" si="9"/>
        <v>ª</v>
      </c>
      <c r="S28" s="1">
        <f t="shared" si="10"/>
        <v>219</v>
      </c>
      <c r="T28" s="1" t="str">
        <f t="shared" si="11"/>
        <v>€</v>
      </c>
      <c r="V28" s="1">
        <f t="shared" si="12"/>
        <v>251</v>
      </c>
      <c r="W28" s="1" t="str">
        <f t="shared" si="13"/>
        <v>˚</v>
      </c>
    </row>
    <row r="29" spans="1:23">
      <c r="A29" s="1">
        <v>28</v>
      </c>
      <c r="B29" s="1" t="s">
        <v>579</v>
      </c>
      <c r="D29" s="89">
        <f t="shared" si="0"/>
        <v>60</v>
      </c>
      <c r="E29" s="89" t="str">
        <f t="shared" si="1"/>
        <v>&lt;</v>
      </c>
      <c r="F29" s="90" t="s">
        <v>586</v>
      </c>
      <c r="G29" s="89">
        <f t="shared" si="2"/>
        <v>92</v>
      </c>
      <c r="H29" s="89" t="str">
        <f t="shared" si="3"/>
        <v>\</v>
      </c>
      <c r="I29" s="90" t="s">
        <v>592</v>
      </c>
      <c r="J29" s="1">
        <f t="shared" si="4"/>
        <v>124</v>
      </c>
      <c r="K29" s="1" t="str">
        <f t="shared" si="5"/>
        <v>|</v>
      </c>
      <c r="M29" s="1">
        <f t="shared" si="6"/>
        <v>156</v>
      </c>
      <c r="N29" s="1" t="str">
        <f t="shared" si="7"/>
        <v>ú</v>
      </c>
      <c r="P29" s="1">
        <f t="shared" si="8"/>
        <v>188</v>
      </c>
      <c r="Q29" s="1" t="str">
        <f t="shared" si="9"/>
        <v>º</v>
      </c>
      <c r="S29" s="1">
        <f t="shared" si="10"/>
        <v>220</v>
      </c>
      <c r="T29" s="1" t="str">
        <f t="shared" si="11"/>
        <v>‹</v>
      </c>
      <c r="V29" s="1">
        <f t="shared" si="12"/>
        <v>252</v>
      </c>
      <c r="W29" s="1" t="str">
        <f t="shared" si="13"/>
        <v>¸</v>
      </c>
    </row>
    <row r="30" spans="1:23">
      <c r="A30" s="1">
        <v>29</v>
      </c>
      <c r="B30" s="1" t="s">
        <v>579</v>
      </c>
      <c r="D30" s="1">
        <f t="shared" si="0"/>
        <v>61</v>
      </c>
      <c r="E30" s="1" t="str">
        <f t="shared" si="1"/>
        <v>=</v>
      </c>
      <c r="G30" s="1">
        <f t="shared" si="2"/>
        <v>93</v>
      </c>
      <c r="H30" s="1" t="str">
        <f t="shared" si="3"/>
        <v>]</v>
      </c>
      <c r="J30" s="1">
        <f t="shared" si="4"/>
        <v>125</v>
      </c>
      <c r="K30" s="1" t="str">
        <f t="shared" si="5"/>
        <v>}</v>
      </c>
      <c r="L30" s="90" t="s">
        <v>597</v>
      </c>
      <c r="M30" s="1">
        <f t="shared" si="6"/>
        <v>157</v>
      </c>
      <c r="N30" s="1" t="str">
        <f t="shared" si="7"/>
        <v>ù</v>
      </c>
      <c r="P30" s="1">
        <f t="shared" si="8"/>
        <v>189</v>
      </c>
      <c r="Q30" s="1" t="str">
        <f t="shared" si="9"/>
        <v>Ω</v>
      </c>
      <c r="S30" s="1">
        <f t="shared" si="10"/>
        <v>221</v>
      </c>
      <c r="T30" s="1" t="str">
        <f t="shared" si="11"/>
        <v>›</v>
      </c>
      <c r="V30" s="1">
        <f t="shared" si="12"/>
        <v>253</v>
      </c>
      <c r="W30" s="1" t="str">
        <f t="shared" si="13"/>
        <v>˝</v>
      </c>
    </row>
    <row r="31" spans="1:23">
      <c r="A31" s="1">
        <v>30</v>
      </c>
      <c r="B31" s="1" t="s">
        <v>579</v>
      </c>
      <c r="D31" s="89">
        <f t="shared" si="0"/>
        <v>62</v>
      </c>
      <c r="E31" s="89" t="str">
        <f t="shared" si="1"/>
        <v>&gt;</v>
      </c>
      <c r="F31" s="90" t="s">
        <v>587</v>
      </c>
      <c r="G31" s="1">
        <f t="shared" si="2"/>
        <v>94</v>
      </c>
      <c r="H31" s="1" t="str">
        <f t="shared" si="3"/>
        <v>^</v>
      </c>
      <c r="J31" s="1">
        <f t="shared" si="4"/>
        <v>126</v>
      </c>
      <c r="K31" s="1" t="str">
        <f t="shared" si="5"/>
        <v>~</v>
      </c>
      <c r="M31" s="1">
        <f t="shared" si="6"/>
        <v>158</v>
      </c>
      <c r="N31" s="1" t="str">
        <f t="shared" si="7"/>
        <v>û</v>
      </c>
      <c r="P31" s="1">
        <f t="shared" si="8"/>
        <v>190</v>
      </c>
      <c r="Q31" s="1" t="str">
        <f t="shared" si="9"/>
        <v>æ</v>
      </c>
      <c r="S31" s="1">
        <f t="shared" si="10"/>
        <v>222</v>
      </c>
      <c r="T31" s="1" t="str">
        <f t="shared" si="11"/>
        <v>ﬁ</v>
      </c>
      <c r="V31" s="1">
        <f t="shared" si="12"/>
        <v>254</v>
      </c>
      <c r="W31" s="1" t="str">
        <f t="shared" si="13"/>
        <v>˛</v>
      </c>
    </row>
    <row r="32" spans="1:23">
      <c r="A32" s="1">
        <v>31</v>
      </c>
      <c r="B32" s="1" t="s">
        <v>579</v>
      </c>
      <c r="D32" s="1">
        <f t="shared" si="0"/>
        <v>63</v>
      </c>
      <c r="E32" s="1" t="str">
        <f t="shared" si="1"/>
        <v>?</v>
      </c>
      <c r="G32" s="89">
        <f t="shared" si="2"/>
        <v>95</v>
      </c>
      <c r="H32" s="89" t="str">
        <f t="shared" si="3"/>
        <v>_</v>
      </c>
      <c r="I32" s="90" t="s">
        <v>590</v>
      </c>
      <c r="J32" s="1">
        <f t="shared" si="4"/>
        <v>127</v>
      </c>
      <c r="K32" s="1" t="s">
        <v>594</v>
      </c>
      <c r="M32" s="1">
        <f t="shared" si="6"/>
        <v>159</v>
      </c>
      <c r="N32" s="1" t="str">
        <f t="shared" si="7"/>
        <v>ü</v>
      </c>
      <c r="P32" s="1">
        <f t="shared" si="8"/>
        <v>191</v>
      </c>
      <c r="Q32" s="1" t="str">
        <f t="shared" si="9"/>
        <v>ø</v>
      </c>
      <c r="S32" s="1">
        <f t="shared" si="10"/>
        <v>223</v>
      </c>
      <c r="T32" s="1" t="str">
        <f t="shared" si="11"/>
        <v>ﬂ</v>
      </c>
      <c r="V32" s="1">
        <f t="shared" si="12"/>
        <v>255</v>
      </c>
      <c r="W32" s="1" t="str">
        <f t="shared" si="13"/>
        <v>ˇ</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2015-07-25T20:29:35Z</dcterms:modified>
</cp:coreProperties>
</file>