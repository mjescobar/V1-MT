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35" yWindow="3135" windowWidth="22995" windowHeight="9525" activeTab="2"/>
  </bookViews>
  <sheets>
    <sheet name="LogManager.Initialize" sheetId="1" r:id="rId1"/>
    <sheet name="InterpreterManager.Initialize" sheetId="2" r:id="rId2"/>
    <sheet name="define.Initialize" sheetId="3" r:id="rId3"/>
  </sheets>
  <functionGroups builtInGroupCount="17"/>
  <calcPr calcId="145621"/>
</workbook>
</file>

<file path=xl/calcChain.xml><?xml version="1.0" encoding="utf-8"?>
<calcChain xmlns="http://schemas.openxmlformats.org/spreadsheetml/2006/main">
  <c r="A107" i="3" l="1"/>
  <c r="B107" i="3"/>
  <c r="A106" i="3"/>
  <c r="B106" i="3"/>
  <c r="A127" i="3"/>
  <c r="B127" i="3"/>
  <c r="A18" i="2"/>
  <c r="J23" i="3" l="1"/>
  <c r="B23" i="3"/>
  <c r="A23" i="3"/>
  <c r="A10" i="1" l="1"/>
  <c r="B10" i="1"/>
  <c r="J26" i="3"/>
  <c r="A26" i="3"/>
  <c r="B26" i="3"/>
  <c r="A36" i="1" l="1"/>
  <c r="B36" i="1"/>
  <c r="B105" i="3"/>
  <c r="A105" i="3"/>
  <c r="B104" i="3"/>
  <c r="A104" i="3"/>
  <c r="B4" i="3" l="1"/>
  <c r="B5" i="3"/>
  <c r="B6" i="3"/>
  <c r="B7" i="3"/>
  <c r="B8" i="3"/>
  <c r="B9" i="3"/>
  <c r="B10" i="3"/>
  <c r="B11" i="3"/>
  <c r="B12" i="3"/>
  <c r="B13" i="3"/>
  <c r="B14" i="3"/>
  <c r="B15" i="3"/>
  <c r="B16" i="3"/>
  <c r="B17" i="3"/>
  <c r="B18" i="3"/>
  <c r="B19" i="3"/>
  <c r="B20" i="3"/>
  <c r="B21" i="3"/>
  <c r="B22" i="3"/>
  <c r="B24" i="3"/>
  <c r="B25" i="3"/>
  <c r="B135"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3" i="3"/>
  <c r="B94" i="3"/>
  <c r="B95" i="3"/>
  <c r="B96" i="3"/>
  <c r="B97" i="3"/>
  <c r="B98" i="3"/>
  <c r="B99" i="3"/>
  <c r="B100" i="3"/>
  <c r="B101" i="3"/>
  <c r="B102" i="3"/>
  <c r="B103" i="3"/>
  <c r="B108" i="3"/>
  <c r="B109" i="3"/>
  <c r="B110" i="3"/>
  <c r="B111" i="3"/>
  <c r="B112" i="3"/>
  <c r="B113" i="3"/>
  <c r="B114" i="3"/>
  <c r="B115" i="3"/>
  <c r="B116" i="3"/>
  <c r="B117" i="3"/>
  <c r="B118" i="3"/>
  <c r="B119" i="3"/>
  <c r="B120" i="3"/>
  <c r="B121" i="3"/>
  <c r="B122" i="3"/>
  <c r="B123" i="3"/>
  <c r="B124" i="3"/>
  <c r="B125" i="3"/>
  <c r="B126" i="3"/>
  <c r="B128" i="3"/>
  <c r="B129" i="3"/>
  <c r="B130" i="3"/>
  <c r="B131" i="3"/>
  <c r="B132" i="3"/>
  <c r="B133" i="3"/>
  <c r="B134" i="3"/>
  <c r="B92" i="3"/>
  <c r="A111" i="3"/>
  <c r="A5" i="2"/>
  <c r="A22" i="2"/>
  <c r="A21" i="2"/>
  <c r="J110" i="3"/>
  <c r="A110" i="3"/>
  <c r="J109" i="3"/>
  <c r="A109" i="3"/>
  <c r="J108" i="3"/>
  <c r="A108" i="3"/>
  <c r="J132" i="3"/>
  <c r="A132" i="3"/>
  <c r="J131" i="3"/>
  <c r="A131" i="3"/>
  <c r="J49" i="3" l="1"/>
  <c r="A49" i="3"/>
  <c r="A8" i="3" l="1"/>
  <c r="J9" i="3"/>
  <c r="A9" i="3"/>
  <c r="I12" i="3"/>
  <c r="A12" i="3" s="1"/>
  <c r="I11" i="3"/>
  <c r="A11" i="3" s="1"/>
  <c r="I10" i="3"/>
  <c r="A10" i="3" s="1"/>
  <c r="J130" i="3"/>
  <c r="J129" i="3"/>
  <c r="J128" i="3"/>
  <c r="J126" i="3"/>
  <c r="J125" i="3"/>
  <c r="J124" i="3"/>
  <c r="J123" i="3"/>
  <c r="J122" i="3"/>
  <c r="J121" i="3"/>
  <c r="J120" i="3"/>
  <c r="J119" i="3"/>
  <c r="J134" i="3"/>
  <c r="J133" i="3"/>
  <c r="J118" i="3"/>
  <c r="J117" i="3"/>
  <c r="J116" i="3"/>
  <c r="J115" i="3"/>
  <c r="J114" i="3"/>
  <c r="J113" i="3"/>
  <c r="J112" i="3"/>
  <c r="J103" i="3"/>
  <c r="J102" i="3"/>
  <c r="J101" i="3"/>
  <c r="J100" i="3"/>
  <c r="J99" i="3"/>
  <c r="J98" i="3"/>
  <c r="J97" i="3"/>
  <c r="J96" i="3"/>
  <c r="J95" i="3"/>
  <c r="J94" i="3"/>
  <c r="J93" i="3"/>
  <c r="J92" i="3"/>
  <c r="J91" i="3"/>
  <c r="J90" i="3"/>
  <c r="J89" i="3"/>
  <c r="J88" i="3"/>
  <c r="J87" i="3"/>
  <c r="J86" i="3"/>
  <c r="J85" i="3"/>
  <c r="J84" i="3"/>
  <c r="J83" i="3"/>
  <c r="J82" i="3"/>
  <c r="J80" i="3"/>
  <c r="J79" i="3"/>
  <c r="J78" i="3"/>
  <c r="J77" i="3"/>
  <c r="J76" i="3"/>
  <c r="J75" i="3"/>
  <c r="J74" i="3"/>
  <c r="J73" i="3"/>
  <c r="J72" i="3"/>
  <c r="J71" i="3"/>
  <c r="J70" i="3"/>
  <c r="J69" i="3"/>
  <c r="J68" i="3"/>
  <c r="J67" i="3"/>
  <c r="J66" i="3"/>
  <c r="J65" i="3"/>
  <c r="J64" i="3"/>
  <c r="J63" i="3"/>
  <c r="J62" i="3"/>
  <c r="J61" i="3"/>
  <c r="J60" i="3"/>
  <c r="J59" i="3"/>
  <c r="J58" i="3"/>
  <c r="J57" i="3"/>
  <c r="J56" i="3"/>
  <c r="J55" i="3"/>
  <c r="J54" i="3"/>
  <c r="J53" i="3"/>
  <c r="J52" i="3"/>
  <c r="J51" i="3"/>
  <c r="J50" i="3"/>
  <c r="J48" i="3"/>
  <c r="J47" i="3"/>
  <c r="J46" i="3"/>
  <c r="J45" i="3"/>
  <c r="J44" i="3"/>
  <c r="J43" i="3"/>
  <c r="J42" i="3"/>
  <c r="J41" i="3"/>
  <c r="J40" i="3"/>
  <c r="J39" i="3"/>
  <c r="J38" i="3"/>
  <c r="J37" i="3"/>
  <c r="J36" i="3"/>
  <c r="J35" i="3"/>
  <c r="J34" i="3"/>
  <c r="J33" i="3"/>
  <c r="J32" i="3"/>
  <c r="J31" i="3"/>
  <c r="J30" i="3"/>
  <c r="J29" i="3"/>
  <c r="J28" i="3"/>
  <c r="J27" i="3"/>
  <c r="J135" i="3"/>
  <c r="J25" i="3"/>
  <c r="J24" i="3"/>
  <c r="J22" i="3"/>
  <c r="J21" i="3"/>
  <c r="J20" i="3"/>
  <c r="J13" i="3"/>
  <c r="J12" i="3"/>
  <c r="J11" i="3"/>
  <c r="J7" i="3"/>
  <c r="J6" i="3"/>
  <c r="J5" i="3"/>
  <c r="J4" i="3"/>
  <c r="J3" i="3"/>
  <c r="J2" i="3"/>
  <c r="J81" i="3"/>
  <c r="A20" i="3"/>
  <c r="A130" i="3"/>
  <c r="I18" i="3"/>
  <c r="I13" i="3"/>
  <c r="I19" i="3"/>
  <c r="I15" i="3"/>
  <c r="I17" i="3"/>
  <c r="I14" i="3"/>
  <c r="I16" i="3"/>
  <c r="A18" i="3" l="1"/>
  <c r="A19" i="3"/>
  <c r="A17" i="3"/>
  <c r="A16" i="3"/>
  <c r="A15" i="3"/>
  <c r="A14" i="3"/>
  <c r="A13" i="3"/>
  <c r="A41" i="3"/>
  <c r="A40" i="3"/>
  <c r="A39" i="3"/>
  <c r="A98" i="3" l="1"/>
  <c r="A97" i="3"/>
  <c r="A65" i="3"/>
  <c r="A32" i="3"/>
  <c r="A94" i="3"/>
  <c r="A78" i="3"/>
  <c r="A88" i="3"/>
  <c r="A86" i="3"/>
  <c r="A84" i="3"/>
  <c r="A79" i="3"/>
  <c r="A77" i="3"/>
  <c r="A76" i="3"/>
  <c r="A74" i="3"/>
  <c r="A75" i="3"/>
  <c r="A80" i="3"/>
  <c r="A81" i="3"/>
  <c r="A73" i="3"/>
  <c r="A72" i="3"/>
  <c r="A71" i="3"/>
  <c r="A42" i="3"/>
  <c r="A70" i="3"/>
  <c r="A60" i="3"/>
  <c r="A27" i="3"/>
  <c r="A51" i="3"/>
  <c r="A50" i="3"/>
  <c r="A44" i="3"/>
  <c r="A43" i="3"/>
  <c r="A38" i="3"/>
  <c r="A37" i="3"/>
  <c r="A36" i="3"/>
  <c r="A47" i="1" l="1"/>
  <c r="B47" i="1"/>
  <c r="A8" i="1" l="1"/>
  <c r="B8" i="1"/>
  <c r="A4" i="2" l="1"/>
  <c r="A6" i="2"/>
  <c r="A7" i="2"/>
  <c r="A8" i="2"/>
  <c r="A9" i="2"/>
  <c r="A10" i="2"/>
  <c r="A23" i="2"/>
  <c r="A24" i="2"/>
  <c r="A11" i="2"/>
  <c r="A12" i="2"/>
  <c r="A13" i="2"/>
  <c r="A14" i="2"/>
  <c r="A15" i="2"/>
  <c r="A16" i="2"/>
  <c r="A17" i="2"/>
  <c r="A20" i="2"/>
  <c r="A3" i="2"/>
  <c r="A25" i="3"/>
  <c r="A44" i="1"/>
  <c r="B44" i="1"/>
  <c r="B3" i="3" l="1"/>
  <c r="B2" i="3"/>
  <c r="A62" i="3"/>
  <c r="A29" i="3"/>
  <c r="A64" i="3"/>
  <c r="A31" i="3"/>
  <c r="A129" i="3"/>
  <c r="A126" i="3"/>
  <c r="A125" i="3"/>
  <c r="A124" i="3"/>
  <c r="A123" i="3"/>
  <c r="A122" i="3"/>
  <c r="A121" i="3"/>
  <c r="A120" i="3"/>
  <c r="A119" i="3"/>
  <c r="A134" i="3"/>
  <c r="A133" i="3"/>
  <c r="A118" i="3"/>
  <c r="A117" i="3"/>
  <c r="A116" i="3"/>
  <c r="A115" i="3"/>
  <c r="A114" i="3"/>
  <c r="A113" i="3"/>
  <c r="A112" i="3"/>
  <c r="A103" i="3"/>
  <c r="A102" i="3"/>
  <c r="A101" i="3"/>
  <c r="A100" i="3"/>
  <c r="A99" i="3"/>
  <c r="A96" i="3"/>
  <c r="A95" i="3"/>
  <c r="A93" i="3"/>
  <c r="A92" i="3"/>
  <c r="A91" i="3"/>
  <c r="A90" i="3"/>
  <c r="A87" i="3"/>
  <c r="A89" i="3"/>
  <c r="A85" i="3"/>
  <c r="A83" i="3"/>
  <c r="A82" i="3"/>
  <c r="A69" i="3"/>
  <c r="A68" i="3"/>
  <c r="A67" i="3"/>
  <c r="A66" i="3"/>
  <c r="A63" i="3"/>
  <c r="A61" i="3"/>
  <c r="A59" i="3"/>
  <c r="A58" i="3"/>
  <c r="A57" i="3"/>
  <c r="A56" i="3"/>
  <c r="A55" i="3"/>
  <c r="A54" i="3"/>
  <c r="A53" i="3"/>
  <c r="A52" i="3"/>
  <c r="A48" i="3"/>
  <c r="A47" i="3"/>
  <c r="A46" i="3"/>
  <c r="A45" i="3"/>
  <c r="A35" i="3"/>
  <c r="A34" i="3"/>
  <c r="A33" i="3"/>
  <c r="A135" i="3"/>
  <c r="A30" i="3"/>
  <c r="A28" i="3"/>
  <c r="A24" i="3"/>
  <c r="A22" i="3"/>
  <c r="A21" i="3"/>
  <c r="A7" i="3"/>
  <c r="A6" i="3"/>
  <c r="A5" i="3"/>
  <c r="A4" i="3"/>
  <c r="A3" i="3"/>
  <c r="A2" i="3"/>
  <c r="A2" i="1" l="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5" i="1"/>
  <c r="A84" i="1"/>
  <c r="A83" i="1"/>
  <c r="A82" i="1"/>
  <c r="A81" i="1"/>
  <c r="A80" i="1"/>
  <c r="A79" i="1"/>
  <c r="A78" i="1"/>
  <c r="A77" i="1"/>
  <c r="A76" i="1"/>
  <c r="A75" i="1"/>
  <c r="A74" i="1"/>
  <c r="A73" i="1"/>
  <c r="A72" i="1"/>
  <c r="A71" i="1"/>
  <c r="A70" i="1"/>
  <c r="A69" i="1"/>
  <c r="A68" i="1"/>
  <c r="A67" i="1"/>
  <c r="A66" i="1"/>
  <c r="A65" i="1"/>
  <c r="A64" i="1"/>
  <c r="A63" i="1"/>
  <c r="A62" i="1"/>
  <c r="A60" i="1"/>
  <c r="A59" i="1"/>
  <c r="A58" i="1"/>
  <c r="A57" i="1"/>
  <c r="A56" i="1"/>
  <c r="A55" i="1"/>
  <c r="A54" i="1"/>
  <c r="A53" i="1"/>
  <c r="A52" i="1"/>
  <c r="A51" i="1"/>
  <c r="A50" i="1"/>
  <c r="A49" i="1"/>
  <c r="A48" i="1"/>
  <c r="A46" i="1"/>
  <c r="A86" i="1"/>
  <c r="A45" i="1"/>
  <c r="A43" i="1"/>
  <c r="A42" i="1"/>
  <c r="A41" i="1"/>
  <c r="A40" i="1"/>
  <c r="A39" i="1"/>
  <c r="A38" i="1"/>
  <c r="A37" i="1"/>
  <c r="A35" i="1"/>
  <c r="A34" i="1"/>
  <c r="A33" i="1"/>
  <c r="A32" i="1"/>
  <c r="A31" i="1"/>
  <c r="A30" i="1"/>
  <c r="A29" i="1"/>
  <c r="A28" i="1"/>
  <c r="A27" i="1"/>
  <c r="A26" i="1"/>
  <c r="A25" i="1"/>
  <c r="A24" i="1"/>
  <c r="A23" i="1"/>
  <c r="A22" i="1"/>
  <c r="A21" i="1"/>
  <c r="A20" i="1"/>
  <c r="A19" i="1"/>
  <c r="A18" i="1"/>
  <c r="A17" i="1"/>
  <c r="A16" i="1"/>
  <c r="A15" i="1"/>
  <c r="A14" i="1"/>
  <c r="A13" i="1"/>
  <c r="A12" i="1"/>
  <c r="A11" i="1"/>
  <c r="A9" i="1"/>
  <c r="A7" i="1"/>
  <c r="A6" i="1"/>
  <c r="A87" i="1"/>
  <c r="A5" i="1"/>
  <c r="A4" i="1"/>
  <c r="A3"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5" i="1"/>
  <c r="B84" i="1"/>
  <c r="B83" i="1"/>
  <c r="B82" i="1"/>
  <c r="B81" i="1"/>
  <c r="B80" i="1"/>
  <c r="B79" i="1"/>
  <c r="B78" i="1"/>
  <c r="B77" i="1"/>
  <c r="B76" i="1"/>
  <c r="B75" i="1"/>
  <c r="B74" i="1"/>
  <c r="B73" i="1"/>
  <c r="B72" i="1"/>
  <c r="B71" i="1"/>
  <c r="B70" i="1"/>
  <c r="B69" i="1"/>
  <c r="B68" i="1"/>
  <c r="B67" i="1"/>
  <c r="B66" i="1"/>
  <c r="B65" i="1"/>
  <c r="B64" i="1"/>
  <c r="B63" i="1"/>
  <c r="B62" i="1"/>
  <c r="B60" i="1"/>
  <c r="B59" i="1"/>
  <c r="B58" i="1"/>
  <c r="B57" i="1"/>
  <c r="B56" i="1"/>
  <c r="B55" i="1"/>
  <c r="B54" i="1"/>
  <c r="B53" i="1"/>
  <c r="B52" i="1"/>
  <c r="B51" i="1"/>
  <c r="B50" i="1"/>
  <c r="B49" i="1"/>
  <c r="B48" i="1"/>
  <c r="B46" i="1"/>
  <c r="B86" i="1"/>
  <c r="B45" i="1"/>
  <c r="B43" i="1"/>
  <c r="B42" i="1"/>
  <c r="B41" i="1"/>
  <c r="B40" i="1"/>
  <c r="B39" i="1"/>
  <c r="B38" i="1"/>
  <c r="B37" i="1"/>
  <c r="B35" i="1"/>
  <c r="B34" i="1"/>
  <c r="B33" i="1"/>
  <c r="B32" i="1"/>
  <c r="B31" i="1"/>
  <c r="B30" i="1"/>
  <c r="B29" i="1"/>
  <c r="B28" i="1"/>
  <c r="B27" i="1"/>
  <c r="B26" i="1"/>
  <c r="B25" i="1"/>
  <c r="B24" i="1"/>
  <c r="B23" i="1"/>
  <c r="B22" i="1"/>
  <c r="B21" i="1"/>
  <c r="B20" i="1"/>
  <c r="B19" i="1"/>
  <c r="B18" i="1"/>
  <c r="B17" i="1"/>
  <c r="B16" i="1"/>
  <c r="B15" i="1"/>
  <c r="B14" i="1"/>
  <c r="B13" i="1"/>
  <c r="B12" i="1"/>
  <c r="B11" i="1"/>
  <c r="B9" i="1"/>
  <c r="B7" i="1"/>
  <c r="B6" i="1"/>
  <c r="B87" i="1"/>
  <c r="B5" i="1"/>
  <c r="B4" i="1"/>
  <c r="B3" i="1"/>
</calcChain>
</file>

<file path=xl/sharedStrings.xml><?xml version="1.0" encoding="utf-8"?>
<sst xmlns="http://schemas.openxmlformats.org/spreadsheetml/2006/main" count="959" uniqueCount="444">
  <si>
    <t>#</t>
  </si>
  <si>
    <t>IN-001</t>
  </si>
  <si>
    <t>T</t>
  </si>
  <si>
    <t>F</t>
  </si>
  <si>
    <t>NProc directive not recognized</t>
  </si>
  <si>
    <t>IN-002</t>
  </si>
  <si>
    <t>Trying to report an undeclared variable</t>
  </si>
  <si>
    <t>IN-003</t>
  </si>
  <si>
    <t>Redefining a previously stored setting</t>
  </si>
  <si>
    <t>IN-004</t>
  </si>
  <si>
    <t>IN-005</t>
  </si>
  <si>
    <t>IN-007</t>
  </si>
  <si>
    <t>A boolean argument has not been properly written. Will be interpreted as false</t>
  </si>
  <si>
    <t>IN-010</t>
  </si>
  <si>
    <t>Command Line Issues</t>
  </si>
  <si>
    <t>UI-001</t>
  </si>
  <si>
    <t>Duplicated or contradictory flags on command call</t>
  </si>
  <si>
    <t>UI-002</t>
  </si>
  <si>
    <t>Flag expected</t>
  </si>
  <si>
    <t>UI-003</t>
  </si>
  <si>
    <t>Flag not recognized, flag omitted</t>
  </si>
  <si>
    <t>UI-004</t>
  </si>
  <si>
    <t>Label without content</t>
  </si>
  <si>
    <t>UI-006</t>
  </si>
  <si>
    <t>Empty NProc name</t>
  </si>
  <si>
    <t>File IO Issues</t>
  </si>
  <si>
    <t>ER-001</t>
  </si>
  <si>
    <t>ER-002</t>
  </si>
  <si>
    <t>ER-003</t>
  </si>
  <si>
    <t>File couldn't be opened</t>
  </si>
  <si>
    <t>ER-004</t>
  </si>
  <si>
    <t>ER-005</t>
  </si>
  <si>
    <t>Trying to get a new line from a non ready file</t>
  </si>
  <si>
    <t>ER-006</t>
  </si>
  <si>
    <t>Trying to get a new line from a file already at the end</t>
  </si>
  <si>
    <t>ER-007</t>
  </si>
  <si>
    <t>Fail on getting a new line from nproc file</t>
  </si>
  <si>
    <t>ER-008</t>
  </si>
  <si>
    <t>ER-009</t>
  </si>
  <si>
    <t>Trying to close an unopened file</t>
  </si>
  <si>
    <t>ER-010</t>
  </si>
  <si>
    <t>Implementation Issues</t>
  </si>
  <si>
    <t>DV-001</t>
  </si>
  <si>
    <t>Missing implementation</t>
  </si>
  <si>
    <t>DV-002</t>
  </si>
  <si>
    <t>Trying to declare a previously declared setting</t>
  </si>
  <si>
    <t>DV-003</t>
  </si>
  <si>
    <t>Trying to load a setting of an unsupported type</t>
  </si>
  <si>
    <t>DV-005</t>
  </si>
  <si>
    <t>DV-006</t>
  </si>
  <si>
    <t>Trying to read an incorrect data type for the setting</t>
  </si>
  <si>
    <t>DV-007</t>
  </si>
  <si>
    <t>The setting count is different than the declared setting count on the HashEntry</t>
  </si>
  <si>
    <t>DV-012</t>
  </si>
  <si>
    <t>Trying a quick access of incorrect type</t>
  </si>
  <si>
    <t>DV-013</t>
  </si>
  <si>
    <t>Hash Table Full</t>
  </si>
  <si>
    <t>DV-015</t>
  </si>
  <si>
    <t>Setting declared but hasn't been initialized</t>
  </si>
  <si>
    <t>DV-017</t>
  </si>
  <si>
    <t>Discrepancy on neuron type on assignment</t>
  </si>
  <si>
    <t>DV-018</t>
  </si>
  <si>
    <t>Trying to quick retrieve un-existent value</t>
  </si>
  <si>
    <t>Reporting Issues</t>
  </si>
  <si>
    <t>RP-001</t>
  </si>
  <si>
    <t>Trying to open an already opened stream</t>
  </si>
  <si>
    <t>RP-002</t>
  </si>
  <si>
    <t>Trying to close a non opened stream</t>
  </si>
  <si>
    <t>Simulator Interface Issues</t>
  </si>
  <si>
    <t>SD-001</t>
  </si>
  <si>
    <t>Simple Simulator Not Initialized</t>
  </si>
  <si>
    <t>SD-002</t>
  </si>
  <si>
    <t>V1V1_weight_adaptation not recognized</t>
  </si>
  <si>
    <t>SD-003</t>
  </si>
  <si>
    <t>MT_act_method not recognized</t>
  </si>
  <si>
    <t>SD-004</t>
  </si>
  <si>
    <t>V1_D001_excitatory_factor is required for calculation</t>
  </si>
  <si>
    <t>SD-005</t>
  </si>
  <si>
    <t>V1_D001_conductance_leak is required for calculation</t>
  </si>
  <si>
    <t>SD-006</t>
  </si>
  <si>
    <t>V1_D001_inhibition_factor is required for calculation</t>
  </si>
  <si>
    <t>SD-007</t>
  </si>
  <si>
    <t>V1MT_connection_method not recognized</t>
  </si>
  <si>
    <t>SD-009</t>
  </si>
  <si>
    <t>V1_dac_method not recognized</t>
  </si>
  <si>
    <t>SD-010</t>
  </si>
  <si>
    <t>V1MT_sigma is required for calculation</t>
  </si>
  <si>
    <t>SD-011</t>
  </si>
  <si>
    <t>V1MT_amplification is required for calculation</t>
  </si>
  <si>
    <t>SD-012</t>
  </si>
  <si>
    <t>V1MT_modulation is required for calculation</t>
  </si>
  <si>
    <t>SD-013</t>
  </si>
  <si>
    <t>V1MT_aperture is required for calculation</t>
  </si>
  <si>
    <t>SD-015</t>
  </si>
  <si>
    <t>No V1_Neuron created</t>
  </si>
  <si>
    <t>SD-016</t>
  </si>
  <si>
    <t>No MT_Neuron created</t>
  </si>
  <si>
    <t>SD-017</t>
  </si>
  <si>
    <t>SD-018</t>
  </si>
  <si>
    <t>MT_dac_method not recognized</t>
  </si>
  <si>
    <t>SD-019</t>
  </si>
  <si>
    <t>V1V1_base_weight_source not recognized</t>
  </si>
  <si>
    <t>SD-020</t>
  </si>
  <si>
    <t>V1V1_default_weight is required for calculation</t>
  </si>
  <si>
    <t>SD-021</t>
  </si>
  <si>
    <t>Invalid timing for eternal excitation</t>
  </si>
  <si>
    <t>SD-023</t>
  </si>
  <si>
    <t>Invalid Parameter</t>
  </si>
  <si>
    <t>SD-025</t>
  </si>
  <si>
    <t>Unordered external excitation phase insertion attempt</t>
  </si>
  <si>
    <t>SD-027</t>
  </si>
  <si>
    <t>First diffusion phase should be always zero</t>
  </si>
  <si>
    <t>SD-028</t>
  </si>
  <si>
    <t>The number of steps for simulate needs to be at least 1</t>
  </si>
  <si>
    <t>SD-030</t>
  </si>
  <si>
    <t>Internal simulation pointer corruption</t>
  </si>
  <si>
    <t>SD-031</t>
  </si>
  <si>
    <t>Trying to compare 2 identical MT cells</t>
  </si>
  <si>
    <t>SD-033</t>
  </si>
  <si>
    <t>Trying to access an invalid activation TimeStep</t>
  </si>
  <si>
    <t>SD-034</t>
  </si>
  <si>
    <t>V1_act_method not recognized</t>
  </si>
  <si>
    <t>SD-035</t>
  </si>
  <si>
    <t>V1_external_excitation_method not recognized</t>
  </si>
  <si>
    <t>Warnings</t>
  </si>
  <si>
    <t>WN-001</t>
  </si>
  <si>
    <t>Undocumented RFSize Calculation</t>
  </si>
  <si>
    <t>WN-002</t>
  </si>
  <si>
    <t>Undocumented Sigma Calculation</t>
  </si>
  <si>
    <t>WN-003</t>
  </si>
  <si>
    <t>Undocumented AdaptedWeithg Calculation</t>
  </si>
  <si>
    <t>WN-004</t>
  </si>
  <si>
    <t>Undocumented AdaptedWeight correction</t>
  </si>
  <si>
    <t>WN-005</t>
  </si>
  <si>
    <t>Undocumented BaseWeight correction</t>
  </si>
  <si>
    <t>Reading Nproc File Issues</t>
  </si>
  <si>
    <t>D</t>
  </si>
  <si>
    <t>I</t>
  </si>
  <si>
    <t>R</t>
  </si>
  <si>
    <t>N</t>
  </si>
  <si>
    <t>Description</t>
  </si>
  <si>
    <t>WN-006</t>
  </si>
  <si>
    <t>SD-036</t>
  </si>
  <si>
    <t>Setting not recognized</t>
  </si>
  <si>
    <t>SD-037</t>
  </si>
  <si>
    <t>Setting required</t>
  </si>
  <si>
    <t>File couldn't be properly closed</t>
  </si>
  <si>
    <t>Required file is empty</t>
  </si>
  <si>
    <t>Math</t>
  </si>
  <si>
    <t>C</t>
  </si>
  <si>
    <t>PI</t>
  </si>
  <si>
    <t>HashTable</t>
  </si>
  <si>
    <t>HASH_C</t>
  </si>
  <si>
    <t>HASH_SIZE</t>
  </si>
  <si>
    <t>Pi value for internal calculations</t>
  </si>
  <si>
    <t>DEFAULT_MESSAGES</t>
  </si>
  <si>
    <t>DEFAULT_SILENT_OUTPUT</t>
  </si>
  <si>
    <t>true</t>
  </si>
  <si>
    <t>false</t>
  </si>
  <si>
    <t>3.1415926535</t>
  </si>
  <si>
    <t>Environment Variables</t>
  </si>
  <si>
    <t>Default behaviour at printing log messages. True prints, false doesn't print</t>
  </si>
  <si>
    <t>Default bebaviour for silencing the log output. False prints output, true silences it (doens't print)</t>
  </si>
  <si>
    <t>P</t>
  </si>
  <si>
    <t>Data_bool</t>
  </si>
  <si>
    <t>HASH_A</t>
  </si>
  <si>
    <t>HASH_B</t>
  </si>
  <si>
    <t>V1 Neuron Parameters</t>
  </si>
  <si>
    <t>MAX_V1_NEURONS</t>
  </si>
  <si>
    <t>Fix amount of digits at V1 neurons numbering</t>
  </si>
  <si>
    <t>V1_ACTIVATION_METHOD</t>
  </si>
  <si>
    <t>Data_string</t>
  </si>
  <si>
    <t>"none"</t>
  </si>
  <si>
    <t>V1_DACTIVATION_METHOD</t>
  </si>
  <si>
    <t>Variable that contains the method to be used at V1 activation derivate calculation</t>
  </si>
  <si>
    <t>Variable that contains the method to be used at V1 activation calculation</t>
  </si>
  <si>
    <t>V1_D001</t>
  </si>
  <si>
    <t>V1 derivate activation method D001</t>
  </si>
  <si>
    <t>V1_D001_CONDUCTANCE_LEAK</t>
  </si>
  <si>
    <t>Data_double</t>
  </si>
  <si>
    <t>V1_D001_EXCITATORY_FACTOR</t>
  </si>
  <si>
    <t>V1_D001_INHIBITION_FACTOR</t>
  </si>
  <si>
    <t>V1_F001_A</t>
  </si>
  <si>
    <t>V1_F001_B</t>
  </si>
  <si>
    <t>V1_F001_ORIENTATION</t>
  </si>
  <si>
    <t>V1_F001_SPATIAL_FREQUENCY</t>
  </si>
  <si>
    <t>V1_F001_TEMPORAL_FREQUENCY</t>
  </si>
  <si>
    <t>V1_F001_MAGNITUDE</t>
  </si>
  <si>
    <t>V1_F001_PHASE</t>
  </si>
  <si>
    <t>V1_F001</t>
  </si>
  <si>
    <t>MT Neuron Parameters</t>
  </si>
  <si>
    <t>MAX_MT_NEURONS</t>
  </si>
  <si>
    <t>MT_ACTIVATION_METHOD</t>
  </si>
  <si>
    <t>MT_DACTIVATION_METHOD</t>
  </si>
  <si>
    <t>MT_A001</t>
  </si>
  <si>
    <t>Simulator Defines</t>
  </si>
  <si>
    <t>SIMULATOR_TIME_STEP</t>
  </si>
  <si>
    <t>Interface Defines</t>
  </si>
  <si>
    <t>LABEL_DONE</t>
  </si>
  <si>
    <t>"DONE"</t>
  </si>
  <si>
    <t>"FAIL"</t>
  </si>
  <si>
    <t>LABEL_ENVIRONMENT_SETTINGS</t>
  </si>
  <si>
    <t>LABEL_SIMULATOR_SETTINGS</t>
  </si>
  <si>
    <t>LABEL_RUN_SIMULATION</t>
  </si>
  <si>
    <t>LABEL_REPORTING</t>
  </si>
  <si>
    <t>LABEL_IO_INTERACTIONS</t>
  </si>
  <si>
    <t>"setenv"</t>
  </si>
  <si>
    <t>"setsim"</t>
  </si>
  <si>
    <t>"runsim"</t>
  </si>
  <si>
    <t>"report"</t>
  </si>
  <si>
    <t>"rescue"</t>
  </si>
  <si>
    <t>LABEL_COMMENT_STRING</t>
  </si>
  <si>
    <t>LABEL_COMMENT_CHAR</t>
  </si>
  <si>
    <t>'#'</t>
  </si>
  <si>
    <t>"#"</t>
  </si>
  <si>
    <t>Run Simulation Calls</t>
  </si>
  <si>
    <t>Reporting Calls</t>
  </si>
  <si>
    <t>PRINT_ENV</t>
  </si>
  <si>
    <t>PRINT_SIM</t>
  </si>
  <si>
    <t>IO Interaction Calls</t>
  </si>
  <si>
    <t>NPROC_SILENT</t>
  </si>
  <si>
    <t>"Nproc_Silent"</t>
  </si>
  <si>
    <t>"V1_D001"</t>
  </si>
  <si>
    <t>"V1_F001"</t>
  </si>
  <si>
    <t>"MT_A001"</t>
  </si>
  <si>
    <t>LABEL_FAIL</t>
  </si>
  <si>
    <t>V1MT_CONNECTION_METHOD</t>
  </si>
  <si>
    <t>V1MT_L001</t>
  </si>
  <si>
    <t>"V1MT_L001"</t>
  </si>
  <si>
    <t>V1MT_L001_APERTURE</t>
  </si>
  <si>
    <t>V1MT_L001_AMPLIFICATION</t>
  </si>
  <si>
    <t>V1MT_L001_SIGMA</t>
  </si>
  <si>
    <t>V1MT_L001_MODULATION</t>
  </si>
  <si>
    <t>V1_EXTERNAL_EXCITATION_METHOD</t>
  </si>
  <si>
    <t>S</t>
  </si>
  <si>
    <t>E</t>
  </si>
  <si>
    <t>V1_LABEL</t>
  </si>
  <si>
    <t>"V1"</t>
  </si>
  <si>
    <t>MT_LABEL</t>
  </si>
  <si>
    <t>"MT"</t>
  </si>
  <si>
    <t>NEURONS_NAME_SIZE</t>
  </si>
  <si>
    <t>Trying to use an unsupported setting</t>
  </si>
  <si>
    <t>Data_int</t>
  </si>
  <si>
    <t>There are undocumented calculations in use</t>
  </si>
  <si>
    <t>Hashing prime 1, required for hasing strings</t>
  </si>
  <si>
    <t>Hashing prime 2, required for hasing strings</t>
  </si>
  <si>
    <t>Hashing prime 3, required for hasing strings</t>
  </si>
  <si>
    <t>HashTable default size</t>
  </si>
  <si>
    <t>Deprecated Messages</t>
  </si>
  <si>
    <t>Click this Cell to Update define.h, SettingsManager.Initialize.cpp</t>
  </si>
  <si>
    <t>SD-032</t>
  </si>
  <si>
    <t>Empty pointer to function entry</t>
  </si>
  <si>
    <t>HIDE_END</t>
  </si>
  <si>
    <t>Hide DONE/FAIL interpreter result</t>
  </si>
  <si>
    <t>Main</t>
  </si>
  <si>
    <t>Secondary</t>
  </si>
  <si>
    <t>function</t>
  </si>
  <si>
    <t>SetenvCall</t>
  </si>
  <si>
    <t>SetsimCall</t>
  </si>
  <si>
    <t>RunsimCall</t>
  </si>
  <si>
    <t>ReportCall</t>
  </si>
  <si>
    <t>RescueCall</t>
  </si>
  <si>
    <t>Click this cell to update Interpretermanager.Initialize.cpp</t>
  </si>
  <si>
    <t>Run Commands</t>
  </si>
  <si>
    <t>Reporting Commands</t>
  </si>
  <si>
    <t>I/O Interaction Commands</t>
  </si>
  <si>
    <t>IN-006</t>
  </si>
  <si>
    <t>Deprecated</t>
  </si>
  <si>
    <t>Flag not found or without a value</t>
  </si>
  <si>
    <t>"ss_initialize"</t>
  </si>
  <si>
    <t>"ss_add_V1_diffusion"</t>
  </si>
  <si>
    <t>"ss_simulate"</t>
  </si>
  <si>
    <t>"print_env"</t>
  </si>
  <si>
    <t>"print_sim"</t>
  </si>
  <si>
    <t>"ss_print_V1_activation"</t>
  </si>
  <si>
    <t>"ss_print_V1_activation_horizontal"</t>
  </si>
  <si>
    <t>"ss_print_V1_external_excitation"</t>
  </si>
  <si>
    <t>"ss_print_MT_activation"</t>
  </si>
  <si>
    <t>"ss_print_MT_activation_horizontal"</t>
  </si>
  <si>
    <t>"nproc"</t>
  </si>
  <si>
    <t>RP-003</t>
  </si>
  <si>
    <t>Stream didn't oppened correctly</t>
  </si>
  <si>
    <t>RescueCall_NPROC</t>
  </si>
  <si>
    <t>Default Log Verbose Behavior</t>
  </si>
  <si>
    <t>2.0/3.0</t>
  </si>
  <si>
    <t>Maximum number of V1 neurons to use</t>
  </si>
  <si>
    <t>V1 Activation Methods</t>
  </si>
  <si>
    <t>V1_A001</t>
  </si>
  <si>
    <t>"V1_A001"</t>
  </si>
  <si>
    <t>V1 activation method A001</t>
  </si>
  <si>
    <t>V1 Derivate Activation Methods</t>
  </si>
  <si>
    <t>V1_D001 Method Parameters</t>
  </si>
  <si>
    <t>V1_A001 Method Parameters</t>
  </si>
  <si>
    <t>V1 Diffusion Imput Methods</t>
  </si>
  <si>
    <t>V1_F001 Method Parameters</t>
  </si>
  <si>
    <t>V1 Neuron Settings</t>
  </si>
  <si>
    <t>MT Neuron Settings</t>
  </si>
  <si>
    <t>MT_A001 Parameters</t>
  </si>
  <si>
    <t>None</t>
  </si>
  <si>
    <t>MT Activation Methods</t>
  </si>
  <si>
    <t>MT Derivate Activation Methods</t>
  </si>
  <si>
    <t>MT_D001</t>
  </si>
  <si>
    <t>"MT_D001"</t>
  </si>
  <si>
    <t>MT_D001 Parameters</t>
  </si>
  <si>
    <t>Neuron Linking</t>
  </si>
  <si>
    <t>V1V1 Linking Methods</t>
  </si>
  <si>
    <t>V1V1_L001</t>
  </si>
  <si>
    <t>"V1V1_L001"</t>
  </si>
  <si>
    <t>V1V1_L001 Link Parameters</t>
  </si>
  <si>
    <t>MTMT Link Methods</t>
  </si>
  <si>
    <t>V1V1_L001_BASE_WEIGHT_SOURCE</t>
  </si>
  <si>
    <t>V1V1_L001_DEFAULT_WEIGHT</t>
  </si>
  <si>
    <t>V1MT Linking Methods</t>
  </si>
  <si>
    <t>V1MT_L001 Link Parameters</t>
  </si>
  <si>
    <t>V1V1_CONNECTION_METHOD</t>
  </si>
  <si>
    <t>Defines</t>
  </si>
  <si>
    <t>V1_FIRST_CALCULATION</t>
  </si>
  <si>
    <t>Variable that contains if activation or dactivation is calculated first</t>
  </si>
  <si>
    <t>MT_FIRST_CALCULATION</t>
  </si>
  <si>
    <t>CALCULATE_ACTIVATION</t>
  </si>
  <si>
    <t>CALCULATE_DACTIVATION</t>
  </si>
  <si>
    <t>"activation"</t>
  </si>
  <si>
    <t>"dactivation"</t>
  </si>
  <si>
    <t>V1_A001_NL_MAX</t>
  </si>
  <si>
    <t>V1_A001_NL_A</t>
  </si>
  <si>
    <t>V1_A001_NL_B</t>
  </si>
  <si>
    <t>INTERPRETER_MANAGER_COMMANDS_HASH_SIZE</t>
  </si>
  <si>
    <t>LOG_MANAGER_MESSAGES_HASH_SIZE</t>
  </si>
  <si>
    <t>SETTINGS_MANAGER_INT_HASH_SIZE</t>
  </si>
  <si>
    <t>MAX_LINKING_NEURONS</t>
  </si>
  <si>
    <t>HashTables Sizes</t>
  </si>
  <si>
    <t>SETTINGS_MANAGER_DOUBLE_HASH_SIZE</t>
  </si>
  <si>
    <t>SETTINGS_MANAGER_FLOAT_HASH_SIZE</t>
  </si>
  <si>
    <t>SETTINGS_MANAGER_STRING_HASH_SIZE</t>
  </si>
  <si>
    <t>SETTINGS_MANAGER_BOOL_HASH_SIZE</t>
  </si>
  <si>
    <t>SETTINGS_MANAGER_SETTINGSIZE_HASH_SIZE</t>
  </si>
  <si>
    <t>SETTINGS_MANAGER_SETTINGTYPE_HASH_SIZE</t>
  </si>
  <si>
    <t>HASH_CAPACITY_MULTIPLICATOR</t>
  </si>
  <si>
    <t>":" + V1_LABEL</t>
  </si>
  <si>
    <t>V1_D001_WEIGHT_FACTOR</t>
  </si>
  <si>
    <t>45.0 + 1.0</t>
  </si>
  <si>
    <t>Click this Cell to Update LogManager.Initialize.cpp &amp; Manual_23_Messages_A.tex</t>
  </si>
  <si>
    <t>The Simulator as well as the Simulation Environment has a list of predefined variables so store and retrieve information. The variable been addressed is not part of the list. The user is not allowed to create new variables.</t>
  </si>
  <si>
    <t>The directive (first word on the nproc command) trying to get interpreted is not on the list of possible directives. Please go to the Reference Manual chapter "Directives" to get a full list of valid directives.</t>
  </si>
  <si>
    <t>The sub-directive (second word on the nproc command)  trying to get interpreted is not on the list of possible directives. Please go to the Reference Manual chapter "Directives" to get a full list of valid directives.</t>
  </si>
  <si>
    <t>A value has tried to be written on an un-identified or un-available configuration variable. This nproc line will be ommited</t>
  </si>
  <si>
    <t>Unidentified sub directive, ignoring line</t>
  </si>
  <si>
    <t>Unidentified setting, ignoring line</t>
  </si>
  <si>
    <t>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t>
  </si>
  <si>
    <t>A string been read as boolean doen't match any of the possible true values (true, True, T, t, 1) neither false (false, False, F, f, 0). It will be interpreted and stored as false.</t>
  </si>
  <si>
    <t>Incorrect amount of arguments for the command, ignoring line</t>
  </si>
  <si>
    <t>The number of arguments of the command doesn't match the minimum required. This line will be ignored.</t>
  </si>
  <si>
    <t>The Neuronment command-line call has a flag declared more than once or two flags that are different are trying to set a contradictory behaivior</t>
  </si>
  <si>
    <t>The Neuronment command-line call holds a value in a place where should be a flag (a tring starting with "-").</t>
  </si>
  <si>
    <t>The Neuronment command-line call has detected a flag that isn't on the list of possible flags. This flag will be ignored.</t>
  </si>
  <si>
    <t>The Neuronment command-line call has a flag that requires a value, but the value hasn't been found. If you are trying to use a negative number put it between quotes.</t>
  </si>
  <si>
    <t>The call to Neuronment requires a mandatory nproc file to be processed.</t>
  </si>
  <si>
    <t>Development Assetion</t>
  </si>
  <si>
    <t>The program arrived to an unexpected set of conditions.</t>
  </si>
  <si>
    <t>Runtime Assertion</t>
  </si>
  <si>
    <t>Something went wrong running the program. Terminating</t>
  </si>
  <si>
    <t>The nproc required for execution file couldn't be oppened</t>
  </si>
  <si>
    <t>The nproc file previously executed didn't returned a propper closed status from the OS.</t>
  </si>
  <si>
    <t>This happens when for some reason the interpreter is trying to get a new line from a file that hasn't been properly oppened</t>
  </si>
  <si>
    <t>This happens when for some reason the interpreter is trying to get a new line from a file already at the EOF</t>
  </si>
  <si>
    <t>Implementation Assertion</t>
  </si>
  <si>
    <t>There is a problem or an incompete implementation of a required feature</t>
  </si>
  <si>
    <t>The interpreter is trying to close a file that hasn't been oppened</t>
  </si>
  <si>
    <t>This happens when for some reason the file stream under interpretation isn't able to retreive a new line from the nproc file, even if it is not at the EOF.</t>
  </si>
  <si>
    <t>The interpreter requires a file for execution. In this case the file name is empty.</t>
  </si>
  <si>
    <t>LABEL_VARIABLE_MANAGEMENT</t>
  </si>
  <si>
    <t>Variable management calls</t>
  </si>
  <si>
    <t>VARMAN_SET</t>
  </si>
  <si>
    <t>"set"</t>
  </si>
  <si>
    <t>"varman"</t>
  </si>
  <si>
    <t>VarmanCall_SET</t>
  </si>
  <si>
    <t>RUNSIM_SS_INITIALIZE</t>
  </si>
  <si>
    <t>RUNSIM_SS_ADD_V1_DIFFUSION</t>
  </si>
  <si>
    <t>RUNSIM_SS_SIMULATE</t>
  </si>
  <si>
    <t>REPORT_PRINT_ENV</t>
  </si>
  <si>
    <t>REPORT_PRINT_SIM</t>
  </si>
  <si>
    <t>REPORT_SS_PRINT_V1_ACTIVATION</t>
  </si>
  <si>
    <t>REPORT_SS_PRINT_V1_ACTIVATION_HORIZONTAL</t>
  </si>
  <si>
    <t>REPORT_SS_PRINT_V1_EXTERNAL_EXCITATION</t>
  </si>
  <si>
    <t>REPORT_SS_PRINT_MT_ACTIVATION</t>
  </si>
  <si>
    <t>REPORT_SS_PRINT_MT_ACTIVATION_HORIZONTAL</t>
  </si>
  <si>
    <t>VARMAN_PRINT</t>
  </si>
  <si>
    <t>VarmanCall_PRINT</t>
  </si>
  <si>
    <t>"print"</t>
  </si>
  <si>
    <t>RESCUE_NPROC</t>
  </si>
  <si>
    <t>SIM:V1MT_L001_modulation</t>
  </si>
  <si>
    <t>SIM:V1MT_L001_sigma</t>
  </si>
  <si>
    <t>SIM:V1MT_L001_amplification</t>
  </si>
  <si>
    <t>SIM:V1MT_L001_aperture</t>
  </si>
  <si>
    <t>SIM:V1MT_connection_method</t>
  </si>
  <si>
    <t>SIM:V1V1_L001_default_weight</t>
  </si>
  <si>
    <t>SIM:V1V1_L001_base_weight_source</t>
  </si>
  <si>
    <t>SIM:V1V1_connection_method</t>
  </si>
  <si>
    <t>SIM:MT_dac_method</t>
  </si>
  <si>
    <t>SIM:MT_act_method</t>
  </si>
  <si>
    <t>SIM:MT_first_calculation</t>
  </si>
  <si>
    <t>SIM:V1_F001_phase</t>
  </si>
  <si>
    <t>SIM:V1_F001_magnitude</t>
  </si>
  <si>
    <t>SIM:V1_F001_temporal_frequency</t>
  </si>
  <si>
    <t>SIM:V1_F001_spatial_frequency</t>
  </si>
  <si>
    <t>SIM:V1_F001_orientation</t>
  </si>
  <si>
    <t>SIM:V1_F001_b</t>
  </si>
  <si>
    <t>SIM:V1_F001_a</t>
  </si>
  <si>
    <t>SIM:V1_D001_weight_factor</t>
  </si>
  <si>
    <t>SIM:V1_D001_inhibition_factor</t>
  </si>
  <si>
    <t>SIM:V1_D001_excitatory_factor</t>
  </si>
  <si>
    <t>SIM:V1_D001_conductance_leak</t>
  </si>
  <si>
    <t>SIM:V1_A001_nl_b</t>
  </si>
  <si>
    <t>SIM:V1_A001_nl_a</t>
  </si>
  <si>
    <t>SIM:V1_A001_nl_max</t>
  </si>
  <si>
    <t>SIM:V1_external_excitation_method</t>
  </si>
  <si>
    <t>SIM:V1_dac_method</t>
  </si>
  <si>
    <t>SIM:V1_act_method</t>
  </si>
  <si>
    <t>SIM:V1_first_calculation</t>
  </si>
  <si>
    <t>ENV:hide_end</t>
  </si>
  <si>
    <t>SIM:simulator_time_step</t>
  </si>
  <si>
    <t>string("SIM:") + V1_LABEL</t>
  </si>
  <si>
    <t>string("SIM:") + MT_LABEL</t>
  </si>
  <si>
    <t>Variable Management</t>
  </si>
  <si>
    <t>LABEL_REDIRECTION_STRING</t>
  </si>
  <si>
    <t>LABEL_REDIRECTION_CHAR</t>
  </si>
  <si>
    <t>"&gt;"</t>
  </si>
  <si>
    <t>'&gt;'</t>
  </si>
  <si>
    <t>DV-008</t>
  </si>
  <si>
    <t>The Log manager is being copied and this should NEVER happen</t>
  </si>
  <si>
    <t>string("'") + IIntToString(i)</t>
  </si>
  <si>
    <t>string("'") + IIntToString(j)</t>
  </si>
  <si>
    <t>ENV:max_nproc_nesting</t>
  </si>
  <si>
    <t>MAX_NPROC_NESTING</t>
  </si>
  <si>
    <t>Set the maximum number of "rescue nproc" calls that can be nested</t>
  </si>
  <si>
    <t>IN-008</t>
  </si>
  <si>
    <t>The maximum amount of possible nested \"rescue nproc\" calls has been reached</t>
  </si>
  <si>
    <t>DEFAULT_FULL_SILENT_OUTPUT</t>
  </si>
  <si>
    <t>RESCUE_RETURN</t>
  </si>
  <si>
    <t>RescueCall_RETURN</t>
  </si>
  <si>
    <t>"return"</t>
  </si>
  <si>
    <t>LABEL_INDENTATION_STRING</t>
  </si>
  <si>
    <t>LABEL_MESSAGE_STRING</t>
  </si>
  <si>
    <t>":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</si>
</sst>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0000000"/>
  </numFmts>
  <fonts count="1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6"/>
        <bgColor indexed="64"/>
      </patternFill>
    </fill>
    <fill>
      <patternFill patternType="solid">
        <fgColor theme="9"/>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8">
    <xf numFmtId="0" fontId="0" fillId="0" borderId="0" xfId="0"/>
    <xf numFmtId="0" fontId="0" fillId="0" borderId="0" xfId="0" applyAlignment="1">
      <alignment horizontal="center"/>
    </xf>
    <xf numFmtId="2" fontId="0" fillId="0" borderId="0" xfId="0" applyNumberFormat="1" applyAlignment="1">
      <alignment horizontal="center"/>
    </xf>
    <xf numFmtId="0" fontId="0" fillId="0" borderId="0" xfId="0" applyNumberFormat="1" applyAlignment="1">
      <alignment horizontal="center"/>
    </xf>
    <xf numFmtId="0" fontId="0" fillId="33" borderId="0" xfId="0" applyFill="1"/>
    <xf numFmtId="0" fontId="0" fillId="33" borderId="0" xfId="0" applyFill="1" applyAlignment="1">
      <alignment horizontal="center"/>
    </xf>
    <xf numFmtId="0" fontId="0" fillId="33" borderId="0" xfId="0" applyFill="1" applyAlignment="1">
      <alignment horizontal="left"/>
    </xf>
    <xf numFmtId="2" fontId="0" fillId="33" borderId="0" xfId="0" applyNumberFormat="1" applyFill="1" applyAlignment="1">
      <alignment horizontal="left"/>
    </xf>
    <xf numFmtId="2" fontId="0" fillId="33" borderId="0" xfId="0" applyNumberFormat="1" applyFill="1" applyAlignment="1">
      <alignment horizontal="center"/>
    </xf>
    <xf numFmtId="0" fontId="0" fillId="34" borderId="0" xfId="0" applyFill="1"/>
    <xf numFmtId="0" fontId="0" fillId="34" borderId="0" xfId="0" applyFill="1" applyAlignment="1">
      <alignment horizontal="center"/>
    </xf>
    <xf numFmtId="2" fontId="0" fillId="34" borderId="0" xfId="0" applyNumberFormat="1" applyFill="1" applyAlignment="1">
      <alignment horizontal="center"/>
    </xf>
    <xf numFmtId="0" fontId="0" fillId="34" borderId="0" xfId="0" applyFill="1" applyAlignment="1">
      <alignment horizontal="left"/>
    </xf>
    <xf numFmtId="0" fontId="0" fillId="0" borderId="0" xfId="0" applyAlignment="1">
      <alignment horizontal="left"/>
    </xf>
    <xf numFmtId="0" fontId="0" fillId="0" borderId="0" xfId="0" applyNumberFormat="1" applyAlignment="1">
      <alignment horizontal="left"/>
    </xf>
    <xf numFmtId="0" fontId="0" fillId="34" borderId="0" xfId="0" applyFill="1" applyAlignment="1">
      <alignment wrapText="1"/>
    </xf>
    <xf numFmtId="0" fontId="0" fillId="33" borderId="0" xfId="0" applyFill="1" applyAlignment="1">
      <alignment wrapText="1"/>
    </xf>
    <xf numFmtId="0" fontId="0" fillId="0" borderId="0" xfId="0" applyAlignment="1">
      <alignment wrapText="1"/>
    </xf>
    <xf numFmtId="0" fontId="0" fillId="0" borderId="0" xfId="0" applyFill="1" applyAlignment="1">
      <alignment horizontal="center"/>
    </xf>
    <xf numFmtId="0" fontId="0" fillId="35" borderId="0" xfId="0" applyFill="1" applyAlignment="1">
      <alignment wrapText="1"/>
    </xf>
    <xf numFmtId="0" fontId="0" fillId="35" borderId="0" xfId="0" applyFill="1" applyAlignment="1">
      <alignment horizontal="center"/>
    </xf>
    <xf numFmtId="0" fontId="0" fillId="35" borderId="0" xfId="0" applyFill="1" applyAlignment="1">
      <alignment horizontal="left"/>
    </xf>
    <xf numFmtId="0" fontId="0" fillId="35" borderId="0" xfId="0" applyFill="1"/>
    <xf numFmtId="0" fontId="0" fillId="0" borderId="0" xfId="0" applyFill="1" applyAlignment="1">
      <alignment wrapText="1"/>
    </xf>
    <xf numFmtId="0" fontId="0" fillId="0" borderId="0" xfId="0" applyNumberFormat="1" applyFill="1" applyAlignment="1">
      <alignment horizontal="center"/>
    </xf>
    <xf numFmtId="0" fontId="0" fillId="0" borderId="0" xfId="0" applyFill="1" applyAlignment="1">
      <alignment horizontal="left"/>
    </xf>
    <xf numFmtId="0" fontId="0" fillId="0" borderId="0" xfId="0" applyFill="1"/>
    <xf numFmtId="0" fontId="0" fillId="36" borderId="0" xfId="0" applyFill="1" applyAlignment="1">
      <alignment horizontal="center"/>
    </xf>
    <xf numFmtId="49" fontId="0" fillId="0" borderId="0" xfId="0" applyNumberFormat="1"/>
    <xf numFmtId="0" fontId="0" fillId="0" borderId="0" xfId="0" quotePrefix="1" applyAlignment="1">
      <alignment horizontal="left"/>
    </xf>
    <xf numFmtId="49" fontId="0" fillId="35" borderId="0" xfId="0" applyNumberFormat="1" applyFill="1"/>
    <xf numFmtId="0" fontId="0" fillId="0" borderId="0" xfId="0" quotePrefix="1" applyNumberFormat="1" applyFill="1" applyAlignment="1">
      <alignment horizontal="left"/>
    </xf>
    <xf numFmtId="49" fontId="0" fillId="0" borderId="0" xfId="0" applyNumberFormat="1" applyFill="1"/>
    <xf numFmtId="0" fontId="0" fillId="37" borderId="0" xfId="0" applyFill="1" applyAlignment="1">
      <alignment wrapText="1"/>
    </xf>
    <xf numFmtId="0" fontId="0" fillId="37" borderId="0" xfId="0" applyFill="1" applyAlignment="1">
      <alignment horizontal="center"/>
    </xf>
    <xf numFmtId="0" fontId="0" fillId="37" borderId="0" xfId="0" applyFill="1" applyAlignment="1">
      <alignment horizontal="left"/>
    </xf>
    <xf numFmtId="0" fontId="0" fillId="37" borderId="0" xfId="0" applyFill="1"/>
    <xf numFmtId="0" fontId="0" fillId="37" borderId="0" xfId="0" applyNumberFormat="1" applyFill="1" applyAlignment="1">
      <alignment horizontal="center"/>
    </xf>
    <xf numFmtId="0" fontId="0" fillId="37" borderId="0" xfId="0" applyNumberFormat="1" applyFill="1" applyAlignment="1">
      <alignment horizontal="left"/>
    </xf>
    <xf numFmtId="0" fontId="18" fillId="37" borderId="0" xfId="0" applyFont="1" applyFill="1" applyAlignment="1">
      <alignment wrapText="1"/>
    </xf>
    <xf numFmtId="0" fontId="18" fillId="37" borderId="0" xfId="0" applyFont="1" applyFill="1" applyAlignment="1">
      <alignment horizontal="center"/>
    </xf>
    <xf numFmtId="0" fontId="18" fillId="37" borderId="0" xfId="0" applyFont="1" applyFill="1"/>
    <xf numFmtId="0" fontId="18" fillId="37" borderId="0" xfId="0" applyFont="1" applyFill="1" applyAlignment="1">
      <alignment horizontal="left"/>
    </xf>
    <xf numFmtId="0" fontId="0" fillId="38" borderId="0" xfId="0" applyFill="1" applyAlignment="1">
      <alignment wrapText="1"/>
    </xf>
    <xf numFmtId="0" fontId="0" fillId="38" borderId="0" xfId="0" applyFill="1" applyAlignment="1">
      <alignment horizontal="center"/>
    </xf>
    <xf numFmtId="0" fontId="0" fillId="38" borderId="0" xfId="0" applyFill="1"/>
    <xf numFmtId="0" fontId="0" fillId="38" borderId="0" xfId="0" applyFill="1" applyAlignment="1">
      <alignment horizontal="left"/>
    </xf>
    <xf numFmtId="0" fontId="0" fillId="39" borderId="0" xfId="0" applyFill="1" applyAlignment="1">
      <alignment wrapText="1"/>
    </xf>
    <xf numFmtId="0" fontId="0" fillId="39" borderId="0" xfId="0" applyFill="1" applyAlignment="1">
      <alignment horizontal="center"/>
    </xf>
    <xf numFmtId="0" fontId="0" fillId="39" borderId="0" xfId="0" applyFill="1"/>
    <xf numFmtId="0" fontId="0" fillId="39" borderId="0" xfId="0" applyFill="1" applyAlignment="1">
      <alignment horizontal="left"/>
    </xf>
    <xf numFmtId="49" fontId="0" fillId="39" borderId="0" xfId="0" applyNumberFormat="1" applyFill="1"/>
    <xf numFmtId="0" fontId="0" fillId="0" borderId="0" xfId="0" quotePrefix="1" applyNumberFormat="1" applyFill="1" applyAlignment="1">
      <alignment horizontal="center"/>
    </xf>
    <xf numFmtId="0" fontId="0" fillId="0" borderId="0" xfId="0" quotePrefix="1" applyAlignment="1">
      <alignment horizontal="center"/>
    </xf>
    <xf numFmtId="0" fontId="0" fillId="0" borderId="0" xfId="0" quotePrefix="1" applyFill="1" applyAlignment="1">
      <alignment horizontal="left"/>
    </xf>
    <xf numFmtId="0" fontId="0" fillId="0" borderId="0" xfId="0" quotePrefix="1" applyFill="1" applyAlignment="1">
      <alignment horizontal="center"/>
    </xf>
    <xf numFmtId="164" fontId="0" fillId="0" borderId="0" xfId="0" applyNumberFormat="1" applyFill="1" applyAlignment="1">
      <alignment horizontal="left"/>
    </xf>
    <xf numFmtId="164" fontId="0" fillId="0" borderId="0" xfId="0" applyNumberForma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200"/>
  <sheetViews>
    <sheetView zoomScaleNormal="100" workbookViewId="0">
      <pane ySplit="1" topLeftCell="A2" activePane="bottomLeft" state="frozen"/>
      <selection pane="bottomLeft" activeCell="H1" sqref="H1"/>
    </sheetView>
  </sheetViews>
  <sheetFormatPr defaultRowHeight="15" customHeight="1" x14ac:dyDescent="0.25"/>
  <cols>
    <col min="1" max="2" width="2.85546875" style="17" customWidth="1"/>
    <col min="3" max="3" width="8.5703125" style="1" customWidth="1"/>
    <col min="4" max="6" width="2.85546875" style="1" customWidth="1"/>
    <col min="7" max="7" width="2.85546875" style="2" customWidth="1"/>
    <col min="8" max="8" width="78.5703125" style="13" customWidth="1"/>
    <col min="9" max="9" width="2.85546875" style="1" customWidth="1"/>
    <col min="10" max="10" width="9.140625" style="13"/>
  </cols>
  <sheetData>
    <row r="1" spans="1:10" ht="15" customHeight="1" x14ac:dyDescent="0.25">
      <c r="H1" s="27" t="s">
        <v>341</v>
      </c>
    </row>
    <row r="2" spans="1:10" s="9" customFormat="1" ht="15" customHeight="1" x14ac:dyDescent="0.25">
      <c r="A2" s="15" t="str">
        <f>IF(C2&lt;&gt;"",IF(C2="#","  // "&amp;H2,
"  MessagesDevelopmentAssert.QuickPutEntry_bool("""&amp;C2&amp;""", "&amp;IF(D2="F","false",IF(D2="T","true","ERROR"))&amp;");"&amp;CHAR(10)&amp;
"  MessagesImplementationAssert.QuickPutEntry_bool("""&amp;C2&amp;""", "&amp;IF(E2="F","false",IF(E2="T","true","ERROR"))&amp;");"&amp;CHAR(10)&amp;
"  MessagesRuntimeAssert.QuickPutEntry_bool("""&amp;C2&amp;""", "&amp;IF(F2="F","false",IF(F2="T","true","ERROR"))&amp;");"&amp;CHAR(10)&amp;
"  MessagesDisabling.QuickPutEntry_int("""&amp;C2&amp;""", "&amp;G2&amp;");"&amp; CHAR(10) &amp;
"  MessagesCount.QuickPutEntry_int("""&amp;C2&amp;""", 0);"&amp;CHAR(10)&amp;
"  MessagesLabel.QuickPutEntry_string("""&amp;C2&amp;""","""&amp;H2&amp;""");"&amp;
IF(J2&lt;&gt;"",CHAR(10) &amp; "  MessagesText.QuickPutEntry_string("""&amp;C2&amp;""", """&amp;SUBSTITUTE(J2,"""","\""")&amp;""");","")
),"")</f>
        <v xml:space="preserve">  // Description</v>
      </c>
      <c r="B2" s="15"/>
      <c r="C2" s="10" t="s">
        <v>0</v>
      </c>
      <c r="D2" s="10" t="s">
        <v>136</v>
      </c>
      <c r="E2" s="10" t="s">
        <v>137</v>
      </c>
      <c r="F2" s="10" t="s">
        <v>138</v>
      </c>
      <c r="G2" s="11" t="s">
        <v>139</v>
      </c>
      <c r="H2" s="12" t="s">
        <v>140</v>
      </c>
      <c r="I2" s="10"/>
      <c r="J2" s="12"/>
    </row>
    <row r="3" spans="1:10" s="4" customFormat="1" ht="15" customHeight="1" x14ac:dyDescent="0.25">
      <c r="A3" s="16" t="str">
        <f>IF(C3&lt;&gt;"",IF(C3="#","  // "&amp;H3,
"  MessagesDevelopmentAssert.QuickPutEntry_bool("""&amp;C3&amp;""", "&amp;IF(D3="F","false",IF(D3="T","true","ERROR"))&amp;");"&amp;CHAR(10)&amp;
"  MessagesImplementationAssert.QuickPutEntry_bool("""&amp;C3&amp;""", "&amp;IF(E3="F","false",IF(E3="T","true","ERROR"))&amp;");"&amp;CHAR(10)&amp;
"  MessagesRuntimeAssert.QuickPutEntry_bool("""&amp;C3&amp;""", "&amp;IF(F3="F","false",IF(F3="T","true","ERROR"))&amp;");"&amp;CHAR(10)&amp;
"  MessagesDisabling.QuickPutEntry_int("""&amp;C3&amp;""", "&amp;G3&amp;");"&amp; CHAR(10) &amp;
"  MessagesCount.QuickPutEntry_int("""&amp;C3&amp;""", 0);"&amp;CHAR(10)&amp;
"  MessagesLabel.QuickPutEntry_string("""&amp;C3&amp;""","""&amp;H3&amp;""");"&amp;
IF(J3&lt;&gt;"",CHAR(10) &amp; "  MessagesText.QuickPutEntry_string("""&amp;C3&amp;""", """&amp;SUBSTITUTE(J3,"""","\""")&amp;""");","")
),"")</f>
        <v xml:space="preserve">  // Reading Nproc File Issues</v>
      </c>
      <c r="B3" s="16" t="str">
        <f>IF(C3&lt;&gt;"",IF(C3="#","\section{"&amp;H3&amp;"}" &amp; CHAR(10),
"\subsection{" &amp; C3 &amp; "}" &amp; CHAR(10) &amp; "\begin{itemize}" &amp; CHAR(10) &amp;
"  \item Interface Message:\\[1em]\textbf{" &amp; SUBSTITUTE(H3,"_","\_") &amp; "}" &amp; CHAR(10) &amp;
"  \item Development Assertion: " &amp; IF(D3="F","NO",IF(D3="T","YES","ERROR")) &amp; CHAR(10) &amp;
"  \item Implementation Assertion: " &amp; IF(E3="F","NO",IF(E3="T","YES","ERROR")) &amp; CHAR(10) &amp;
"  \item Runtime Assertion: " &amp; IF(F3="F","NO",IF(F3="T","YES","ERROR")) &amp; CHAR(10) &amp;
IF(J3&lt;&gt;"","  \item Message Description:\\[1em]"&amp; SUBSTITUTE(J3,"_","\_")  &amp;CHAR(10),"") &amp;
"\end{itemize}"&amp;CHAR(10)),"")</f>
        <v xml:space="preserve">\section{Reading Nproc File Issues}
</v>
      </c>
      <c r="C3" s="5" t="s">
        <v>0</v>
      </c>
      <c r="E3" s="6"/>
      <c r="F3" s="6"/>
      <c r="G3" s="7"/>
      <c r="H3" s="6" t="s">
        <v>135</v>
      </c>
      <c r="I3" s="5"/>
      <c r="J3" s="6"/>
    </row>
    <row r="4" spans="1:10" s="26" customFormat="1" ht="15" customHeight="1" x14ac:dyDescent="0.25">
      <c r="A4" s="23" t="str">
        <f t="shared" ref="A4:A71" si="0">IF(C4&lt;&gt;"",IF(C4="#","  // "&amp;H4,
"  MessagesDevelopmentAssert.QuickPutEntry_bool("""&amp;C4&amp;""", "&amp;IF(D4="F","false",IF(D4="T","true","ERROR"))&amp;");"&amp;CHAR(10)&amp;
"  MessagesImplementationAssert.QuickPutEntry_bool("""&amp;C4&amp;""", "&amp;IF(E4="F","false",IF(E4="T","true","ERROR"))&amp;");"&amp;CHAR(10)&amp;
"  MessagesRuntimeAssert.QuickPutEntry_bool("""&amp;C4&amp;""", "&amp;IF(F4="F","false",IF(F4="T","true","ERROR"))&amp;");"&amp;CHAR(10)&amp;
"  MessagesDisabling.QuickPutEntry_int("""&amp;C4&amp;""", "&amp;G4&amp;");"&amp; CHAR(10) &amp;
"  MessagesCount.QuickPutEntry_int("""&amp;C4&amp;""", 0);"&amp;CHAR(10)&amp;
"  MessagesLabel.QuickPutEntry_string("""&amp;C4&amp;""","""&amp;H4&amp;""");"&amp;
IF(J4&lt;&gt;"",CHAR(10) &amp; "  MessagesText.QuickPutEntry_string("""&amp;C4&amp;""", """&amp;SUBSTITUTE(J4,"""","\""")&amp;""");","")
),"")</f>
        <v xml:space="preserve">  MessagesDevelopmentAssert.QuickPutEntry_bool("IN-001", true);
  MessagesImplementationAssert.QuickPutEntry_bool("IN-001", false);
  MessagesRuntimeAssert.QuickPutEntry_bool("IN-001", false);
  MessagesDisabling.QuickPutEntry_int("IN-001", 0);
  MessagesCount.QuickPutEntry_int("IN-001", 0);
  MessagesLabel.QuickPutEntry_string("IN-001","NProc directive not recognized");
  MessagesText.QuickPutEntry_string("IN-001", "The directive (first word on the nproc command) trying to get interpreted is not on the list of possible directives. Please go to the Reference Manual chapter \"Directives\" to get a full list of valid directives.");</v>
      </c>
      <c r="B4" s="23" t="str">
        <f t="shared" ref="B4:B71" si="1">IF(C4&lt;&gt;"",IF(C4="#","\section{"&amp;H4&amp;"}" &amp; CHAR(10),
"\subsection{" &amp; C4 &amp; "}" &amp; CHAR(10) &amp; "\begin{itemize}" &amp; CHAR(10) &amp;
"  \item Interface Message:\\[1em]\textbf{" &amp; SUBSTITUTE(H4,"_","\_") &amp; "}" &amp; CHAR(10) &amp;
"  \item Development Assertion: " &amp; IF(D4="F","NO",IF(D4="T","YES","ERROR")) &amp; CHAR(10) &amp;
"  \item Implementation Assertion: " &amp; IF(E4="F","NO",IF(E4="T","YES","ERROR")) &amp; CHAR(10) &amp;
"  \item Runtime Assertion: " &amp; IF(F4="F","NO",IF(F4="T","YES","ERROR")) &amp; CHAR(10) &amp;
IF(J4&lt;&gt;"","  \item Message Description:\\[1em]"&amp; SUBSTITUTE(J4,"_","\_")  &amp;CHAR(10),"") &amp;
"\end{itemize}"&amp;CHAR(10)),"")</f>
        <v xml:space="preserve">\subsection{IN-001}
\begin{itemize}
  \item Interface Message:\\[1em]\textbf{NProc directive not recognized}
  \item Development Assertion: YES
  \item Implementation Assertion: NO
  \item Runtime Assertion: NO
  \item Message Description:\\[1em]The directive (first word on the nproc command) trying to get interpreted is not on the list of possible directives. Please go to the Reference Manual chapter "Directives" to get a full list of valid directives.
\end{itemize}
</v>
      </c>
      <c r="C4" s="18" t="s">
        <v>1</v>
      </c>
      <c r="D4" s="18" t="s">
        <v>2</v>
      </c>
      <c r="E4" s="18" t="s">
        <v>3</v>
      </c>
      <c r="F4" s="18" t="s">
        <v>3</v>
      </c>
      <c r="G4" s="24">
        <v>0</v>
      </c>
      <c r="H4" s="25" t="s">
        <v>4</v>
      </c>
      <c r="I4" s="18"/>
      <c r="J4" s="25" t="s">
        <v>343</v>
      </c>
    </row>
    <row r="5" spans="1:10" s="26" customFormat="1" ht="15" customHeight="1" x14ac:dyDescent="0.25">
      <c r="A5" s="23" t="str">
        <f t="shared" si="0"/>
        <v xml:space="preserve">  MessagesDevelopmentAssert.QuickPutEntry_bool("IN-002", true);
  MessagesImplementationAssert.QuickPutEntry_bool("IN-002", false);
  MessagesRuntimeAssert.QuickPutEntry_bool("IN-002", false);
  MessagesDisabling.QuickPutEntry_int("IN-002", 0);
  MessagesCount.QuickPutEntry_int("IN-002", 0);
  MessagesLabel.QuickPutEntry_string("IN-002","Trying to report an undeclared variable");
  MessagesText.QuickPutEntry_string("IN-002", "The Simulator as well as the Simulation Environment has a list of predefined variables so store and retrieve information. The variable been addressed is not part of the list. The user is not allowed to create new variables.");</v>
      </c>
      <c r="B5" s="23" t="str">
        <f t="shared" si="1"/>
        <v xml:space="preserve">\subsection{IN-002}
\begin{itemize}
  \item Interface Message:\\[1em]\textbf{Trying to report an undeclared variable}
  \item Development Assertion: YES
  \item Implementation Assertion: NO
  \item Runtime Assertion: NO
  \item Message Description:\\[1em]The Simulator as well as the Simulation Environment has a list of predefined variables so store and retrieve information. The variable been addressed is not part of the list. The user is not allowed to create new variables.
\end{itemize}
</v>
      </c>
      <c r="C5" s="18" t="s">
        <v>5</v>
      </c>
      <c r="D5" s="18" t="s">
        <v>2</v>
      </c>
      <c r="E5" s="18" t="s">
        <v>3</v>
      </c>
      <c r="F5" s="18" t="s">
        <v>3</v>
      </c>
      <c r="G5" s="24">
        <v>0</v>
      </c>
      <c r="H5" s="25" t="s">
        <v>6</v>
      </c>
      <c r="I5" s="18"/>
      <c r="J5" s="25" t="s">
        <v>342</v>
      </c>
    </row>
    <row r="6" spans="1:10" s="26" customFormat="1" ht="15" customHeight="1" x14ac:dyDescent="0.25">
      <c r="A6" s="23" t="str">
        <f t="shared" si="0"/>
        <v xml:space="preserve">  MessagesDevelopmentAssert.QuickPutEntry_bool("IN-004", true);
  MessagesImplementationAssert.QuickPutEntry_bool("IN-004", false);
  MessagesRuntimeAssert.QuickPutEntry_bool("IN-004", false);
  MessagesDisabling.QuickPutEntry_int("IN-004", 0);
  MessagesCount.QuickPutEntry_int("IN-004", 0);
  MessagesLabel.QuickPutEntry_string("IN-004","Unidentified sub directive, ignoring line");
  MessagesText.QuickPutEntry_string("IN-004", "The sub-directive (second word on the nproc command)  trying to get interpreted is not on the list of possible directives. Please go to the Reference Manual chapter \"Directives\" to get a full list of valid directives.");</v>
      </c>
      <c r="B6" s="23" t="str">
        <f t="shared" si="1"/>
        <v xml:space="preserve">\subsection{IN-004}
\begin{itemize}
  \item Interface Message:\\[1em]\textbf{Unidentified sub directive, ignoring line}
  \item Development Assertion: YES
  \item Implementation Assertion: NO
  \item Runtime Assertion: NO
  \item Message Description:\\[1em]The sub-directive (second word on the nproc command)  trying to get interpreted is not on the list of possible directives. Please go to the Reference Manual chapter "Directives" to get a full list of valid directives.
\end{itemize}
</v>
      </c>
      <c r="C6" s="18" t="s">
        <v>9</v>
      </c>
      <c r="D6" s="18" t="s">
        <v>2</v>
      </c>
      <c r="E6" s="18" t="s">
        <v>3</v>
      </c>
      <c r="F6" s="18" t="s">
        <v>3</v>
      </c>
      <c r="G6" s="24">
        <v>0</v>
      </c>
      <c r="H6" s="25" t="s">
        <v>346</v>
      </c>
      <c r="I6" s="18"/>
      <c r="J6" s="25" t="s">
        <v>344</v>
      </c>
    </row>
    <row r="7" spans="1:10" s="26" customFormat="1" ht="15" customHeight="1" x14ac:dyDescent="0.25">
      <c r="A7" s="23" t="str">
        <f t="shared" si="0"/>
        <v xml:space="preserve">  MessagesDevelopmentAssert.QuickPutEntry_bool("IN-005", false);
  MessagesImplementationAssert.QuickPutEntry_bool("IN-005", false);
  MessagesRuntimeAssert.QuickPutEntry_bool("IN-005", false);
  MessagesDisabling.QuickPutEntry_int("IN-005", 0);
  MessagesCount.QuickPutEntry_int("IN-005", 0);
  MessagesLabel.QuickPutEntry_string("IN-005","Unidentified setting, ignoring line");
  MessagesText.QuickPutEntry_string("IN-005", "A value has tried to be written on an un-identified or un-available configuration variable. This nproc line will be ommited");</v>
      </c>
      <c r="B7" s="23" t="str">
        <f t="shared" si="1"/>
        <v xml:space="preserve">\subsection{IN-005}
\begin{itemize}
  \item Interface Message:\\[1em]\textbf{Unidentified setting, ignoring line}
  \item Development Assertion: NO
  \item Implementation Assertion: NO
  \item Runtime Assertion: NO
  \item Message Description:\\[1em]A value has tried to be written on an un-identified or un-available configuration variable. This nproc line will be ommited
\end{itemize}
</v>
      </c>
      <c r="C7" s="18" t="s">
        <v>10</v>
      </c>
      <c r="D7" s="18" t="s">
        <v>3</v>
      </c>
      <c r="E7" s="18" t="s">
        <v>3</v>
      </c>
      <c r="F7" s="18" t="s">
        <v>3</v>
      </c>
      <c r="G7" s="24">
        <v>0</v>
      </c>
      <c r="H7" s="25" t="s">
        <v>347</v>
      </c>
      <c r="I7" s="18"/>
      <c r="J7" s="25" t="s">
        <v>345</v>
      </c>
    </row>
    <row r="8" spans="1:10" s="26" customFormat="1" ht="15" customHeight="1" x14ac:dyDescent="0.25">
      <c r="A8" s="23" t="str">
        <f t="shared" ref="A8" si="2">IF(C8&lt;&gt;"",IF(C8="#","  // "&amp;H8,
"  MessagesDevelopmentAssert.QuickPutEntry_bool("""&amp;C8&amp;""", "&amp;IF(D8="F","false",IF(D8="T","true","ERROR"))&amp;");"&amp;CHAR(10)&amp;
"  MessagesImplementationAssert.QuickPutEntry_bool("""&amp;C8&amp;""", "&amp;IF(E8="F","false",IF(E8="T","true","ERROR"))&amp;");"&amp;CHAR(10)&amp;
"  MessagesRuntimeAssert.QuickPutEntry_bool("""&amp;C8&amp;""", "&amp;IF(F8="F","false",IF(F8="T","true","ERROR"))&amp;");"&amp;CHAR(10)&amp;
"  MessagesDisabling.QuickPutEntry_int("""&amp;C8&amp;""", "&amp;G8&amp;");"&amp; CHAR(10) &amp;
"  MessagesCount.QuickPutEntry_int("""&amp;C8&amp;""", 0);"&amp;CHAR(10)&amp;
"  MessagesLabel.QuickPutEntry_string("""&amp;C8&amp;""","""&amp;H8&amp;""");"&amp;
IF(J8&lt;&gt;"",CHAR(10) &amp; "  MessagesText.QuickPutEntry_string("""&amp;C8&amp;""", """&amp;SUBSTITUTE(J8,"""","\""")&amp;""");","")
),"")</f>
        <v xml:space="preserve">  MessagesDevelopmentAssert.QuickPutEntry_bool("IN-006", false);
  MessagesImplementationAssert.QuickPutEntry_bool("IN-006", false);
  MessagesRuntimeAssert.QuickPutEntry_bool("IN-006", false);
  MessagesDisabling.QuickPutEntry_int("IN-006", 0);
  MessagesCount.QuickPutEntry_int("IN-006", 0);
  MessagesLabel.QuickPutEntry_string("IN-006","Flag not found or without a value");
  MessagesText.QuickPutEntry_string("IN-006", "The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v>
      </c>
      <c r="B8" s="23" t="str">
        <f t="shared" ref="B8" si="3">IF(C8&lt;&gt;"",IF(C8="#","\section{"&amp;H8&amp;"}" &amp; CHAR(10),
"\subsection{" &amp; C8 &amp; "}" &amp; CHAR(10) &amp; "\begin{itemize}" &amp; CHAR(10) &amp;
"  \item Interface Message:\\[1em]\textbf{" &amp; SUBSTITUTE(H8,"_","\_") &amp; "}" &amp; CHAR(10) &amp;
"  \item Development Assertion: " &amp; IF(D8="F","NO",IF(D8="T","YES","ERROR")) &amp; CHAR(10) &amp;
"  \item Implementation Assertion: " &amp; IF(E8="F","NO",IF(E8="T","YES","ERROR")) &amp; CHAR(10) &amp;
"  \item Runtime Assertion: " &amp; IF(F8="F","NO",IF(F8="T","YES","ERROR")) &amp; CHAR(10) &amp;
IF(J8&lt;&gt;"","  \item Message Description:\\[1em]"&amp; SUBSTITUTE(J8,"_","\_")  &amp;CHAR(10),"") &amp;
"\end{itemize}"&amp;CHAR(10)),"")</f>
        <v xml:space="preserve">\subsection{IN-006}
\begin{itemize}
  \item Interface Message:\\[1em]\textbf{Flag not found or without a value}
  \item Development Assertion: NO
  \item Implementation Assertion: NO
  \item Runtime Assertion: NO
  \item Message Description:\\[1em]The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
\end{itemize}
</v>
      </c>
      <c r="C8" s="18" t="s">
        <v>266</v>
      </c>
      <c r="D8" s="18" t="s">
        <v>3</v>
      </c>
      <c r="E8" s="18" t="s">
        <v>3</v>
      </c>
      <c r="F8" s="18" t="s">
        <v>3</v>
      </c>
      <c r="G8" s="24">
        <v>0</v>
      </c>
      <c r="H8" s="25" t="s">
        <v>268</v>
      </c>
      <c r="I8" s="18"/>
      <c r="J8" s="25" t="s">
        <v>348</v>
      </c>
    </row>
    <row r="9" spans="1:10" s="26" customFormat="1" ht="15" customHeight="1" x14ac:dyDescent="0.25">
      <c r="A9" s="23" t="str">
        <f t="shared" si="0"/>
        <v xml:space="preserve">  MessagesDevelopmentAssert.QuickPutEntry_bool("IN-007", false);
  MessagesImplementationAssert.QuickPutEntry_bool("IN-007", false);
  MessagesRuntimeAssert.QuickPutEntry_bool("IN-007", false);
  MessagesDisabling.QuickPutEntry_int("IN-007", 0);
  MessagesCount.QuickPutEntry_int("IN-007", 0);
  MessagesLabel.QuickPutEntry_string("IN-007","A boolean argument has not been properly written. Will be interpreted as false");
  MessagesText.QuickPutEntry_string("IN-007", "A string been read as boolean doen't match any of the possible true values (true, True, T, t, 1) neither false (false, False, F, f, 0). It will be interpreted and stored as false.");</v>
      </c>
      <c r="B9" s="23" t="str">
        <f t="shared" si="1"/>
        <v xml:space="preserve">\subsection{IN-007}
\begin{itemize}
  \item Interface Message:\\[1em]\textbf{A boolean argument has not been properly written. Will be interpreted as false}
  \item Development Assertion: NO
  \item Implementation Assertion: NO
  \item Runtime Assertion: NO
  \item Message Description:\\[1em]A string been read as boolean doen't match any of the possible true values (true, True, T, t, 1) neither false (false, False, F, f, 0). It will be interpreted and stored as false.
\end{itemize}
</v>
      </c>
      <c r="C9" s="18" t="s">
        <v>11</v>
      </c>
      <c r="D9" s="18" t="s">
        <v>3</v>
      </c>
      <c r="E9" s="18" t="s">
        <v>3</v>
      </c>
      <c r="F9" s="18" t="s">
        <v>3</v>
      </c>
      <c r="G9" s="24">
        <v>0</v>
      </c>
      <c r="H9" s="25" t="s">
        <v>12</v>
      </c>
      <c r="I9" s="18"/>
      <c r="J9" s="25" t="s">
        <v>349</v>
      </c>
    </row>
    <row r="10" spans="1:10" s="26" customFormat="1" ht="15" customHeight="1" x14ac:dyDescent="0.25">
      <c r="A10" s="23" t="str">
        <f t="shared" ref="A10" si="4">IF(C10&lt;&gt;"",IF(C10="#","  // "&amp;H10,
"  MessagesDevelopmentAssert.QuickPutEntry_bool("""&amp;C10&amp;""", "&amp;IF(D10="F","false",IF(D10="T","true","ERROR"))&amp;");"&amp;CHAR(10)&amp;
"  MessagesImplementationAssert.QuickPutEntry_bool("""&amp;C10&amp;""", "&amp;IF(E10="F","false",IF(E10="T","true","ERROR"))&amp;");"&amp;CHAR(10)&amp;
"  MessagesRuntimeAssert.QuickPutEntry_bool("""&amp;C10&amp;""", "&amp;IF(F10="F","false",IF(F10="T","true","ERROR"))&amp;");"&amp;CHAR(10)&amp;
"  MessagesDisabling.QuickPutEntry_int("""&amp;C10&amp;""", "&amp;G10&amp;");"&amp; CHAR(10) &amp;
"  MessagesCount.QuickPutEntry_int("""&amp;C10&amp;""", 0);"&amp;CHAR(10)&amp;
"  MessagesLabel.QuickPutEntry_string("""&amp;C10&amp;""","""&amp;H10&amp;""");"&amp;
IF(J10&lt;&gt;"",CHAR(10) &amp; "  MessagesText.QuickPutEntry_string("""&amp;C10&amp;""", """&amp;SUBSTITUTE(J10,"""","\""")&amp;""");","")
),"")</f>
        <v xml:space="preserve">  MessagesDevelopmentAssert.QuickPutEntry_bool("IN-008", false);
  MessagesImplementationAssert.QuickPutEntry_bool("IN-008", false);
  MessagesRuntimeAssert.QuickPutEntry_bool("IN-008", true);
  MessagesDisabling.QuickPutEntry_int("IN-008", 0);
  MessagesCount.QuickPutEntry_int("IN-008", 0);
  MessagesLabel.QuickPutEntry_string("IN-008","The maximum amount of possible nested \"rescue nproc\" calls has been reached");</v>
      </c>
      <c r="B10" s="23" t="str">
        <f t="shared" ref="B10" si="5">IF(C10&lt;&gt;"",IF(C10="#","\section{"&amp;H10&amp;"}" &amp; CHAR(10),
"\subsection{" &amp; C10 &amp; "}" &amp; CHAR(10) &amp; "\begin{itemize}" &amp; CHAR(10) &amp;
"  \item Interface Message:\\[1em]\textbf{" &amp; SUBSTITUTE(H10,"_","\_") &amp; "}" &amp; CHAR(10) &amp;
"  \item Development Assertion: " &amp; IF(D10="F","NO",IF(D10="T","YES","ERROR")) &amp; CHAR(10) &amp;
"  \item Implementation Assertion: " &amp; IF(E10="F","NO",IF(E10="T","YES","ERROR")) &amp; CHAR(10) &amp;
"  \item Runtime Assertion: " &amp; IF(F10="F","NO",IF(F10="T","YES","ERROR")) &amp; CHAR(10) &amp;
IF(J10&lt;&gt;"","  \item Message Description:\\[1em]"&amp; SUBSTITUTE(J10,"_","\_")  &amp;CHAR(10),"") &amp;
"\end{itemize}"&amp;CHAR(10)),"")</f>
        <v xml:space="preserve">\subsection{IN-008}
\begin{itemize}
  \item Interface Message:\\[1em]\textbf{The maximum amount of possible nested \"rescue nproc\" calls has been reached}
  \item Development Assertion: NO
  \item Implementation Assertion: NO
  \item Runtime Assertion: YES
\end{itemize}
</v>
      </c>
      <c r="C10" s="18" t="s">
        <v>435</v>
      </c>
      <c r="D10" s="18" t="s">
        <v>3</v>
      </c>
      <c r="E10" s="18" t="s">
        <v>3</v>
      </c>
      <c r="F10" s="18" t="s">
        <v>2</v>
      </c>
      <c r="G10" s="24">
        <v>0</v>
      </c>
      <c r="H10" s="25" t="s">
        <v>436</v>
      </c>
      <c r="I10" s="18"/>
      <c r="J10" s="25"/>
    </row>
    <row r="11" spans="1:10" s="26" customFormat="1" ht="15" customHeight="1" x14ac:dyDescent="0.25">
      <c r="A11" s="23" t="str">
        <f t="shared" si="0"/>
        <v xml:space="preserve">  MessagesDevelopmentAssert.QuickPutEntry_bool("IN-010", false);
  MessagesImplementationAssert.QuickPutEntry_bool("IN-010", false);
  MessagesRuntimeAssert.QuickPutEntry_bool("IN-010", false);
  MessagesDisabling.QuickPutEntry_int("IN-010", 0);
  MessagesCount.QuickPutEntry_int("IN-010", 0);
  MessagesLabel.QuickPutEntry_string("IN-010","Incorrect amount of arguments for the command, ignoring line");
  MessagesText.QuickPutEntry_string("IN-010", "The number of arguments of the command doesn't match the minimum required. This line will be ignored.");</v>
      </c>
      <c r="B11" s="23" t="str">
        <f t="shared" si="1"/>
        <v xml:space="preserve">\subsection{IN-010}
\begin{itemize}
  \item Interface Message:\\[1em]\textbf{Incorrect amount of arguments for the command, ignoring line}
  \item Development Assertion: NO
  \item Implementation Assertion: NO
  \item Runtime Assertion: NO
  \item Message Description:\\[1em]The number of arguments of the command doesn't match the minimum required. This line will be ignored.
\end{itemize}
</v>
      </c>
      <c r="C11" s="18" t="s">
        <v>13</v>
      </c>
      <c r="D11" s="18" t="s">
        <v>3</v>
      </c>
      <c r="E11" s="18" t="s">
        <v>3</v>
      </c>
      <c r="F11" s="18" t="s">
        <v>3</v>
      </c>
      <c r="G11" s="24">
        <v>0</v>
      </c>
      <c r="H11" s="25" t="s">
        <v>350</v>
      </c>
      <c r="I11" s="18"/>
      <c r="J11" s="25" t="s">
        <v>351</v>
      </c>
    </row>
    <row r="12" spans="1:10" s="4" customFormat="1" ht="15" customHeight="1" x14ac:dyDescent="0.25">
      <c r="A12" s="16" t="str">
        <f t="shared" si="0"/>
        <v xml:space="preserve">  // Command Line Issues</v>
      </c>
      <c r="B12" s="16" t="str">
        <f t="shared" si="1"/>
        <v xml:space="preserve">\section{Command Line Issues}
</v>
      </c>
      <c r="C12" s="5" t="s">
        <v>0</v>
      </c>
      <c r="E12" s="5"/>
      <c r="F12" s="5"/>
      <c r="G12" s="8"/>
      <c r="H12" s="6" t="s">
        <v>14</v>
      </c>
      <c r="I12" s="5"/>
      <c r="J12" s="6"/>
    </row>
    <row r="13" spans="1:10" s="26" customFormat="1" ht="15" customHeight="1" x14ac:dyDescent="0.25">
      <c r="A13" s="23" t="str">
        <f t="shared" si="0"/>
        <v xml:space="preserve">  MessagesDevelopmentAssert.QuickPutEntry_bool("UI-001", false);
  MessagesImplementationAssert.QuickPutEntry_bool("UI-001", false);
  MessagesRuntimeAssert.QuickPutEntry_bool("UI-001", true);
  MessagesDisabling.QuickPutEntry_int("UI-001", 0);
  MessagesCount.QuickPutEntry_int("UI-001", 0);
  MessagesLabel.QuickPutEntry_string("UI-001","Duplicated or contradictory flags on command call");
  MessagesText.QuickPutEntry_string("UI-001", "The Neuronment command-line call has a flag declared more than once or two flags that are different are trying to set a contradictory behaivior");</v>
      </c>
      <c r="B13" s="23" t="str">
        <f t="shared" si="1"/>
        <v xml:space="preserve">\subsection{UI-001}
\begin{itemize}
  \item Interface Message:\\[1em]\textbf{Duplicated or contradictory flags on command call}
  \item Development Assertion: NO
  \item Implementation Assertion: NO
  \item Runtime Assertion: YES
  \item Message Description:\\[1em]The Neuronment command-line call has a flag declared more than once or two flags that are different are trying to set a contradictory behaivior
\end{itemize}
</v>
      </c>
      <c r="C13" s="18" t="s">
        <v>15</v>
      </c>
      <c r="D13" s="18" t="s">
        <v>3</v>
      </c>
      <c r="E13" s="18" t="s">
        <v>3</v>
      </c>
      <c r="F13" s="18" t="s">
        <v>2</v>
      </c>
      <c r="G13" s="24">
        <v>0</v>
      </c>
      <c r="H13" s="25" t="s">
        <v>16</v>
      </c>
      <c r="I13" s="18"/>
      <c r="J13" s="25" t="s">
        <v>352</v>
      </c>
    </row>
    <row r="14" spans="1:10" s="26" customFormat="1" ht="15" customHeight="1" x14ac:dyDescent="0.25">
      <c r="A14" s="23" t="str">
        <f t="shared" si="0"/>
        <v xml:space="preserve">  MessagesDevelopmentAssert.QuickPutEntry_bool("UI-002", false);
  MessagesImplementationAssert.QuickPutEntry_bool("UI-002", false);
  MessagesRuntimeAssert.QuickPutEntry_bool("UI-002", true);
  MessagesDisabling.QuickPutEntry_int("UI-002", 0);
  MessagesCount.QuickPutEntry_int("UI-002", 0);
  MessagesLabel.QuickPutEntry_string("UI-002","Flag expected");
  MessagesText.QuickPutEntry_string("UI-002", "The Neuronment command-line call holds a value in a place where should be a flag (a tring starting with \"-\").");</v>
      </c>
      <c r="B14" s="23" t="str">
        <f t="shared" si="1"/>
        <v xml:space="preserve">\subsection{UI-002}
\begin{itemize}
  \item Interface Message:\\[1em]\textbf{Flag expected}
  \item Development Assertion: NO
  \item Implementation Assertion: NO
  \item Runtime Assertion: YES
  \item Message Description:\\[1em]The Neuronment command-line call holds a value in a place where should be a flag (a tring starting with "-").
\end{itemize}
</v>
      </c>
      <c r="C14" s="18" t="s">
        <v>17</v>
      </c>
      <c r="D14" s="18" t="s">
        <v>3</v>
      </c>
      <c r="E14" s="18" t="s">
        <v>3</v>
      </c>
      <c r="F14" s="18" t="s">
        <v>2</v>
      </c>
      <c r="G14" s="24">
        <v>0</v>
      </c>
      <c r="H14" s="25" t="s">
        <v>18</v>
      </c>
      <c r="I14" s="18"/>
      <c r="J14" s="25" t="s">
        <v>353</v>
      </c>
    </row>
    <row r="15" spans="1:10" s="26" customFormat="1" ht="15" customHeight="1" x14ac:dyDescent="0.25">
      <c r="A15" s="23" t="str">
        <f t="shared" si="0"/>
        <v xml:space="preserve">  MessagesDevelopmentAssert.QuickPutEntry_bool("UI-003", false);
  MessagesImplementationAssert.QuickPutEntry_bool("UI-003", false);
  MessagesRuntimeAssert.QuickPutEntry_bool("UI-003", false);
  MessagesDisabling.QuickPutEntry_int("UI-003", 0);
  MessagesCount.QuickPutEntry_int("UI-003", 0);
  MessagesLabel.QuickPutEntry_string("UI-003","Flag not recognized, flag omitted");
  MessagesText.QuickPutEntry_string("UI-003", "The Neuronment command-line call has detected a flag that isn't on the list of possible flags. This flag will be ignored.");</v>
      </c>
      <c r="B15" s="23" t="str">
        <f t="shared" si="1"/>
        <v xml:space="preserve">\subsection{UI-003}
\begin{itemize}
  \item Interface Message:\\[1em]\textbf{Flag not recognized, flag omitted}
  \item Development Assertion: NO
  \item Implementation Assertion: NO
  \item Runtime Assertion: NO
  \item Message Description:\\[1em]The Neuronment command-line call has detected a flag that isn't on the list of possible flags. This flag will be ignored.
\end{itemize}
</v>
      </c>
      <c r="C15" s="18" t="s">
        <v>19</v>
      </c>
      <c r="D15" s="18" t="s">
        <v>3</v>
      </c>
      <c r="E15" s="18" t="s">
        <v>3</v>
      </c>
      <c r="F15" s="18" t="s">
        <v>3</v>
      </c>
      <c r="G15" s="24">
        <v>0</v>
      </c>
      <c r="H15" s="25" t="s">
        <v>20</v>
      </c>
      <c r="I15" s="18"/>
      <c r="J15" s="25" t="s">
        <v>354</v>
      </c>
    </row>
    <row r="16" spans="1:10" s="26" customFormat="1" ht="15" customHeight="1" x14ac:dyDescent="0.25">
      <c r="A16" s="23" t="str">
        <f t="shared" si="0"/>
        <v xml:space="preserve">  MessagesDevelopmentAssert.QuickPutEntry_bool("UI-004", false);
  MessagesImplementationAssert.QuickPutEntry_bool("UI-004", false);
  MessagesRuntimeAssert.QuickPutEntry_bool("UI-004", true);
  MessagesDisabling.QuickPutEntry_int("UI-004", 0);
  MessagesCount.QuickPutEntry_int("UI-004", 0);
  MessagesLabel.QuickPutEntry_string("UI-004","Label without content");
  MessagesText.QuickPutEntry_string("UI-004", "The Neuronment command-line call has a flag that requires a value, but the value hasn't been found. If you are trying to use a negative number put it between quotes.");</v>
      </c>
      <c r="B16" s="23" t="str">
        <f t="shared" si="1"/>
        <v xml:space="preserve">\subsection{UI-004}
\begin{itemize}
  \item Interface Message:\\[1em]\textbf{Label without content}
  \item Development Assertion: NO
  \item Implementation Assertion: NO
  \item Runtime Assertion: YES
  \item Message Description:\\[1em]The Neuronment command-line call has a flag that requires a value, but the value hasn't been found. If you are trying to use a negative number put it between quotes.
\end{itemize}
</v>
      </c>
      <c r="C16" s="18" t="s">
        <v>21</v>
      </c>
      <c r="D16" s="18" t="s">
        <v>3</v>
      </c>
      <c r="E16" s="18" t="s">
        <v>3</v>
      </c>
      <c r="F16" s="18" t="s">
        <v>2</v>
      </c>
      <c r="G16" s="24">
        <v>0</v>
      </c>
      <c r="H16" s="25" t="s">
        <v>22</v>
      </c>
      <c r="I16" s="18"/>
      <c r="J16" s="25" t="s">
        <v>355</v>
      </c>
    </row>
    <row r="17" spans="1:10" s="26" customFormat="1" ht="15" customHeight="1" x14ac:dyDescent="0.25">
      <c r="A17" s="23" t="str">
        <f t="shared" si="0"/>
        <v xml:space="preserve">  MessagesDevelopmentAssert.QuickPutEntry_bool("UI-006", false);
  MessagesImplementationAssert.QuickPutEntry_bool("UI-006", false);
  MessagesRuntimeAssert.QuickPutEntry_bool("UI-006", true);
  MessagesDisabling.QuickPutEntry_int("UI-006", 0);
  MessagesCount.QuickPutEntry_int("UI-006", 0);
  MessagesLabel.QuickPutEntry_string("UI-006","Empty NProc name");
  MessagesText.QuickPutEntry_string("UI-006", "The call to Neuronment requires a mandatory nproc file to be processed.");</v>
      </c>
      <c r="B17" s="23" t="str">
        <f t="shared" si="1"/>
        <v xml:space="preserve">\subsection{UI-006}
\begin{itemize}
  \item Interface Message:\\[1em]\textbf{Empty NProc name}
  \item Development Assertion: NO
  \item Implementation Assertion: NO
  \item Runtime Assertion: YES
  \item Message Description:\\[1em]The call to Neuronment requires a mandatory nproc file to be processed.
\end{itemize}
</v>
      </c>
      <c r="C17" s="18" t="s">
        <v>23</v>
      </c>
      <c r="D17" s="18" t="s">
        <v>3</v>
      </c>
      <c r="E17" s="18" t="s">
        <v>3</v>
      </c>
      <c r="F17" s="18" t="s">
        <v>2</v>
      </c>
      <c r="G17" s="24">
        <v>0</v>
      </c>
      <c r="H17" s="25" t="s">
        <v>24</v>
      </c>
      <c r="I17" s="18"/>
      <c r="J17" s="25" t="s">
        <v>356</v>
      </c>
    </row>
    <row r="18" spans="1:10" s="4" customFormat="1" ht="15" customHeight="1" x14ac:dyDescent="0.25">
      <c r="A18" s="16" t="str">
        <f t="shared" si="0"/>
        <v xml:space="preserve">  // File IO Issues</v>
      </c>
      <c r="B18" s="16" t="str">
        <f t="shared" si="1"/>
        <v xml:space="preserve">\section{File IO Issues}
</v>
      </c>
      <c r="C18" s="5" t="s">
        <v>0</v>
      </c>
      <c r="E18" s="5"/>
      <c r="F18" s="5"/>
      <c r="G18" s="8"/>
      <c r="H18" s="6" t="s">
        <v>25</v>
      </c>
      <c r="I18" s="5"/>
      <c r="J18" s="6"/>
    </row>
    <row r="19" spans="1:10" ht="15" customHeight="1" x14ac:dyDescent="0.25">
      <c r="A19" s="17" t="str">
        <f t="shared" si="0"/>
        <v xml:space="preserve">  MessagesDevelopmentAssert.QuickPutEntry_bool("ER-001", false);
  MessagesImplementationAssert.QuickPutEntry_bool("ER-001", false);
  MessagesRuntimeAssert.QuickPutEntry_bool("ER-001", false);
  MessagesDisabling.QuickPutEntry_int("ER-001", 0);
  MessagesCount.QuickPutEntry_int("ER-001", 0);
  MessagesLabel.QuickPutEntry_string("ER-001","Development Assetion");
  MessagesText.QuickPutEntry_string("ER-001", "The program arrived to an unexpected set of conditions.");</v>
      </c>
      <c r="B19" s="17" t="str">
        <f t="shared" si="1"/>
        <v xml:space="preserve">\subsection{ER-001}
\begin{itemize}
  \item Interface Message:\\[1em]\textbf{Development Assetion}
  \item Development Assertion: NO
  \item Implementation Assertion: NO
  \item Runtime Assertion: NO
  \item Message Description:\\[1em]The program arrived to an unexpected set of conditions.
\end{itemize}
</v>
      </c>
      <c r="C19" s="1" t="s">
        <v>26</v>
      </c>
      <c r="D19" s="1" t="s">
        <v>3</v>
      </c>
      <c r="E19" s="1" t="s">
        <v>3</v>
      </c>
      <c r="F19" s="1" t="s">
        <v>3</v>
      </c>
      <c r="G19" s="3">
        <v>0</v>
      </c>
      <c r="H19" s="13" t="s">
        <v>357</v>
      </c>
      <c r="J19" s="13" t="s">
        <v>358</v>
      </c>
    </row>
    <row r="20" spans="1:10" ht="15" customHeight="1" x14ac:dyDescent="0.25">
      <c r="A20" s="17" t="str">
        <f t="shared" si="0"/>
        <v xml:space="preserve">  MessagesDevelopmentAssert.QuickPutEntry_bool("ER-002", false);
  MessagesImplementationAssert.QuickPutEntry_bool("ER-002", false);
  MessagesRuntimeAssert.QuickPutEntry_bool("ER-002", false);
  MessagesDisabling.QuickPutEntry_int("ER-002", 0);
  MessagesCount.QuickPutEntry_int("ER-002", 0);
  MessagesLabel.QuickPutEntry_string("ER-002","Runtime Assertion");
  MessagesText.QuickPutEntry_string("ER-002", "Something went wrong running the program. Terminating");</v>
      </c>
      <c r="B20" s="17" t="str">
        <f t="shared" si="1"/>
        <v xml:space="preserve">\subsection{ER-002}
\begin{itemize}
  \item Interface Message:\\[1em]\textbf{Runtime Assertion}
  \item Development Assertion: NO
  \item Implementation Assertion: NO
  \item Runtime Assertion: NO
  \item Message Description:\\[1em]Something went wrong running the program. Terminating
\end{itemize}
</v>
      </c>
      <c r="C20" s="1" t="s">
        <v>27</v>
      </c>
      <c r="D20" s="1" t="s">
        <v>3</v>
      </c>
      <c r="E20" s="1" t="s">
        <v>3</v>
      </c>
      <c r="F20" s="1" t="s">
        <v>3</v>
      </c>
      <c r="G20" s="3">
        <v>0</v>
      </c>
      <c r="H20" s="13" t="s">
        <v>359</v>
      </c>
      <c r="J20" s="13" t="s">
        <v>360</v>
      </c>
    </row>
    <row r="21" spans="1:10" ht="15" customHeight="1" x14ac:dyDescent="0.25">
      <c r="A21" s="17" t="str">
        <f t="shared" si="0"/>
        <v xml:space="preserve">  MessagesDevelopmentAssert.QuickPutEntry_bool("ER-003", false);
  MessagesImplementationAssert.QuickPutEntry_bool("ER-003", false);
  MessagesRuntimeAssert.QuickPutEntry_bool("ER-003", true);
  MessagesDisabling.QuickPutEntry_int("ER-003", 0);
  MessagesCount.QuickPutEntry_int("ER-003", 0);
  MessagesLabel.QuickPutEntry_string("ER-003","File couldn't be opened");
  MessagesText.QuickPutEntry_string("ER-003", "The nproc required for execution file couldn't be oppened");</v>
      </c>
      <c r="B21" s="17" t="str">
        <f t="shared" si="1"/>
        <v xml:space="preserve">\subsection{ER-003}
\begin{itemize}
  \item Interface Message:\\[1em]\textbf{File couldn't be opened}
  \item Development Assertion: NO
  \item Implementation Assertion: NO
  \item Runtime Assertion: YES
  \item Message Description:\\[1em]The nproc required for execution file couldn't be oppened
\end{itemize}
</v>
      </c>
      <c r="C21" s="1" t="s">
        <v>28</v>
      </c>
      <c r="D21" s="1" t="s">
        <v>3</v>
      </c>
      <c r="E21" s="1" t="s">
        <v>3</v>
      </c>
      <c r="F21" s="1" t="s">
        <v>2</v>
      </c>
      <c r="G21" s="3">
        <v>0</v>
      </c>
      <c r="H21" s="13" t="s">
        <v>29</v>
      </c>
      <c r="J21" s="13" t="s">
        <v>361</v>
      </c>
    </row>
    <row r="22" spans="1:10" ht="15" customHeight="1" x14ac:dyDescent="0.25">
      <c r="A22" s="17" t="str">
        <f t="shared" si="0"/>
        <v xml:space="preserve">  MessagesDevelopmentAssert.QuickPutEntry_bool("ER-004", false);
  MessagesImplementationAssert.QuickPutEntry_bool("ER-004", false);
  MessagesRuntimeAssert.QuickPutEntry_bool("ER-004", false);
  MessagesDisabling.QuickPutEntry_int("ER-004", 0);
  MessagesCount.QuickPutEntry_int("ER-004", 0);
  MessagesLabel.QuickPutEntry_string("ER-004","File couldn't be properly closed");
  MessagesText.QuickPutEntry_string("ER-004", "The nproc file previously executed didn't returned a propper closed status from the OS.");</v>
      </c>
      <c r="B22" s="17" t="str">
        <f t="shared" si="1"/>
        <v xml:space="preserve">\subsection{ER-004}
\begin{itemize}
  \item Interface Message:\\[1em]\textbf{File couldn't be properly closed}
  \item Development Assertion: NO
  \item Implementation Assertion: NO
  \item Runtime Assertion: NO
  \item Message Description:\\[1em]The nproc file previously executed didn't returned a propper closed status from the OS.
\end{itemize}
</v>
      </c>
      <c r="C22" s="1" t="s">
        <v>30</v>
      </c>
      <c r="D22" s="1" t="s">
        <v>3</v>
      </c>
      <c r="E22" s="1" t="s">
        <v>3</v>
      </c>
      <c r="F22" s="1" t="s">
        <v>3</v>
      </c>
      <c r="G22" s="3">
        <v>0</v>
      </c>
      <c r="H22" s="13" t="s">
        <v>146</v>
      </c>
      <c r="J22" s="13" t="s">
        <v>362</v>
      </c>
    </row>
    <row r="23" spans="1:10" ht="15" customHeight="1" x14ac:dyDescent="0.25">
      <c r="A23" s="17" t="str">
        <f t="shared" si="0"/>
        <v xml:space="preserve">  MessagesDevelopmentAssert.QuickPutEntry_bool("ER-005", false);
  MessagesImplementationAssert.QuickPutEntry_bool("ER-005", false);
  MessagesRuntimeAssert.QuickPutEntry_bool("ER-005", true);
  MessagesDisabling.QuickPutEntry_int("ER-005", 0);
  MessagesCount.QuickPutEntry_int("ER-005", 0);
  MessagesLabel.QuickPutEntry_string("ER-005","Trying to get a new line from a non ready file");
  MessagesText.QuickPutEntry_string("ER-005", "This happens when for some reason the interpreter is trying to get a new line from a file that hasn't been properly oppened");</v>
      </c>
      <c r="B23" s="17" t="str">
        <f t="shared" si="1"/>
        <v xml:space="preserve">\subsection{ER-005}
\begin{itemize}
  \item Interface Message:\\[1em]\textbf{Trying to get a new line from a non ready file}
  \item Development Assertion: NO
  \item Implementation Assertion: NO
  \item Runtime Assertion: YES
  \item Message Description:\\[1em]This happens when for some reason the interpreter is trying to get a new line from a file that hasn't been properly oppened
\end{itemize}
</v>
      </c>
      <c r="C23" s="1" t="s">
        <v>31</v>
      </c>
      <c r="D23" s="1" t="s">
        <v>3</v>
      </c>
      <c r="E23" s="1" t="s">
        <v>3</v>
      </c>
      <c r="F23" s="1" t="s">
        <v>2</v>
      </c>
      <c r="G23" s="3">
        <v>0</v>
      </c>
      <c r="H23" s="13" t="s">
        <v>32</v>
      </c>
      <c r="J23" s="13" t="s">
        <v>363</v>
      </c>
    </row>
    <row r="24" spans="1:10" ht="15" customHeight="1" x14ac:dyDescent="0.25">
      <c r="A24" s="17" t="str">
        <f t="shared" si="0"/>
        <v xml:space="preserve">  MessagesDevelopmentAssert.QuickPutEntry_bool("ER-006", true);
  MessagesImplementationAssert.QuickPutEntry_bool("ER-006", false);
  MessagesRuntimeAssert.QuickPutEntry_bool("ER-006", false);
  MessagesDisabling.QuickPutEntry_int("ER-006", 0);
  MessagesCount.QuickPutEntry_int("ER-006", 0);
  MessagesLabel.QuickPutEntry_string("ER-006","Trying to get a new line from a file already at the end");
  MessagesText.QuickPutEntry_string("ER-006", "This happens when for some reason the interpreter is trying to get a new line from a file already at the EOF");</v>
      </c>
      <c r="B24" s="17" t="str">
        <f t="shared" si="1"/>
        <v xml:space="preserve">\subsection{ER-006}
\begin{itemize}
  \item Interface Message:\\[1em]\textbf{Trying to get a new line from a file already at the end}
  \item Development Assertion: YES
  \item Implementation Assertion: NO
  \item Runtime Assertion: NO
  \item Message Description:\\[1em]This happens when for some reason the interpreter is trying to get a new line from a file already at the EOF
\end{itemize}
</v>
      </c>
      <c r="C24" s="1" t="s">
        <v>33</v>
      </c>
      <c r="D24" s="1" t="s">
        <v>2</v>
      </c>
      <c r="E24" s="1" t="s">
        <v>3</v>
      </c>
      <c r="F24" s="1" t="s">
        <v>3</v>
      </c>
      <c r="G24" s="3">
        <v>0</v>
      </c>
      <c r="H24" s="13" t="s">
        <v>34</v>
      </c>
      <c r="J24" s="13" t="s">
        <v>364</v>
      </c>
    </row>
    <row r="25" spans="1:10" ht="15" customHeight="1" x14ac:dyDescent="0.25">
      <c r="A25" s="17" t="str">
        <f t="shared" si="0"/>
        <v xml:space="preserve">  MessagesDevelopmentAssert.QuickPutEntry_bool("ER-007", false);
  MessagesImplementationAssert.QuickPutEntry_bool("ER-007", false);
  MessagesRuntimeAssert.QuickPutEntry_bool("ER-007", true);
  MessagesDisabling.QuickPutEntry_int("ER-007", 0);
  MessagesCount.QuickPutEntry_int("ER-007", 0);
  MessagesLabel.QuickPutEntry_string("ER-007","Fail on getting a new line from nproc file");
  MessagesText.QuickPutEntry_string("ER-007", "This happens when for some reason the file stream under interpretation isn't able to retreive a new line from the nproc file, even if it is not at the EOF.");</v>
      </c>
      <c r="B25" s="17" t="str">
        <f t="shared" si="1"/>
        <v xml:space="preserve">\subsection{ER-007}
\begin{itemize}
  \item Interface Message:\\[1em]\textbf{Fail on getting a new line from nproc file}
  \item Development Assertion: NO
  \item Implementation Assertion: NO
  \item Runtime Assertion: YES
  \item Message Description:\\[1em]This happens when for some reason the file stream under interpretation isn't able to retreive a new line from the nproc file, even if it is not at the EOF.
\end{itemize}
</v>
      </c>
      <c r="C25" s="1" t="s">
        <v>35</v>
      </c>
      <c r="D25" s="1" t="s">
        <v>3</v>
      </c>
      <c r="E25" s="1" t="s">
        <v>3</v>
      </c>
      <c r="F25" s="1" t="s">
        <v>2</v>
      </c>
      <c r="G25" s="3">
        <v>0</v>
      </c>
      <c r="H25" s="13" t="s">
        <v>36</v>
      </c>
      <c r="J25" s="13" t="s">
        <v>368</v>
      </c>
    </row>
    <row r="26" spans="1:10" ht="15" customHeight="1" x14ac:dyDescent="0.25">
      <c r="A26" s="17" t="str">
        <f t="shared" si="0"/>
        <v xml:space="preserve">  MessagesDevelopmentAssert.QuickPutEntry_bool("ER-008", false);
  MessagesImplementationAssert.QuickPutEntry_bool("ER-008", false);
  MessagesRuntimeAssert.QuickPutEntry_bool("ER-008", true);
  MessagesDisabling.QuickPutEntry_int("ER-008", 0);
  MessagesCount.QuickPutEntry_int("ER-008", 0);
  MessagesLabel.QuickPutEntry_string("ER-008","Implementation Assertion");
  MessagesText.QuickPutEntry_string("ER-008", "There is a problem or an incompete implementation of a required feature");</v>
      </c>
      <c r="B26" s="17" t="str">
        <f t="shared" si="1"/>
        <v xml:space="preserve">\subsection{ER-008}
\begin{itemize}
  \item Interface Message:\\[1em]\textbf{Implementation Assertion}
  \item Development Assertion: NO
  \item Implementation Assertion: NO
  \item Runtime Assertion: YES
  \item Message Description:\\[1em]There is a problem or an incompete implementation of a required feature
\end{itemize}
</v>
      </c>
      <c r="C26" s="1" t="s">
        <v>37</v>
      </c>
      <c r="D26" s="1" t="s">
        <v>3</v>
      </c>
      <c r="E26" s="1" t="s">
        <v>3</v>
      </c>
      <c r="F26" s="1" t="s">
        <v>2</v>
      </c>
      <c r="G26" s="3">
        <v>0</v>
      </c>
      <c r="H26" s="13" t="s">
        <v>365</v>
      </c>
      <c r="J26" s="13" t="s">
        <v>366</v>
      </c>
    </row>
    <row r="27" spans="1:10" ht="15" customHeight="1" x14ac:dyDescent="0.25">
      <c r="A27" s="17" t="str">
        <f t="shared" si="0"/>
        <v xml:space="preserve">  MessagesDevelopmentAssert.QuickPutEntry_bool("ER-009", false);
  MessagesImplementationAssert.QuickPutEntry_bool("ER-009", false);
  MessagesRuntimeAssert.QuickPutEntry_bool("ER-009", false);
  MessagesDisabling.QuickPutEntry_int("ER-009", 0);
  MessagesCount.QuickPutEntry_int("ER-009", 0);
  MessagesLabel.QuickPutEntry_string("ER-009","Trying to close an unopened file");
  MessagesText.QuickPutEntry_string("ER-009", "The interpreter is trying to close a file that hasn't been oppened");</v>
      </c>
      <c r="B27" s="17" t="str">
        <f t="shared" si="1"/>
        <v xml:space="preserve">\subsection{ER-009}
\begin{itemize}
  \item Interface Message:\\[1em]\textbf{Trying to close an unopened file}
  \item Development Assertion: NO
  \item Implementation Assertion: NO
  \item Runtime Assertion: NO
  \item Message Description:\\[1em]The interpreter is trying to close a file that hasn't been oppened
\end{itemize}
</v>
      </c>
      <c r="C27" s="1" t="s">
        <v>38</v>
      </c>
      <c r="D27" s="1" t="s">
        <v>3</v>
      </c>
      <c r="E27" s="1" t="s">
        <v>3</v>
      </c>
      <c r="F27" s="1" t="s">
        <v>3</v>
      </c>
      <c r="G27" s="3">
        <v>0</v>
      </c>
      <c r="H27" s="13" t="s">
        <v>39</v>
      </c>
      <c r="J27" s="13" t="s">
        <v>367</v>
      </c>
    </row>
    <row r="28" spans="1:10" ht="15" customHeight="1" x14ac:dyDescent="0.25">
      <c r="A28" s="17" t="str">
        <f t="shared" si="0"/>
        <v xml:space="preserve">  MessagesDevelopmentAssert.QuickPutEntry_bool("ER-010", false);
  MessagesImplementationAssert.QuickPutEntry_bool("ER-010", false);
  MessagesRuntimeAssert.QuickPutEntry_bool("ER-010", true);
  MessagesDisabling.QuickPutEntry_int("ER-010", 0);
  MessagesCount.QuickPutEntry_int("ER-010", 0);
  MessagesLabel.QuickPutEntry_string("ER-010","Required file is empty");
  MessagesText.QuickPutEntry_string("ER-010", "The interpreter requires a file for execution. In this case the file name is empty.");</v>
      </c>
      <c r="B28" s="17" t="str">
        <f t="shared" si="1"/>
        <v xml:space="preserve">\subsection{ER-010}
\begin{itemize}
  \item Interface Message:\\[1em]\textbf{Required file is empty}
  \item Development Assertion: NO
  \item Implementation Assertion: NO
  \item Runtime Assertion: YES
  \item Message Description:\\[1em]The interpreter requires a file for execution. In this case the file name is empty.
\end{itemize}
</v>
      </c>
      <c r="C28" s="1" t="s">
        <v>40</v>
      </c>
      <c r="D28" s="1" t="s">
        <v>3</v>
      </c>
      <c r="E28" s="1" t="s">
        <v>3</v>
      </c>
      <c r="F28" s="1" t="s">
        <v>2</v>
      </c>
      <c r="G28" s="3">
        <v>0</v>
      </c>
      <c r="H28" s="13" t="s">
        <v>147</v>
      </c>
      <c r="J28" s="13" t="s">
        <v>369</v>
      </c>
    </row>
    <row r="29" spans="1:10" s="4" customFormat="1" ht="15" customHeight="1" x14ac:dyDescent="0.25">
      <c r="A29" s="16" t="str">
        <f t="shared" si="0"/>
        <v xml:space="preserve">  // Implementation Issues</v>
      </c>
      <c r="B29" s="16" t="str">
        <f t="shared" si="1"/>
        <v xml:space="preserve">\section{Implementation Issues}
</v>
      </c>
      <c r="C29" s="5" t="s">
        <v>0</v>
      </c>
      <c r="E29" s="5"/>
      <c r="F29" s="5"/>
      <c r="G29" s="8"/>
      <c r="H29" s="6" t="s">
        <v>41</v>
      </c>
      <c r="I29" s="5"/>
      <c r="J29" s="6"/>
    </row>
    <row r="30" spans="1:10" ht="15" customHeight="1" x14ac:dyDescent="0.25">
      <c r="A30" s="17" t="str">
        <f t="shared" si="0"/>
        <v xml:space="preserve">  MessagesDevelopmentAssert.QuickPutEntry_bool("DV-001", false);
  MessagesImplementationAssert.QuickPutEntry_bool("DV-001", true);
  MessagesRuntimeAssert.QuickPutEntry_bool("DV-001", false);
  MessagesDisabling.QuickPutEntry_int("DV-001", 0);
  MessagesCount.QuickPutEntry_int("DV-001", 0);
  MessagesLabel.QuickPutEntry_string("DV-001","Missing implementation");</v>
      </c>
      <c r="B30" s="17" t="str">
        <f t="shared" si="1"/>
        <v xml:space="preserve">\subsection{DV-001}
\begin{itemize}
  \item Interface Message:\\[1em]\textbf{Missing implementation}
  \item Development Assertion: NO
  \item Implementation Assertion: YES
  \item Runtime Assertion: NO
\end{itemize}
</v>
      </c>
      <c r="C30" s="1" t="s">
        <v>42</v>
      </c>
      <c r="D30" s="1" t="s">
        <v>3</v>
      </c>
      <c r="E30" s="1" t="s">
        <v>2</v>
      </c>
      <c r="F30" s="1" t="s">
        <v>3</v>
      </c>
      <c r="G30" s="3">
        <v>0</v>
      </c>
      <c r="H30" s="13" t="s">
        <v>43</v>
      </c>
    </row>
    <row r="31" spans="1:10" ht="15" customHeight="1" x14ac:dyDescent="0.25">
      <c r="A31" s="17" t="str">
        <f t="shared" si="0"/>
        <v xml:space="preserve">  MessagesDevelopmentAssert.QuickPutEntry_bool("DV-002", false);
  MessagesImplementationAssert.QuickPutEntry_bool("DV-002", true);
  MessagesRuntimeAssert.QuickPutEntry_bool("DV-002", false);
  MessagesDisabling.QuickPutEntry_int("DV-002", 0);
  MessagesCount.QuickPutEntry_int("DV-002", 0);
  MessagesLabel.QuickPutEntry_string("DV-002","Trying to declare a previously declared setting");</v>
      </c>
      <c r="B31" s="17" t="str">
        <f t="shared" si="1"/>
        <v xml:space="preserve">\subsection{DV-002}
\begin{itemize}
  \item Interface Message:\\[1em]\textbf{Trying to declare a previously declared setting}
  \item Development Assertion: NO
  \item Implementation Assertion: YES
  \item Runtime Assertion: NO
\end{itemize}
</v>
      </c>
      <c r="C31" s="1" t="s">
        <v>44</v>
      </c>
      <c r="D31" s="1" t="s">
        <v>3</v>
      </c>
      <c r="E31" s="1" t="s">
        <v>2</v>
      </c>
      <c r="F31" s="1" t="s">
        <v>3</v>
      </c>
      <c r="G31" s="3">
        <v>0</v>
      </c>
      <c r="H31" s="13" t="s">
        <v>45</v>
      </c>
    </row>
    <row r="32" spans="1:10" ht="15" customHeight="1" x14ac:dyDescent="0.25">
      <c r="A32" s="17" t="str">
        <f t="shared" si="0"/>
        <v xml:space="preserve">  MessagesDevelopmentAssert.QuickPutEntry_bool("DV-003", false);
  MessagesImplementationAssert.QuickPutEntry_bool("DV-003", true);
  MessagesRuntimeAssert.QuickPutEntry_bool("DV-003", false);
  MessagesDisabling.QuickPutEntry_int("DV-003", 0);
  MessagesCount.QuickPutEntry_int("DV-003", 0);
  MessagesLabel.QuickPutEntry_string("DV-003","Trying to load a setting of an unsupported type");</v>
      </c>
      <c r="B32" s="17" t="str">
        <f t="shared" si="1"/>
        <v xml:space="preserve">\subsection{DV-003}
\begin{itemize}
  \item Interface Message:\\[1em]\textbf{Trying to load a setting of an unsupported type}
  \item Development Assertion: NO
  \item Implementation Assertion: YES
  \item Runtime Assertion: NO
\end{itemize}
</v>
      </c>
      <c r="C32" s="1" t="s">
        <v>46</v>
      </c>
      <c r="D32" s="1" t="s">
        <v>3</v>
      </c>
      <c r="E32" s="1" t="s">
        <v>2</v>
      </c>
      <c r="F32" s="1" t="s">
        <v>3</v>
      </c>
      <c r="G32" s="3">
        <v>0</v>
      </c>
      <c r="H32" s="13" t="s">
        <v>47</v>
      </c>
    </row>
    <row r="33" spans="1:10" ht="15" customHeight="1" x14ac:dyDescent="0.25">
      <c r="A33" s="17" t="str">
        <f t="shared" si="0"/>
        <v xml:space="preserve">  MessagesDevelopmentAssert.QuickPutEntry_bool("DV-005", false);
  MessagesImplementationAssert.QuickPutEntry_bool("DV-005", true);
  MessagesRuntimeAssert.QuickPutEntry_bool("DV-005", false);
  MessagesDisabling.QuickPutEntry_int("DV-005", 0);
  MessagesCount.QuickPutEntry_int("DV-005", 0);
  MessagesLabel.QuickPutEntry_string("DV-005","Trying to use an unsupported setting");</v>
      </c>
      <c r="B33" s="17" t="str">
        <f t="shared" si="1"/>
        <v xml:space="preserve">\subsection{DV-005}
\begin{itemize}
  \item Interface Message:\\[1em]\textbf{Trying to use an unsupported setting}
  \item Development Assertion: NO
  \item Implementation Assertion: YES
  \item Runtime Assertion: NO
\end{itemize}
</v>
      </c>
      <c r="C33" s="1" t="s">
        <v>48</v>
      </c>
      <c r="D33" s="1" t="s">
        <v>3</v>
      </c>
      <c r="E33" s="1" t="s">
        <v>2</v>
      </c>
      <c r="F33" s="1" t="s">
        <v>3</v>
      </c>
      <c r="G33" s="3">
        <v>0</v>
      </c>
      <c r="H33" s="13" t="s">
        <v>241</v>
      </c>
    </row>
    <row r="34" spans="1:10" ht="15" customHeight="1" x14ac:dyDescent="0.25">
      <c r="A34" s="17" t="str">
        <f t="shared" si="0"/>
        <v xml:space="preserve">  MessagesDevelopmentAssert.QuickPutEntry_bool("DV-006", false);
  MessagesImplementationAssert.QuickPutEntry_bool("DV-006", true);
  MessagesRuntimeAssert.QuickPutEntry_bool("DV-006", false);
  MessagesDisabling.QuickPutEntry_int("DV-006", 0);
  MessagesCount.QuickPutEntry_int("DV-006", 0);
  MessagesLabel.QuickPutEntry_string("DV-006","Trying to read an incorrect data type for the setting");</v>
      </c>
      <c r="B34" s="17" t="str">
        <f t="shared" si="1"/>
        <v xml:space="preserve">\subsection{DV-006}
\begin{itemize}
  \item Interface Message:\\[1em]\textbf{Trying to read an incorrect data type for the setting}
  \item Development Assertion: NO
  \item Implementation Assertion: YES
  \item Runtime Assertion: NO
\end{itemize}
</v>
      </c>
      <c r="C34" s="1" t="s">
        <v>49</v>
      </c>
      <c r="D34" s="1" t="s">
        <v>3</v>
      </c>
      <c r="E34" s="1" t="s">
        <v>2</v>
      </c>
      <c r="F34" s="1" t="s">
        <v>3</v>
      </c>
      <c r="G34" s="3">
        <v>0</v>
      </c>
      <c r="H34" s="13" t="s">
        <v>50</v>
      </c>
    </row>
    <row r="35" spans="1:10" ht="15" customHeight="1" x14ac:dyDescent="0.25">
      <c r="A35" s="17" t="str">
        <f t="shared" si="0"/>
        <v xml:space="preserve">  MessagesDevelopmentAssert.QuickPutEntry_bool("DV-007", false);
  MessagesImplementationAssert.QuickPutEntry_bool("DV-007", true);
  MessagesRuntimeAssert.QuickPutEntry_bool("DV-007", false);
  MessagesDisabling.QuickPutEntry_int("DV-007", 0);
  MessagesCount.QuickPutEntry_int("DV-007", 0);
  MessagesLabel.QuickPutEntry_string("DV-007","The setting count is different than the declared setting count on the HashEntry");</v>
      </c>
      <c r="B35" s="17" t="str">
        <f t="shared" si="1"/>
        <v xml:space="preserve">\subsection{DV-007}
\begin{itemize}
  \item Interface Message:\\[1em]\textbf{The setting count is different than the declared setting count on the HashEntry}
  \item Development Assertion: NO
  \item Implementation Assertion: YES
  \item Runtime Assertion: NO
\end{itemize}
</v>
      </c>
      <c r="C35" s="1" t="s">
        <v>51</v>
      </c>
      <c r="D35" s="1" t="s">
        <v>3</v>
      </c>
      <c r="E35" s="1" t="s">
        <v>2</v>
      </c>
      <c r="F35" s="1" t="s">
        <v>3</v>
      </c>
      <c r="G35" s="3">
        <v>0</v>
      </c>
      <c r="H35" s="13" t="s">
        <v>52</v>
      </c>
    </row>
    <row r="36" spans="1:10" ht="15" customHeight="1" x14ac:dyDescent="0.25">
      <c r="A36" s="17" t="str">
        <f t="shared" ref="A36" si="6">IF(C36&lt;&gt;"",IF(C36="#","  // "&amp;H36,
"  MessagesDevelopmentAssert.QuickPutEntry_bool("""&amp;C36&amp;""", "&amp;IF(D36="F","false",IF(D36="T","true","ERROR"))&amp;");"&amp;CHAR(10)&amp;
"  MessagesImplementationAssert.QuickPutEntry_bool("""&amp;C36&amp;""", "&amp;IF(E36="F","false",IF(E36="T","true","ERROR"))&amp;");"&amp;CHAR(10)&amp;
"  MessagesRuntimeAssert.QuickPutEntry_bool("""&amp;C36&amp;""", "&amp;IF(F36="F","false",IF(F36="T","true","ERROR"))&amp;");"&amp;CHAR(10)&amp;
"  MessagesDisabling.QuickPutEntry_int("""&amp;C36&amp;""", "&amp;G36&amp;");"&amp; CHAR(10) &amp;
"  MessagesCount.QuickPutEntry_int("""&amp;C36&amp;""", 0);"&amp;CHAR(10)&amp;
"  MessagesLabel.QuickPutEntry_string("""&amp;C36&amp;""","""&amp;H36&amp;""");"&amp;
IF(J36&lt;&gt;"",CHAR(10) &amp; "  MessagesText.QuickPutEntry_string("""&amp;C36&amp;""", """&amp;SUBSTITUTE(J36,"""","\""")&amp;""");","")
),"")</f>
        <v xml:space="preserve">  MessagesDevelopmentAssert.QuickPutEntry_bool("DV-008", false);
  MessagesImplementationAssert.QuickPutEntry_bool("DV-008", true);
  MessagesRuntimeAssert.QuickPutEntry_bool("DV-008", false);
  MessagesDisabling.QuickPutEntry_int("DV-008", 0);
  MessagesCount.QuickPutEntry_int("DV-008", 0);
  MessagesLabel.QuickPutEntry_string("DV-008","The Log manager is being copied and this should NEVER happen");</v>
      </c>
      <c r="B36" s="17" t="str">
        <f t="shared" ref="B36" si="7">IF(C36&lt;&gt;"",IF(C36="#","\section{"&amp;H36&amp;"}" &amp; CHAR(10),
"\subsection{" &amp; C36 &amp; "}" &amp; CHAR(10) &amp; "\begin{itemize}" &amp; CHAR(10) &amp;
"  \item Interface Message:\\[1em]\textbf{" &amp; SUBSTITUTE(H36,"_","\_") &amp; "}" &amp; CHAR(10) &amp;
"  \item Development Assertion: " &amp; IF(D36="F","NO",IF(D36="T","YES","ERROR")) &amp; CHAR(10) &amp;
"  \item Implementation Assertion: " &amp; IF(E36="F","NO",IF(E36="T","YES","ERROR")) &amp; CHAR(10) &amp;
"  \item Runtime Assertion: " &amp; IF(F36="F","NO",IF(F36="T","YES","ERROR")) &amp; CHAR(10) &amp;
IF(J36&lt;&gt;"","  \item Message Description:\\[1em]"&amp; SUBSTITUTE(J36,"_","\_")  &amp;CHAR(10),"") &amp;
"\end{itemize}"&amp;CHAR(10)),"")</f>
        <v xml:space="preserve">\subsection{DV-008}
\begin{itemize}
  \item Interface Message:\\[1em]\textbf{The Log manager is being copied and this should NEVER happen}
  \item Development Assertion: NO
  \item Implementation Assertion: YES
  \item Runtime Assertion: NO
\end{itemize}
</v>
      </c>
      <c r="C36" s="1" t="s">
        <v>428</v>
      </c>
      <c r="D36" s="1" t="s">
        <v>3</v>
      </c>
      <c r="E36" s="1" t="s">
        <v>2</v>
      </c>
      <c r="F36" s="1" t="s">
        <v>3</v>
      </c>
      <c r="G36" s="3">
        <v>0</v>
      </c>
      <c r="H36" s="13" t="s">
        <v>429</v>
      </c>
    </row>
    <row r="37" spans="1:10" ht="15" customHeight="1" x14ac:dyDescent="0.25">
      <c r="A37" s="17" t="str">
        <f t="shared" si="0"/>
        <v xml:space="preserve">  MessagesDevelopmentAssert.QuickPutEntry_bool("DV-012", false);
  MessagesImplementationAssert.QuickPutEntry_bool("DV-012", true);
  MessagesRuntimeAssert.QuickPutEntry_bool("DV-012", false);
  MessagesDisabling.QuickPutEntry_int("DV-012", 0);
  MessagesCount.QuickPutEntry_int("DV-012", 0);
  MessagesLabel.QuickPutEntry_string("DV-012","Trying a quick access of incorrect type");</v>
      </c>
      <c r="B37" s="17" t="str">
        <f t="shared" si="1"/>
        <v xml:space="preserve">\subsection{DV-012}
\begin{itemize}
  \item Interface Message:\\[1em]\textbf{Trying a quick access of incorrect type}
  \item Development Assertion: NO
  \item Implementation Assertion: YES
  \item Runtime Assertion: NO
\end{itemize}
</v>
      </c>
      <c r="C37" s="1" t="s">
        <v>53</v>
      </c>
      <c r="D37" s="1" t="s">
        <v>3</v>
      </c>
      <c r="E37" s="1" t="s">
        <v>2</v>
      </c>
      <c r="F37" s="1" t="s">
        <v>3</v>
      </c>
      <c r="G37" s="3">
        <v>0</v>
      </c>
      <c r="H37" s="13" t="s">
        <v>54</v>
      </c>
    </row>
    <row r="38" spans="1:10" ht="15" customHeight="1" x14ac:dyDescent="0.25">
      <c r="A38" s="17" t="str">
        <f t="shared" si="0"/>
        <v xml:space="preserve">  MessagesDevelopmentAssert.QuickPutEntry_bool("DV-013", false);
  MessagesImplementationAssert.QuickPutEntry_bool("DV-013", true);
  MessagesRuntimeAssert.QuickPutEntry_bool("DV-013", false);
  MessagesDisabling.QuickPutEntry_int("DV-013", 0);
  MessagesCount.QuickPutEntry_int("DV-013", 0);
  MessagesLabel.QuickPutEntry_string("DV-013","Hash Table Full");</v>
      </c>
      <c r="B38" s="17" t="str">
        <f t="shared" si="1"/>
        <v xml:space="preserve">\subsection{DV-013}
\begin{itemize}
  \item Interface Message:\\[1em]\textbf{Hash Table Full}
  \item Development Assertion: NO
  \item Implementation Assertion: YES
  \item Runtime Assertion: NO
\end{itemize}
</v>
      </c>
      <c r="C38" s="1" t="s">
        <v>55</v>
      </c>
      <c r="D38" s="1" t="s">
        <v>3</v>
      </c>
      <c r="E38" s="1" t="s">
        <v>2</v>
      </c>
      <c r="F38" s="1" t="s">
        <v>3</v>
      </c>
      <c r="G38" s="3">
        <v>0</v>
      </c>
      <c r="H38" s="13" t="s">
        <v>56</v>
      </c>
    </row>
    <row r="39" spans="1:10" ht="15" customHeight="1" x14ac:dyDescent="0.25">
      <c r="A39" s="17" t="str">
        <f t="shared" si="0"/>
        <v xml:space="preserve">  MessagesDevelopmentAssert.QuickPutEntry_bool("DV-015", false);
  MessagesImplementationAssert.QuickPutEntry_bool("DV-015", true);
  MessagesRuntimeAssert.QuickPutEntry_bool("DV-015", false);
  MessagesDisabling.QuickPutEntry_int("DV-015", 0);
  MessagesCount.QuickPutEntry_int("DV-015", 0);
  MessagesLabel.QuickPutEntry_string("DV-015","Setting declared but hasn't been initialized");</v>
      </c>
      <c r="B39" s="17" t="str">
        <f t="shared" si="1"/>
        <v xml:space="preserve">\subsection{DV-015}
\begin{itemize}
  \item Interface Message:\\[1em]\textbf{Setting declared but hasn't been initialized}
  \item Development Assertion: NO
  \item Implementation Assertion: YES
  \item Runtime Assertion: NO
\end{itemize}
</v>
      </c>
      <c r="C39" s="1" t="s">
        <v>57</v>
      </c>
      <c r="D39" s="1" t="s">
        <v>3</v>
      </c>
      <c r="E39" s="1" t="s">
        <v>2</v>
      </c>
      <c r="F39" s="1" t="s">
        <v>3</v>
      </c>
      <c r="G39" s="3">
        <v>0</v>
      </c>
      <c r="H39" s="13" t="s">
        <v>58</v>
      </c>
    </row>
    <row r="40" spans="1:10" ht="15" customHeight="1" x14ac:dyDescent="0.25">
      <c r="A40" s="17" t="str">
        <f t="shared" si="0"/>
        <v xml:space="preserve">  MessagesDevelopmentAssert.QuickPutEntry_bool("DV-017", false);
  MessagesImplementationAssert.QuickPutEntry_bool("DV-017", true);
  MessagesRuntimeAssert.QuickPutEntry_bool("DV-017", false);
  MessagesDisabling.QuickPutEntry_int("DV-017", 0);
  MessagesCount.QuickPutEntry_int("DV-017", 0);
  MessagesLabel.QuickPutEntry_string("DV-017","Discrepancy on neuron type on assignment");</v>
      </c>
      <c r="B40" s="17" t="str">
        <f t="shared" si="1"/>
        <v xml:space="preserve">\subsection{DV-017}
\begin{itemize}
  \item Interface Message:\\[1em]\textbf{Discrepancy on neuron type on assignment}
  \item Development Assertion: NO
  \item Implementation Assertion: YES
  \item Runtime Assertion: NO
\end{itemize}
</v>
      </c>
      <c r="C40" s="1" t="s">
        <v>59</v>
      </c>
      <c r="D40" s="1" t="s">
        <v>3</v>
      </c>
      <c r="E40" s="1" t="s">
        <v>2</v>
      </c>
      <c r="F40" s="1" t="s">
        <v>3</v>
      </c>
      <c r="G40" s="3">
        <v>0</v>
      </c>
      <c r="H40" s="13" t="s">
        <v>60</v>
      </c>
    </row>
    <row r="41" spans="1:10" ht="15" customHeight="1" x14ac:dyDescent="0.25">
      <c r="A41" s="17" t="str">
        <f t="shared" si="0"/>
        <v xml:space="preserve">  MessagesDevelopmentAssert.QuickPutEntry_bool("DV-018", false);
  MessagesImplementationAssert.QuickPutEntry_bool("DV-018", true);
  MessagesRuntimeAssert.QuickPutEntry_bool("DV-018", false);
  MessagesDisabling.QuickPutEntry_int("DV-018", 0);
  MessagesCount.QuickPutEntry_int("DV-018", 0);
  MessagesLabel.QuickPutEntry_string("DV-018","Trying to quick retrieve un-existent value");</v>
      </c>
      <c r="B41" s="17" t="str">
        <f t="shared" si="1"/>
        <v xml:space="preserve">\subsection{DV-018}
\begin{itemize}
  \item Interface Message:\\[1em]\textbf{Trying to quick retrieve un-existent value}
  \item Development Assertion: NO
  \item Implementation Assertion: YES
  \item Runtime Assertion: NO
\end{itemize}
</v>
      </c>
      <c r="C41" s="1" t="s">
        <v>61</v>
      </c>
      <c r="D41" s="1" t="s">
        <v>3</v>
      </c>
      <c r="E41" s="1" t="s">
        <v>2</v>
      </c>
      <c r="F41" s="1" t="s">
        <v>3</v>
      </c>
      <c r="G41" s="3">
        <v>0</v>
      </c>
      <c r="H41" s="13" t="s">
        <v>62</v>
      </c>
    </row>
    <row r="42" spans="1:10" ht="15" customHeight="1" x14ac:dyDescent="0.25">
      <c r="A42" s="17" t="str">
        <f t="shared" si="0"/>
        <v xml:space="preserve">  MessagesDevelopmentAssert.QuickPutEntry_bool("SD-030", false);
  MessagesImplementationAssert.QuickPutEntry_bool("SD-030", true);
  MessagesRuntimeAssert.QuickPutEntry_bool("SD-030", false);
  MessagesDisabling.QuickPutEntry_int("SD-030", 0);
  MessagesCount.QuickPutEntry_int("SD-030", 0);
  MessagesLabel.QuickPutEntry_string("SD-030","Internal simulation pointer corruption");</v>
      </c>
      <c r="B42" s="17" t="str">
        <f t="shared" si="1"/>
        <v xml:space="preserve">\subsection{SD-030}
\begin{itemize}
  \item Interface Message:\\[1em]\textbf{Internal simulation pointer corruption}
  \item Development Assertion: NO
  \item Implementation Assertion: YES
  \item Runtime Assertion: NO
\end{itemize}
</v>
      </c>
      <c r="C42" s="1" t="s">
        <v>114</v>
      </c>
      <c r="D42" s="1" t="s">
        <v>3</v>
      </c>
      <c r="E42" s="1" t="s">
        <v>2</v>
      </c>
      <c r="F42" s="1" t="s">
        <v>3</v>
      </c>
      <c r="G42" s="3">
        <v>0</v>
      </c>
      <c r="H42" s="13" t="s">
        <v>115</v>
      </c>
    </row>
    <row r="43" spans="1:10" ht="15" customHeight="1" x14ac:dyDescent="0.25">
      <c r="A43" s="17" t="str">
        <f t="shared" si="0"/>
        <v xml:space="preserve">  MessagesDevelopmentAssert.QuickPutEntry_bool("SD-031", false);
  MessagesImplementationAssert.QuickPutEntry_bool("SD-031", true);
  MessagesRuntimeAssert.QuickPutEntry_bool("SD-031", false);
  MessagesDisabling.QuickPutEntry_int("SD-031", 0);
  MessagesCount.QuickPutEntry_int("SD-031", 0);
  MessagesLabel.QuickPutEntry_string("SD-031","Trying to compare 2 identical MT cells");</v>
      </c>
      <c r="B43" s="17" t="str">
        <f t="shared" si="1"/>
        <v xml:space="preserve">\subsection{SD-031}
\begin{itemize}
  \item Interface Message:\\[1em]\textbf{Trying to compare 2 identical MT cells}
  \item Development Assertion: NO
  \item Implementation Assertion: YES
  \item Runtime Assertion: NO
\end{itemize}
</v>
      </c>
      <c r="C43" s="1" t="s">
        <v>116</v>
      </c>
      <c r="D43" s="1" t="s">
        <v>3</v>
      </c>
      <c r="E43" s="1" t="s">
        <v>2</v>
      </c>
      <c r="F43" s="1" t="s">
        <v>3</v>
      </c>
      <c r="G43" s="3">
        <v>0</v>
      </c>
      <c r="H43" s="13" t="s">
        <v>117</v>
      </c>
    </row>
    <row r="44" spans="1:10" ht="15" customHeight="1" x14ac:dyDescent="0.25">
      <c r="A44" s="17" t="str">
        <f t="shared" ref="A44" si="8">IF(C44&lt;&gt;"",IF(C44="#","  // "&amp;H44,
"  MessagesDevelopmentAssert.QuickPutEntry_bool("""&amp;C44&amp;""", "&amp;IF(D44="F","false",IF(D44="T","true","ERROR"))&amp;");"&amp;CHAR(10)&amp;
"  MessagesImplementationAssert.QuickPutEntry_bool("""&amp;C44&amp;""", "&amp;IF(E44="F","false",IF(E44="T","true","ERROR"))&amp;");"&amp;CHAR(10)&amp;
"  MessagesRuntimeAssert.QuickPutEntry_bool("""&amp;C44&amp;""", "&amp;IF(F44="F","false",IF(F44="T","true","ERROR"))&amp;");"&amp;CHAR(10)&amp;
"  MessagesDisabling.QuickPutEntry_int("""&amp;C44&amp;""", "&amp;G44&amp;");"&amp; CHAR(10) &amp;
"  MessagesCount.QuickPutEntry_int("""&amp;C44&amp;""", 0);"&amp;CHAR(10)&amp;
"  MessagesLabel.QuickPutEntry_string("""&amp;C44&amp;""","""&amp;H44&amp;""");"&amp;
IF(J44&lt;&gt;"",CHAR(10) &amp; "  MessagesText.QuickPutEntry_string("""&amp;C44&amp;""", """&amp;SUBSTITUTE(J44,"""","\""")&amp;""");","")
),"")</f>
        <v xml:space="preserve">  MessagesDevelopmentAssert.QuickPutEntry_bool("SD-032", false);
  MessagesImplementationAssert.QuickPutEntry_bool("SD-032", true);
  MessagesRuntimeAssert.QuickPutEntry_bool("SD-032", false);
  MessagesDisabling.QuickPutEntry_int("SD-032", 0);
  MessagesCount.QuickPutEntry_int("SD-032", 0);
  MessagesLabel.QuickPutEntry_string("SD-032","Empty pointer to function entry");</v>
      </c>
      <c r="B44" s="17" t="str">
        <f t="shared" ref="B44" si="9">IF(C44&lt;&gt;"",IF(C44="#","\section{"&amp;H44&amp;"}" &amp; CHAR(10),
"\subsection{" &amp; C44 &amp; "}" &amp; CHAR(10) &amp; "\begin{itemize}" &amp; CHAR(10) &amp;
"  \item Interface Message:\\[1em]\textbf{" &amp; SUBSTITUTE(H44,"_","\_") &amp; "}" &amp; CHAR(10) &amp;
"  \item Development Assertion: " &amp; IF(D44="F","NO",IF(D44="T","YES","ERROR")) &amp; CHAR(10) &amp;
"  \item Implementation Assertion: " &amp; IF(E44="F","NO",IF(E44="T","YES","ERROR")) &amp; CHAR(10) &amp;
"  \item Runtime Assertion: " &amp; IF(F44="F","NO",IF(F44="T","YES","ERROR")) &amp; CHAR(10) &amp;
IF(J44&lt;&gt;"","  \item Message Description:\\[1em]"&amp; SUBSTITUTE(J44,"_","\_")  &amp;CHAR(10),"") &amp;
"\end{itemize}"&amp;CHAR(10)),"")</f>
        <v xml:space="preserve">\subsection{SD-032}
\begin{itemize}
  \item Interface Message:\\[1em]\textbf{Empty pointer to function entry}
  \item Development Assertion: NO
  \item Implementation Assertion: YES
  \item Runtime Assertion: NO
\end{itemize}
</v>
      </c>
      <c r="C44" s="1" t="s">
        <v>250</v>
      </c>
      <c r="D44" s="1" t="s">
        <v>3</v>
      </c>
      <c r="E44" s="1" t="s">
        <v>2</v>
      </c>
      <c r="F44" s="1" t="s">
        <v>3</v>
      </c>
      <c r="G44" s="3">
        <v>0</v>
      </c>
      <c r="H44" s="13" t="s">
        <v>251</v>
      </c>
    </row>
    <row r="45" spans="1:10" s="4" customFormat="1" ht="15" customHeight="1" x14ac:dyDescent="0.25">
      <c r="A45" s="16" t="str">
        <f t="shared" si="0"/>
        <v xml:space="preserve">  // Reporting Issues</v>
      </c>
      <c r="B45" s="16" t="str">
        <f t="shared" si="1"/>
        <v xml:space="preserve">\section{Reporting Issues}
</v>
      </c>
      <c r="C45" s="5" t="s">
        <v>0</v>
      </c>
      <c r="E45" s="5"/>
      <c r="F45" s="5"/>
      <c r="G45" s="8"/>
      <c r="H45" s="6" t="s">
        <v>63</v>
      </c>
      <c r="I45" s="5"/>
      <c r="J45" s="6"/>
    </row>
    <row r="46" spans="1:10" ht="15" customHeight="1" x14ac:dyDescent="0.25">
      <c r="A46" s="17" t="str">
        <f t="shared" si="0"/>
        <v xml:space="preserve">  MessagesDevelopmentAssert.QuickPutEntry_bool("RP-002", false);
  MessagesImplementationAssert.QuickPutEntry_bool("RP-002", false);
  MessagesRuntimeAssert.QuickPutEntry_bool("RP-002", true);
  MessagesDisabling.QuickPutEntry_int("RP-002", 0);
  MessagesCount.QuickPutEntry_int("RP-002", 0);
  MessagesLabel.QuickPutEntry_string("RP-002","Trying to close a non opened stream");</v>
      </c>
      <c r="B46" s="17" t="str">
        <f t="shared" si="1"/>
        <v xml:space="preserve">\subsection{RP-002}
\begin{itemize}
  \item Interface Message:\\[1em]\textbf{Trying to close a non opened stream}
  \item Development Assertion: NO
  \item Implementation Assertion: NO
  \item Runtime Assertion: YES
\end{itemize}
</v>
      </c>
      <c r="C46" s="1" t="s">
        <v>66</v>
      </c>
      <c r="D46" s="1" t="s">
        <v>3</v>
      </c>
      <c r="E46" s="1" t="s">
        <v>3</v>
      </c>
      <c r="F46" s="1" t="s">
        <v>2</v>
      </c>
      <c r="G46" s="3">
        <v>0</v>
      </c>
      <c r="H46" s="13" t="s">
        <v>67</v>
      </c>
      <c r="I46" s="3"/>
    </row>
    <row r="47" spans="1:10" ht="15" customHeight="1" x14ac:dyDescent="0.25">
      <c r="A47" s="17" t="str">
        <f t="shared" ref="A47" si="10">IF(C47&lt;&gt;"",IF(C47="#","  // "&amp;H47,
"  MessagesDevelopmentAssert.QuickPutEntry_bool("""&amp;C47&amp;""", "&amp;IF(D47="F","false",IF(D47="T","true","ERROR"))&amp;");"&amp;CHAR(10)&amp;
"  MessagesImplementationAssert.QuickPutEntry_bool("""&amp;C47&amp;""", "&amp;IF(E47="F","false",IF(E47="T","true","ERROR"))&amp;");"&amp;CHAR(10)&amp;
"  MessagesRuntimeAssert.QuickPutEntry_bool("""&amp;C47&amp;""", "&amp;IF(F47="F","false",IF(F47="T","true","ERROR"))&amp;");"&amp;CHAR(10)&amp;
"  MessagesDisabling.QuickPutEntry_int("""&amp;C47&amp;""", "&amp;G47&amp;");"&amp; CHAR(10) &amp;
"  MessagesCount.QuickPutEntry_int("""&amp;C47&amp;""", 0);"&amp;CHAR(10)&amp;
"  MessagesLabel.QuickPutEntry_string("""&amp;C47&amp;""","""&amp;H47&amp;""");"&amp;
IF(J47&lt;&gt;"",CHAR(10) &amp; "  MessagesText.QuickPutEntry_string("""&amp;C47&amp;""", """&amp;SUBSTITUTE(J47,"""","\""")&amp;""");","")
),"")</f>
        <v xml:space="preserve">  MessagesDevelopmentAssert.QuickPutEntry_bool("RP-003", false);
  MessagesImplementationAssert.QuickPutEntry_bool("RP-003", false);
  MessagesRuntimeAssert.QuickPutEntry_bool("RP-003", true);
  MessagesDisabling.QuickPutEntry_int("RP-003", 0);
  MessagesCount.QuickPutEntry_int("RP-003", 0);
  MessagesLabel.QuickPutEntry_string("RP-003","Stream didn't oppened correctly");</v>
      </c>
      <c r="B47" s="17" t="str">
        <f t="shared" ref="B47" si="11">IF(C47&lt;&gt;"",IF(C47="#","\section{"&amp;H47&amp;"}" &amp; CHAR(10),
"\subsection{" &amp; C47 &amp; "}" &amp; CHAR(10) &amp; "\begin{itemize}" &amp; CHAR(10) &amp;
"  \item Interface Message:\\[1em]\textbf{" &amp; SUBSTITUTE(H47,"_","\_") &amp; "}" &amp; CHAR(10) &amp;
"  \item Development Assertion: " &amp; IF(D47="F","NO",IF(D47="T","YES","ERROR")) &amp; CHAR(10) &amp;
"  \item Implementation Assertion: " &amp; IF(E47="F","NO",IF(E47="T","YES","ERROR")) &amp; CHAR(10) &amp;
"  \item Runtime Assertion: " &amp; IF(F47="F","NO",IF(F47="T","YES","ERROR")) &amp; CHAR(10) &amp;
IF(J47&lt;&gt;"","  \item Message Description:\\[1em]"&amp; SUBSTITUTE(J47,"_","\_")  &amp;CHAR(10),"") &amp;
"\end{itemize}"&amp;CHAR(10)),"")</f>
        <v xml:space="preserve">\subsection{RP-003}
\begin{itemize}
  \item Interface Message:\\[1em]\textbf{Stream didn't oppened correctly}
  \item Development Assertion: NO
  \item Implementation Assertion: NO
  \item Runtime Assertion: YES
\end{itemize}
</v>
      </c>
      <c r="C47" s="1" t="s">
        <v>280</v>
      </c>
      <c r="D47" s="1" t="s">
        <v>3</v>
      </c>
      <c r="E47" s="1" t="s">
        <v>3</v>
      </c>
      <c r="F47" s="1" t="s">
        <v>2</v>
      </c>
      <c r="G47" s="3">
        <v>0</v>
      </c>
      <c r="H47" s="13" t="s">
        <v>281</v>
      </c>
      <c r="I47" s="3"/>
    </row>
    <row r="48" spans="1:10" s="4" customFormat="1" ht="15" customHeight="1" x14ac:dyDescent="0.25">
      <c r="A48" s="16" t="str">
        <f t="shared" si="0"/>
        <v xml:space="preserve">  // Simulator Interface Issues</v>
      </c>
      <c r="B48" s="16" t="str">
        <f t="shared" si="1"/>
        <v xml:space="preserve">\section{Simulator Interface Issues}
</v>
      </c>
      <c r="C48" s="5" t="s">
        <v>0</v>
      </c>
      <c r="E48" s="5"/>
      <c r="F48" s="5"/>
      <c r="G48" s="8"/>
      <c r="H48" s="6" t="s">
        <v>68</v>
      </c>
      <c r="I48" s="5"/>
      <c r="J48" s="6"/>
    </row>
    <row r="49" spans="1:10" ht="15" customHeight="1" x14ac:dyDescent="0.25">
      <c r="A49" s="17" t="str">
        <f t="shared" si="0"/>
        <v xml:space="preserve">  MessagesDevelopmentAssert.QuickPutEntry_bool("SD-001", false);
  MessagesImplementationAssert.QuickPutEntry_bool("SD-001", false);
  MessagesRuntimeAssert.QuickPutEntry_bool("SD-001", true);
  MessagesDisabling.QuickPutEntry_int("SD-001", 0);
  MessagesCount.QuickPutEntry_int("SD-001", 0);
  MessagesLabel.QuickPutEntry_string("SD-001","Simple Simulator Not Initialized");</v>
      </c>
      <c r="B49" s="17" t="str">
        <f t="shared" si="1"/>
        <v xml:space="preserve">\subsection{SD-001}
\begin{itemize}
  \item Interface Message:\\[1em]\textbf{Simple Simulator Not Initialized}
  \item Development Assertion: NO
  \item Implementation Assertion: NO
  \item Runtime Assertion: YES
\end{itemize}
</v>
      </c>
      <c r="C49" s="1" t="s">
        <v>69</v>
      </c>
      <c r="D49" s="1" t="s">
        <v>3</v>
      </c>
      <c r="E49" s="1" t="s">
        <v>3</v>
      </c>
      <c r="F49" s="1" t="s">
        <v>2</v>
      </c>
      <c r="G49" s="3">
        <v>0</v>
      </c>
      <c r="H49" s="13" t="s">
        <v>70</v>
      </c>
    </row>
    <row r="50" spans="1:10" ht="15" customHeight="1" x14ac:dyDescent="0.25">
      <c r="A50" s="17" t="str">
        <f t="shared" si="0"/>
        <v xml:space="preserve">  MessagesDevelopmentAssert.QuickPutEntry_bool("SD-015", false);
  MessagesImplementationAssert.QuickPutEntry_bool("SD-015", false);
  MessagesRuntimeAssert.QuickPutEntry_bool("SD-015", true);
  MessagesDisabling.QuickPutEntry_int("SD-015", 0);
  MessagesCount.QuickPutEntry_int("SD-015", 0);
  MessagesLabel.QuickPutEntry_string("SD-015","No V1_Neuron created");</v>
      </c>
      <c r="B50" s="17" t="str">
        <f t="shared" si="1"/>
        <v xml:space="preserve">\subsection{SD-015}
\begin{itemize}
  \item Interface Message:\\[1em]\textbf{No V1\_Neuron created}
  \item Development Assertion: NO
  \item Implementation Assertion: NO
  \item Runtime Assertion: YES
\end{itemize}
</v>
      </c>
      <c r="C50" s="1" t="s">
        <v>93</v>
      </c>
      <c r="D50" s="1" t="s">
        <v>3</v>
      </c>
      <c r="E50" s="1" t="s">
        <v>3</v>
      </c>
      <c r="F50" s="1" t="s">
        <v>2</v>
      </c>
      <c r="G50" s="3">
        <v>0</v>
      </c>
      <c r="H50" s="13" t="s">
        <v>94</v>
      </c>
    </row>
    <row r="51" spans="1:10" ht="15" customHeight="1" x14ac:dyDescent="0.25">
      <c r="A51" s="17" t="str">
        <f t="shared" si="0"/>
        <v xml:space="preserve">  MessagesDevelopmentAssert.QuickPutEntry_bool("SD-016", false);
  MessagesImplementationAssert.QuickPutEntry_bool("SD-016", false);
  MessagesRuntimeAssert.QuickPutEntry_bool("SD-016", true);
  MessagesDisabling.QuickPutEntry_int("SD-016", 0);
  MessagesCount.QuickPutEntry_int("SD-016", 0);
  MessagesLabel.QuickPutEntry_string("SD-016","No MT_Neuron created");</v>
      </c>
      <c r="B51" s="17" t="str">
        <f t="shared" si="1"/>
        <v xml:space="preserve">\subsection{SD-016}
\begin{itemize}
  \item Interface Message:\\[1em]\textbf{No MT\_Neuron created}
  \item Development Assertion: NO
  \item Implementation Assertion: NO
  \item Runtime Assertion: YES
\end{itemize}
</v>
      </c>
      <c r="C51" s="1" t="s">
        <v>95</v>
      </c>
      <c r="D51" s="1" t="s">
        <v>3</v>
      </c>
      <c r="E51" s="1" t="s">
        <v>3</v>
      </c>
      <c r="F51" s="1" t="s">
        <v>2</v>
      </c>
      <c r="G51" s="3">
        <v>0</v>
      </c>
      <c r="H51" s="13" t="s">
        <v>96</v>
      </c>
    </row>
    <row r="52" spans="1:10" ht="15" customHeight="1" x14ac:dyDescent="0.25">
      <c r="A52" s="17" t="str">
        <f t="shared" si="0"/>
        <v xml:space="preserve">  MessagesDevelopmentAssert.QuickPutEntry_bool("SD-021", false);
  MessagesImplementationAssert.QuickPutEntry_bool("SD-021", false);
  MessagesRuntimeAssert.QuickPutEntry_bool("SD-021", true);
  MessagesDisabling.QuickPutEntry_int("SD-021", 0);
  MessagesCount.QuickPutEntry_int("SD-021", 0);
  MessagesLabel.QuickPutEntry_string("SD-021","Invalid timing for eternal excitation");</v>
      </c>
      <c r="B52" s="17" t="str">
        <f t="shared" si="1"/>
        <v xml:space="preserve">\subsection{SD-021}
\begin{itemize}
  \item Interface Message:\\[1em]\textbf{Invalid timing for eternal excitation}
  \item Development Assertion: NO
  \item Implementation Assertion: NO
  \item Runtime Assertion: YES
\end{itemize}
</v>
      </c>
      <c r="C52" s="1" t="s">
        <v>104</v>
      </c>
      <c r="D52" s="1" t="s">
        <v>3</v>
      </c>
      <c r="E52" s="1" t="s">
        <v>3</v>
      </c>
      <c r="F52" s="1" t="s">
        <v>2</v>
      </c>
      <c r="G52" s="3">
        <v>0</v>
      </c>
      <c r="H52" s="13" t="s">
        <v>105</v>
      </c>
    </row>
    <row r="53" spans="1:10" ht="15" customHeight="1" x14ac:dyDescent="0.25">
      <c r="A53" s="17" t="str">
        <f t="shared" si="0"/>
        <v xml:space="preserve">  MessagesDevelopmentAssert.QuickPutEntry_bool("SD-025", false);
  MessagesImplementationAssert.QuickPutEntry_bool("SD-025", false);
  MessagesRuntimeAssert.QuickPutEntry_bool("SD-025", true);
  MessagesDisabling.QuickPutEntry_int("SD-025", 0);
  MessagesCount.QuickPutEntry_int("SD-025", 0);
  MessagesLabel.QuickPutEntry_string("SD-025","Unordered external excitation phase insertion attempt");</v>
      </c>
      <c r="B53" s="17" t="str">
        <f t="shared" si="1"/>
        <v xml:space="preserve">\subsection{SD-025}
\begin{itemize}
  \item Interface Message:\\[1em]\textbf{Unordered external excitation phase insertion attempt}
  \item Development Assertion: NO
  \item Implementation Assertion: NO
  \item Runtime Assertion: YES
\end{itemize}
</v>
      </c>
      <c r="C53" s="1" t="s">
        <v>108</v>
      </c>
      <c r="D53" s="1" t="s">
        <v>3</v>
      </c>
      <c r="E53" s="1" t="s">
        <v>3</v>
      </c>
      <c r="F53" s="1" t="s">
        <v>2</v>
      </c>
      <c r="G53" s="3">
        <v>0</v>
      </c>
      <c r="H53" s="13" t="s">
        <v>109</v>
      </c>
    </row>
    <row r="54" spans="1:10" ht="15" customHeight="1" x14ac:dyDescent="0.25">
      <c r="A54" s="17" t="str">
        <f t="shared" si="0"/>
        <v xml:space="preserve">  MessagesDevelopmentAssert.QuickPutEntry_bool("SD-027", false);
  MessagesImplementationAssert.QuickPutEntry_bool("SD-027", false);
  MessagesRuntimeAssert.QuickPutEntry_bool("SD-027", true);
  MessagesDisabling.QuickPutEntry_int("SD-027", 0);
  MessagesCount.QuickPutEntry_int("SD-027", 0);
  MessagesLabel.QuickPutEntry_string("SD-027","First diffusion phase should be always zero");</v>
      </c>
      <c r="B54" s="17" t="str">
        <f t="shared" si="1"/>
        <v xml:space="preserve">\subsection{SD-027}
\begin{itemize}
  \item Interface Message:\\[1em]\textbf{First diffusion phase should be always zero}
  \item Development Assertion: NO
  \item Implementation Assertion: NO
  \item Runtime Assertion: YES
\end{itemize}
</v>
      </c>
      <c r="C54" s="1" t="s">
        <v>110</v>
      </c>
      <c r="D54" s="1" t="s">
        <v>3</v>
      </c>
      <c r="E54" s="1" t="s">
        <v>3</v>
      </c>
      <c r="F54" s="1" t="s">
        <v>2</v>
      </c>
      <c r="G54" s="3">
        <v>0</v>
      </c>
      <c r="H54" s="13" t="s">
        <v>111</v>
      </c>
    </row>
    <row r="55" spans="1:10" ht="15" customHeight="1" x14ac:dyDescent="0.25">
      <c r="A55" s="17" t="str">
        <f t="shared" si="0"/>
        <v xml:space="preserve">  MessagesDevelopmentAssert.QuickPutEntry_bool("SD-028", false);
  MessagesImplementationAssert.QuickPutEntry_bool("SD-028", false);
  MessagesRuntimeAssert.QuickPutEntry_bool("SD-028", true);
  MessagesDisabling.QuickPutEntry_int("SD-028", 0);
  MessagesCount.QuickPutEntry_int("SD-028", 0);
  MessagesLabel.QuickPutEntry_string("SD-028","The number of steps for simulate needs to be at least 1");</v>
      </c>
      <c r="B55" s="17" t="str">
        <f t="shared" si="1"/>
        <v xml:space="preserve">\subsection{SD-028}
\begin{itemize}
  \item Interface Message:\\[1em]\textbf{The number of steps for simulate needs to be at least 1}
  \item Development Assertion: NO
  \item Implementation Assertion: NO
  \item Runtime Assertion: YES
\end{itemize}
</v>
      </c>
      <c r="C55" s="1" t="s">
        <v>112</v>
      </c>
      <c r="D55" s="1" t="s">
        <v>3</v>
      </c>
      <c r="E55" s="1" t="s">
        <v>3</v>
      </c>
      <c r="F55" s="1" t="s">
        <v>2</v>
      </c>
      <c r="G55" s="3">
        <v>0</v>
      </c>
      <c r="H55" s="13" t="s">
        <v>113</v>
      </c>
    </row>
    <row r="56" spans="1:10" ht="15" customHeight="1" x14ac:dyDescent="0.25">
      <c r="A56" s="17" t="str">
        <f t="shared" si="0"/>
        <v xml:space="preserve">  MessagesDevelopmentAssert.QuickPutEntry_bool("SD-033", false);
  MessagesImplementationAssert.QuickPutEntry_bool("SD-033", false);
  MessagesRuntimeAssert.QuickPutEntry_bool("SD-033", true);
  MessagesDisabling.QuickPutEntry_int("SD-033", 0);
  MessagesCount.QuickPutEntry_int("SD-033", 0);
  MessagesLabel.QuickPutEntry_string("SD-033","Trying to access an invalid activation TimeStep");</v>
      </c>
      <c r="B56" s="17" t="str">
        <f t="shared" si="1"/>
        <v xml:space="preserve">\subsection{SD-033}
\begin{itemize}
  \item Interface Message:\\[1em]\textbf{Trying to access an invalid activation TimeStep}
  \item Development Assertion: NO
  \item Implementation Assertion: NO
  \item Runtime Assertion: YES
\end{itemize}
</v>
      </c>
      <c r="C56" s="1" t="s">
        <v>118</v>
      </c>
      <c r="D56" s="1" t="s">
        <v>3</v>
      </c>
      <c r="E56" s="1" t="s">
        <v>3</v>
      </c>
      <c r="F56" s="1" t="s">
        <v>2</v>
      </c>
      <c r="G56" s="3">
        <v>0</v>
      </c>
      <c r="H56" s="13" t="s">
        <v>119</v>
      </c>
    </row>
    <row r="57" spans="1:10" ht="15" customHeight="1" x14ac:dyDescent="0.25">
      <c r="A57" s="17" t="str">
        <f t="shared" si="0"/>
        <v xml:space="preserve">  MessagesDevelopmentAssert.QuickPutEntry_bool("SD-036", false);
  MessagesImplementationAssert.QuickPutEntry_bool("SD-036", false);
  MessagesRuntimeAssert.QuickPutEntry_bool("SD-036", true);
  MessagesDisabling.QuickPutEntry_int("SD-036", 0);
  MessagesCount.QuickPutEntry_int("SD-036", 0);
  MessagesLabel.QuickPutEntry_string("SD-036","Setting not recognized");</v>
      </c>
      <c r="B57" s="17" t="str">
        <f t="shared" si="1"/>
        <v xml:space="preserve">\subsection{SD-036}
\begin{itemize}
  \item Interface Message:\\[1em]\textbf{Setting not recognized}
  \item Development Assertion: NO
  \item Implementation Assertion: NO
  \item Runtime Assertion: YES
\end{itemize}
</v>
      </c>
      <c r="C57" s="1" t="s">
        <v>142</v>
      </c>
      <c r="D57" s="1" t="s">
        <v>3</v>
      </c>
      <c r="E57" s="1" t="s">
        <v>3</v>
      </c>
      <c r="F57" s="1" t="s">
        <v>2</v>
      </c>
      <c r="G57" s="3">
        <v>0</v>
      </c>
      <c r="H57" s="13" t="s">
        <v>143</v>
      </c>
    </row>
    <row r="58" spans="1:10" ht="15" customHeight="1" x14ac:dyDescent="0.25">
      <c r="A58" s="17" t="str">
        <f t="shared" si="0"/>
        <v xml:space="preserve">  MessagesDevelopmentAssert.QuickPutEntry_bool("SD-037", false);
  MessagesImplementationAssert.QuickPutEntry_bool("SD-037", false);
  MessagesRuntimeAssert.QuickPutEntry_bool("SD-037", true);
  MessagesDisabling.QuickPutEntry_int("SD-037", 0);
  MessagesCount.QuickPutEntry_int("SD-037", 0);
  MessagesLabel.QuickPutEntry_string("SD-037","Setting required");</v>
      </c>
      <c r="B58" s="17" t="str">
        <f t="shared" si="1"/>
        <v xml:space="preserve">\subsection{SD-037}
\begin{itemize}
  \item Interface Message:\\[1em]\textbf{Setting required}
  \item Development Assertion: NO
  \item Implementation Assertion: NO
  \item Runtime Assertion: YES
\end{itemize}
</v>
      </c>
      <c r="C58" s="1" t="s">
        <v>144</v>
      </c>
      <c r="D58" s="1" t="s">
        <v>3</v>
      </c>
      <c r="E58" s="1" t="s">
        <v>3</v>
      </c>
      <c r="F58" s="1" t="s">
        <v>2</v>
      </c>
      <c r="G58" s="3">
        <v>0</v>
      </c>
      <c r="H58" s="13" t="s">
        <v>145</v>
      </c>
    </row>
    <row r="59" spans="1:10" s="4" customFormat="1" ht="15" customHeight="1" x14ac:dyDescent="0.25">
      <c r="A59" s="16" t="str">
        <f t="shared" si="0"/>
        <v xml:space="preserve">  // Warnings</v>
      </c>
      <c r="B59" s="16" t="str">
        <f t="shared" si="1"/>
        <v xml:space="preserve">\section{Warnings}
</v>
      </c>
      <c r="C59" s="5" t="s">
        <v>0</v>
      </c>
      <c r="E59" s="5"/>
      <c r="F59" s="5"/>
      <c r="G59" s="8"/>
      <c r="H59" s="6" t="s">
        <v>124</v>
      </c>
      <c r="I59" s="5"/>
      <c r="J59" s="6"/>
    </row>
    <row r="60" spans="1:10" ht="15" customHeight="1" x14ac:dyDescent="0.25">
      <c r="A60" s="17" t="str">
        <f t="shared" si="0"/>
        <v xml:space="preserve">  MessagesDevelopmentAssert.QuickPutEntry_bool("WN-006", false);
  MessagesImplementationAssert.QuickPutEntry_bool("WN-006", false);
  MessagesRuntimeAssert.QuickPutEntry_bool("WN-006", false);
  MessagesDisabling.QuickPutEntry_int("WN-006", 1);
  MessagesCount.QuickPutEntry_int("WN-006", 0);
  MessagesLabel.QuickPutEntry_string("WN-006","There are undocumented calculations in use");</v>
      </c>
      <c r="B60" s="17" t="str">
        <f t="shared" si="1"/>
        <v xml:space="preserve">\subsection{WN-006}
\begin{itemize}
  \item Interface Message:\\[1em]\textbf{There are undocumented calculations in use}
  \item Development Assertion: NO
  \item Implementation Assertion: NO
  \item Runtime Assertion: NO
\end{itemize}
</v>
      </c>
      <c r="C60" s="1" t="s">
        <v>141</v>
      </c>
      <c r="D60" s="1" t="s">
        <v>3</v>
      </c>
      <c r="E60" s="1" t="s">
        <v>3</v>
      </c>
      <c r="F60" s="1" t="s">
        <v>3</v>
      </c>
      <c r="G60" s="3">
        <v>1</v>
      </c>
      <c r="H60" s="14" t="s">
        <v>243</v>
      </c>
    </row>
    <row r="61" spans="1:10" s="36" customFormat="1" ht="15" customHeight="1" x14ac:dyDescent="0.25">
      <c r="A61" s="33"/>
      <c r="B61" s="33"/>
      <c r="C61" s="34"/>
      <c r="D61" s="34"/>
      <c r="E61" s="34"/>
      <c r="F61" s="34"/>
      <c r="G61" s="37"/>
      <c r="H61" s="38"/>
      <c r="I61" s="34"/>
      <c r="J61" s="35"/>
    </row>
    <row r="62" spans="1:10" s="4" customFormat="1" ht="15" customHeight="1" x14ac:dyDescent="0.25">
      <c r="A62" s="16" t="str">
        <f t="shared" si="0"/>
        <v xml:space="preserve">  // Deprecated Messages</v>
      </c>
      <c r="B62" s="16" t="str">
        <f t="shared" si="1"/>
        <v xml:space="preserve">\section{Deprecated Messages}
</v>
      </c>
      <c r="C62" s="5" t="s">
        <v>0</v>
      </c>
      <c r="E62" s="5"/>
      <c r="F62" s="5"/>
      <c r="G62" s="8"/>
      <c r="H62" s="6" t="s">
        <v>248</v>
      </c>
      <c r="I62" s="5"/>
      <c r="J62" s="6"/>
    </row>
    <row r="63" spans="1:10" ht="15" customHeight="1" x14ac:dyDescent="0.25">
      <c r="A63" s="17" t="str">
        <f t="shared" si="0"/>
        <v xml:space="preserve">  MessagesDevelopmentAssert.QuickPutEntry_bool("WN-001", false);
  MessagesImplementationAssert.QuickPutEntry_bool("WN-001", false);
  MessagesRuntimeAssert.QuickPutEntry_bool("WN-001", false);
  MessagesDisabling.QuickPutEntry_int("WN-001", 1);
  MessagesCount.QuickPutEntry_int("WN-001", 0);
  MessagesLabel.QuickPutEntry_string("WN-001","Undocumented RFSize Calculation");</v>
      </c>
      <c r="B63" s="17" t="str">
        <f t="shared" si="1"/>
        <v xml:space="preserve">\subsection{WN-001}
\begin{itemize}
  \item Interface Message:\\[1em]\textbf{Undocumented RFSize Calculation}
  \item Development Assertion: NO
  \item Implementation Assertion: NO
  \item Runtime Assertion: NO
\end{itemize}
</v>
      </c>
      <c r="C63" s="1" t="s">
        <v>125</v>
      </c>
      <c r="D63" s="1" t="s">
        <v>3</v>
      </c>
      <c r="E63" s="1" t="s">
        <v>3</v>
      </c>
      <c r="F63" s="1" t="s">
        <v>3</v>
      </c>
      <c r="G63" s="3">
        <v>1</v>
      </c>
      <c r="H63" s="13" t="s">
        <v>126</v>
      </c>
    </row>
    <row r="64" spans="1:10" ht="15" customHeight="1" x14ac:dyDescent="0.25">
      <c r="A64" s="17" t="str">
        <f t="shared" si="0"/>
        <v xml:space="preserve">  MessagesDevelopmentAssert.QuickPutEntry_bool("WN-002", false);
  MessagesImplementationAssert.QuickPutEntry_bool("WN-002", false);
  MessagesRuntimeAssert.QuickPutEntry_bool("WN-002", false);
  MessagesDisabling.QuickPutEntry_int("WN-002", 1);
  MessagesCount.QuickPutEntry_int("WN-002", 0);
  MessagesLabel.QuickPutEntry_string("WN-002","Undocumented Sigma Calculation");</v>
      </c>
      <c r="B64" s="17" t="str">
        <f t="shared" si="1"/>
        <v xml:space="preserve">\subsection{WN-002}
\begin{itemize}
  \item Interface Message:\\[1em]\textbf{Undocumented Sigma Calculation}
  \item Development Assertion: NO
  \item Implementation Assertion: NO
  \item Runtime Assertion: NO
\end{itemize}
</v>
      </c>
      <c r="C64" s="1" t="s">
        <v>127</v>
      </c>
      <c r="D64" s="1" t="s">
        <v>3</v>
      </c>
      <c r="E64" s="1" t="s">
        <v>3</v>
      </c>
      <c r="F64" s="1" t="s">
        <v>3</v>
      </c>
      <c r="G64" s="3">
        <v>1</v>
      </c>
      <c r="H64" s="13" t="s">
        <v>128</v>
      </c>
    </row>
    <row r="65" spans="1:10" ht="15" customHeight="1" x14ac:dyDescent="0.25">
      <c r="A65" s="17" t="str">
        <f t="shared" si="0"/>
        <v xml:space="preserve">  MessagesDevelopmentAssert.QuickPutEntry_bool("WN-003", false);
  MessagesImplementationAssert.QuickPutEntry_bool("WN-003", false);
  MessagesRuntimeAssert.QuickPutEntry_bool("WN-003", false);
  MessagesDisabling.QuickPutEntry_int("WN-003", 1);
  MessagesCount.QuickPutEntry_int("WN-003", 0);
  MessagesLabel.QuickPutEntry_string("WN-003","Undocumented AdaptedWeithg Calculation");</v>
      </c>
      <c r="B65" s="17" t="str">
        <f t="shared" si="1"/>
        <v xml:space="preserve">\subsection{WN-003}
\begin{itemize}
  \item Interface Message:\\[1em]\textbf{Undocumented AdaptedWeithg Calculation}
  \item Development Assertion: NO
  \item Implementation Assertion: NO
  \item Runtime Assertion: NO
\end{itemize}
</v>
      </c>
      <c r="C65" s="1" t="s">
        <v>129</v>
      </c>
      <c r="D65" s="1" t="s">
        <v>3</v>
      </c>
      <c r="E65" s="1" t="s">
        <v>3</v>
      </c>
      <c r="F65" s="1" t="s">
        <v>3</v>
      </c>
      <c r="G65" s="3">
        <v>1</v>
      </c>
      <c r="H65" s="13" t="s">
        <v>130</v>
      </c>
    </row>
    <row r="66" spans="1:10" ht="15" customHeight="1" x14ac:dyDescent="0.25">
      <c r="A66" s="17" t="str">
        <f t="shared" si="0"/>
        <v xml:space="preserve">  MessagesDevelopmentAssert.QuickPutEntry_bool("WN-004", false);
  MessagesImplementationAssert.QuickPutEntry_bool("WN-004", false);
  MessagesRuntimeAssert.QuickPutEntry_bool("WN-004", false);
  MessagesDisabling.QuickPutEntry_int("WN-004", 1);
  MessagesCount.QuickPutEntry_int("WN-004", 0);
  MessagesLabel.QuickPutEntry_string("WN-004","Undocumented AdaptedWeight correction");</v>
      </c>
      <c r="B66" s="17" t="str">
        <f t="shared" si="1"/>
        <v xml:space="preserve">\subsection{WN-004}
\begin{itemize}
  \item Interface Message:\\[1em]\textbf{Undocumented AdaptedWeight correction}
  \item Development Assertion: NO
  \item Implementation Assertion: NO
  \item Runtime Assertion: NO
\end{itemize}
</v>
      </c>
      <c r="C66" s="1" t="s">
        <v>131</v>
      </c>
      <c r="D66" s="1" t="s">
        <v>3</v>
      </c>
      <c r="E66" s="1" t="s">
        <v>3</v>
      </c>
      <c r="F66" s="1" t="s">
        <v>3</v>
      </c>
      <c r="G66" s="3">
        <v>1</v>
      </c>
      <c r="H66" s="13" t="s">
        <v>132</v>
      </c>
    </row>
    <row r="67" spans="1:10" ht="15" customHeight="1" x14ac:dyDescent="0.25">
      <c r="A67" s="17" t="str">
        <f t="shared" si="0"/>
        <v xml:space="preserve">  MessagesDevelopmentAssert.QuickPutEntry_bool("WN-005", false);
  MessagesImplementationAssert.QuickPutEntry_bool("WN-005", false);
  MessagesRuntimeAssert.QuickPutEntry_bool("WN-005", false);
  MessagesDisabling.QuickPutEntry_int("WN-005", 1);
  MessagesCount.QuickPutEntry_int("WN-005", 0);
  MessagesLabel.QuickPutEntry_string("WN-005","Undocumented BaseWeight correction");</v>
      </c>
      <c r="B67" s="17" t="str">
        <f t="shared" si="1"/>
        <v xml:space="preserve">\subsection{WN-005}
\begin{itemize}
  \item Interface Message:\\[1em]\textbf{Undocumented BaseWeight correction}
  \item Development Assertion: NO
  \item Implementation Assertion: NO
  \item Runtime Assertion: NO
\end{itemize}
</v>
      </c>
      <c r="C67" s="1" t="s">
        <v>133</v>
      </c>
      <c r="D67" s="1" t="s">
        <v>3</v>
      </c>
      <c r="E67" s="1" t="s">
        <v>3</v>
      </c>
      <c r="F67" s="1" t="s">
        <v>3</v>
      </c>
      <c r="G67" s="3">
        <v>1</v>
      </c>
      <c r="H67" s="13" t="s">
        <v>134</v>
      </c>
    </row>
    <row r="68" spans="1:10" ht="15" customHeight="1" x14ac:dyDescent="0.25">
      <c r="A68" s="17" t="str">
        <f t="shared" si="0"/>
        <v xml:space="preserve">  MessagesDevelopmentAssert.QuickPutEntry_bool("SD-023", false);
  MessagesImplementationAssert.QuickPutEntry_bool("SD-023", false);
  MessagesRuntimeAssert.QuickPutEntry_bool("SD-023", true);
  MessagesDisabling.QuickPutEntry_int("SD-023", 0);
  MessagesCount.QuickPutEntry_int("SD-023", 0);
  MessagesLabel.QuickPutEntry_string("SD-023","Invalid Parameter");</v>
      </c>
      <c r="B68" s="17" t="str">
        <f t="shared" si="1"/>
        <v xml:space="preserve">\subsection{SD-023}
\begin{itemize}
  \item Interface Message:\\[1em]\textbf{Invalid Parameter}
  \item Development Assertion: NO
  \item Implementation Assertion: NO
  \item Runtime Assertion: YES
\end{itemize}
</v>
      </c>
      <c r="C68" s="1" t="s">
        <v>106</v>
      </c>
      <c r="D68" s="1" t="s">
        <v>3</v>
      </c>
      <c r="E68" s="1" t="s">
        <v>3</v>
      </c>
      <c r="F68" s="1" t="s">
        <v>2</v>
      </c>
      <c r="G68" s="3">
        <v>0</v>
      </c>
      <c r="H68" s="13" t="s">
        <v>107</v>
      </c>
    </row>
    <row r="69" spans="1:10" s="26" customFormat="1" ht="15" customHeight="1" x14ac:dyDescent="0.25">
      <c r="A69" s="23" t="str">
        <f t="shared" si="0"/>
        <v xml:space="preserve">  MessagesDevelopmentAssert.QuickPutEntry_bool("SD-020", false);
  MessagesImplementationAssert.QuickPutEntry_bool("SD-020", false);
  MessagesRuntimeAssert.QuickPutEntry_bool("SD-020", true);
  MessagesDisabling.QuickPutEntry_int("SD-020", 0);
  MessagesCount.QuickPutEntry_int("SD-020", 0);
  MessagesLabel.QuickPutEntry_string("SD-020","V1V1_default_weight is required for calculation");</v>
      </c>
      <c r="B69" s="23" t="str">
        <f t="shared" si="1"/>
        <v xml:space="preserve">\subsection{SD-020}
\begin{itemize}
  \item Interface Message:\\[1em]\textbf{V1V1\_default\_weight is required for calculation}
  \item Development Assertion: NO
  \item Implementation Assertion: NO
  \item Runtime Assertion: YES
\end{itemize}
</v>
      </c>
      <c r="C69" s="18" t="s">
        <v>102</v>
      </c>
      <c r="D69" s="18" t="s">
        <v>3</v>
      </c>
      <c r="E69" s="18" t="s">
        <v>3</v>
      </c>
      <c r="F69" s="18" t="s">
        <v>2</v>
      </c>
      <c r="G69" s="24">
        <v>0</v>
      </c>
      <c r="H69" s="25" t="s">
        <v>103</v>
      </c>
      <c r="I69" s="18"/>
      <c r="J69" s="25"/>
    </row>
    <row r="70" spans="1:10" s="26" customFormat="1" ht="15" customHeight="1" x14ac:dyDescent="0.25">
      <c r="A70" s="23" t="str">
        <f t="shared" si="0"/>
        <v xml:space="preserve">  MessagesDevelopmentAssert.QuickPutEntry_bool("SD-010", false);
  MessagesImplementationAssert.QuickPutEntry_bool("SD-010", false);
  MessagesRuntimeAssert.QuickPutEntry_bool("SD-010", true);
  MessagesDisabling.QuickPutEntry_int("SD-010", 0);
  MessagesCount.QuickPutEntry_int("SD-010", 0);
  MessagesLabel.QuickPutEntry_string("SD-010","V1MT_sigma is required for calculation");</v>
      </c>
      <c r="B70" s="23" t="str">
        <f t="shared" si="1"/>
        <v xml:space="preserve">\subsection{SD-010}
\begin{itemize}
  \item Interface Message:\\[1em]\textbf{V1MT\_sigma is required for calculation}
  \item Development Assertion: NO
  \item Implementation Assertion: NO
  \item Runtime Assertion: YES
\end{itemize}
</v>
      </c>
      <c r="C70" s="18" t="s">
        <v>85</v>
      </c>
      <c r="D70" s="18" t="s">
        <v>3</v>
      </c>
      <c r="E70" s="18" t="s">
        <v>3</v>
      </c>
      <c r="F70" s="18" t="s">
        <v>2</v>
      </c>
      <c r="G70" s="24">
        <v>0</v>
      </c>
      <c r="H70" s="25" t="s">
        <v>86</v>
      </c>
      <c r="I70" s="18"/>
      <c r="J70" s="25"/>
    </row>
    <row r="71" spans="1:10" s="26" customFormat="1" ht="15" customHeight="1" x14ac:dyDescent="0.25">
      <c r="A71" s="23" t="str">
        <f t="shared" si="0"/>
        <v xml:space="preserve">  MessagesDevelopmentAssert.QuickPutEntry_bool("SD-011", false);
  MessagesImplementationAssert.QuickPutEntry_bool("SD-011", false);
  MessagesRuntimeAssert.QuickPutEntry_bool("SD-011", true);
  MessagesDisabling.QuickPutEntry_int("SD-011", 0);
  MessagesCount.QuickPutEntry_int("SD-011", 0);
  MessagesLabel.QuickPutEntry_string("SD-011","V1MT_amplification is required for calculation");</v>
      </c>
      <c r="B71" s="23" t="str">
        <f t="shared" si="1"/>
        <v xml:space="preserve">\subsection{SD-011}
\begin{itemize}
  \item Interface Message:\\[1em]\textbf{V1MT\_amplification is required for calculation}
  \item Development Assertion: NO
  \item Implementation Assertion: NO
  \item Runtime Assertion: YES
\end{itemize}
</v>
      </c>
      <c r="C71" s="18" t="s">
        <v>87</v>
      </c>
      <c r="D71" s="18" t="s">
        <v>3</v>
      </c>
      <c r="E71" s="18" t="s">
        <v>3</v>
      </c>
      <c r="F71" s="18" t="s">
        <v>2</v>
      </c>
      <c r="G71" s="24">
        <v>0</v>
      </c>
      <c r="H71" s="25" t="s">
        <v>88</v>
      </c>
      <c r="I71" s="18"/>
      <c r="J71" s="25"/>
    </row>
    <row r="72" spans="1:10" s="26" customFormat="1" ht="15" customHeight="1" x14ac:dyDescent="0.25">
      <c r="A72" s="23" t="str">
        <f t="shared" ref="A72:A136" si="12">IF(C72&lt;&gt;"",IF(C72="#","  // "&amp;H72,
"  MessagesDevelopmentAssert.QuickPutEntry_bool("""&amp;C72&amp;""", "&amp;IF(D72="F","false",IF(D72="T","true","ERROR"))&amp;");"&amp;CHAR(10)&amp;
"  MessagesImplementationAssert.QuickPutEntry_bool("""&amp;C72&amp;""", "&amp;IF(E72="F","false",IF(E72="T","true","ERROR"))&amp;");"&amp;CHAR(10)&amp;
"  MessagesRuntimeAssert.QuickPutEntry_bool("""&amp;C72&amp;""", "&amp;IF(F72="F","false",IF(F72="T","true","ERROR"))&amp;");"&amp;CHAR(10)&amp;
"  MessagesDisabling.QuickPutEntry_int("""&amp;C72&amp;""", "&amp;G72&amp;");"&amp; CHAR(10) &amp;
"  MessagesCount.QuickPutEntry_int("""&amp;C72&amp;""", 0);"&amp;CHAR(10)&amp;
"  MessagesLabel.QuickPutEntry_string("""&amp;C72&amp;""","""&amp;H72&amp;""");"&amp;
IF(J72&lt;&gt;"",CHAR(10) &amp; "  MessagesText.QuickPutEntry_string("""&amp;C72&amp;""", """&amp;SUBSTITUTE(J72,"""","\""")&amp;""");","")
),"")</f>
        <v xml:space="preserve">  MessagesDevelopmentAssert.QuickPutEntry_bool("SD-012", false);
  MessagesImplementationAssert.QuickPutEntry_bool("SD-012", false);
  MessagesRuntimeAssert.QuickPutEntry_bool("SD-012", true);
  MessagesDisabling.QuickPutEntry_int("SD-012", 0);
  MessagesCount.QuickPutEntry_int("SD-012", 0);
  MessagesLabel.QuickPutEntry_string("SD-012","V1MT_modulation is required for calculation");</v>
      </c>
      <c r="B72" s="23" t="str">
        <f t="shared" ref="B72:B136" si="13">IF(C72&lt;&gt;"",IF(C72="#","\section{"&amp;H72&amp;"}" &amp; CHAR(10),
"\subsection{" &amp; C72 &amp; "}" &amp; CHAR(10) &amp; "\begin{itemize}" &amp; CHAR(10) &amp;
"  \item Interface Message:\\[1em]\textbf{" &amp; SUBSTITUTE(H72,"_","\_") &amp; "}" &amp; CHAR(10) &amp;
"  \item Development Assertion: " &amp; IF(D72="F","NO",IF(D72="T","YES","ERROR")) &amp; CHAR(10) &amp;
"  \item Implementation Assertion: " &amp; IF(E72="F","NO",IF(E72="T","YES","ERROR")) &amp; CHAR(10) &amp;
"  \item Runtime Assertion: " &amp; IF(F72="F","NO",IF(F72="T","YES","ERROR")) &amp; CHAR(10) &amp;
IF(J72&lt;&gt;"","  \item Message Description:\\[1em]"&amp; SUBSTITUTE(J72,"_","\_")  &amp;CHAR(10),"") &amp;
"\end{itemize}"&amp;CHAR(10)),"")</f>
        <v xml:space="preserve">\subsection{SD-012}
\begin{itemize}
  \item Interface Message:\\[1em]\textbf{V1MT\_modulation is required for calculation}
  \item Development Assertion: NO
  \item Implementation Assertion: NO
  \item Runtime Assertion: YES
\end{itemize}
</v>
      </c>
      <c r="C72" s="18" t="s">
        <v>89</v>
      </c>
      <c r="D72" s="18" t="s">
        <v>3</v>
      </c>
      <c r="E72" s="18" t="s">
        <v>3</v>
      </c>
      <c r="F72" s="18" t="s">
        <v>2</v>
      </c>
      <c r="G72" s="24">
        <v>0</v>
      </c>
      <c r="H72" s="25" t="s">
        <v>90</v>
      </c>
      <c r="I72" s="18"/>
      <c r="J72" s="25"/>
    </row>
    <row r="73" spans="1:10" s="26" customFormat="1" ht="15" customHeight="1" x14ac:dyDescent="0.25">
      <c r="A73" s="23" t="str">
        <f t="shared" si="12"/>
        <v xml:space="preserve">  MessagesDevelopmentAssert.QuickPutEntry_bool("SD-013", false);
  MessagesImplementationAssert.QuickPutEntry_bool("SD-013", false);
  MessagesRuntimeAssert.QuickPutEntry_bool("SD-013", true);
  MessagesDisabling.QuickPutEntry_int("SD-013", 0);
  MessagesCount.QuickPutEntry_int("SD-013", 0);
  MessagesLabel.QuickPutEntry_string("SD-013","V1MT_aperture is required for calculation");</v>
      </c>
      <c r="B73" s="23" t="str">
        <f t="shared" si="13"/>
        <v xml:space="preserve">\subsection{SD-013}
\begin{itemize}
  \item Interface Message:\\[1em]\textbf{V1MT\_aperture is required for calculation}
  \item Development Assertion: NO
  \item Implementation Assertion: NO
  \item Runtime Assertion: YES
\end{itemize}
</v>
      </c>
      <c r="C73" s="18" t="s">
        <v>91</v>
      </c>
      <c r="D73" s="18" t="s">
        <v>3</v>
      </c>
      <c r="E73" s="18" t="s">
        <v>3</v>
      </c>
      <c r="F73" s="18" t="s">
        <v>2</v>
      </c>
      <c r="G73" s="24">
        <v>0</v>
      </c>
      <c r="H73" s="25" t="s">
        <v>92</v>
      </c>
      <c r="I73" s="18"/>
      <c r="J73" s="25"/>
    </row>
    <row r="74" spans="1:10" s="26" customFormat="1" ht="15" customHeight="1" x14ac:dyDescent="0.25">
      <c r="A74" s="23" t="str">
        <f t="shared" si="12"/>
        <v xml:space="preserve">  MessagesDevelopmentAssert.QuickPutEntry_bool("SD-004", false);
  MessagesImplementationAssert.QuickPutEntry_bool("SD-004", false);
  MessagesRuntimeAssert.QuickPutEntry_bool("SD-004", true);
  MessagesDisabling.QuickPutEntry_int("SD-004", 0);
  MessagesCount.QuickPutEntry_int("SD-004", 0);
  MessagesLabel.QuickPutEntry_string("SD-004","V1_D001_excitatory_factor is required for calculation");</v>
      </c>
      <c r="B74" s="23" t="str">
        <f t="shared" si="13"/>
        <v xml:space="preserve">\subsection{SD-004}
\begin{itemize}
  \item Interface Message:\\[1em]\textbf{V1\_D001\_excitatory\_factor is required for calculation}
  \item Development Assertion: NO
  \item Implementation Assertion: NO
  \item Runtime Assertion: YES
\end{itemize}
</v>
      </c>
      <c r="C74" s="18" t="s">
        <v>75</v>
      </c>
      <c r="D74" s="18" t="s">
        <v>3</v>
      </c>
      <c r="E74" s="18" t="s">
        <v>3</v>
      </c>
      <c r="F74" s="18" t="s">
        <v>2</v>
      </c>
      <c r="G74" s="24">
        <v>0</v>
      </c>
      <c r="H74" s="25" t="s">
        <v>76</v>
      </c>
      <c r="I74" s="18"/>
      <c r="J74" s="25"/>
    </row>
    <row r="75" spans="1:10" s="26" customFormat="1" ht="15" customHeight="1" x14ac:dyDescent="0.25">
      <c r="A75" s="23" t="str">
        <f t="shared" si="12"/>
        <v xml:space="preserve">  MessagesDevelopmentAssert.QuickPutEntry_bool("SD-005", false);
  MessagesImplementationAssert.QuickPutEntry_bool("SD-005", false);
  MessagesRuntimeAssert.QuickPutEntry_bool("SD-005", true);
  MessagesDisabling.QuickPutEntry_int("SD-005", 0);
  MessagesCount.QuickPutEntry_int("SD-005", 0);
  MessagesLabel.QuickPutEntry_string("SD-005","V1_D001_conductance_leak is required for calculation");</v>
      </c>
      <c r="B75" s="23" t="str">
        <f t="shared" si="13"/>
        <v xml:space="preserve">\subsection{SD-005}
\begin{itemize}
  \item Interface Message:\\[1em]\textbf{V1\_D001\_conductance\_leak is required for calculation}
  \item Development Assertion: NO
  \item Implementation Assertion: NO
  \item Runtime Assertion: YES
\end{itemize}
</v>
      </c>
      <c r="C75" s="18" t="s">
        <v>77</v>
      </c>
      <c r="D75" s="18" t="s">
        <v>3</v>
      </c>
      <c r="E75" s="18" t="s">
        <v>3</v>
      </c>
      <c r="F75" s="18" t="s">
        <v>2</v>
      </c>
      <c r="G75" s="24">
        <v>0</v>
      </c>
      <c r="H75" s="25" t="s">
        <v>78</v>
      </c>
      <c r="I75" s="18"/>
      <c r="J75" s="25"/>
    </row>
    <row r="76" spans="1:10" s="26" customFormat="1" ht="15" customHeight="1" x14ac:dyDescent="0.25">
      <c r="A76" s="23" t="str">
        <f t="shared" si="12"/>
        <v xml:space="preserve">  MessagesDevelopmentAssert.QuickPutEntry_bool("SD-006", false);
  MessagesImplementationAssert.QuickPutEntry_bool("SD-006", false);
  MessagesRuntimeAssert.QuickPutEntry_bool("SD-006", true);
  MessagesDisabling.QuickPutEntry_int("SD-006", 0);
  MessagesCount.QuickPutEntry_int("SD-006", 0);
  MessagesLabel.QuickPutEntry_string("SD-006","V1_D001_inhibition_factor is required for calculation");</v>
      </c>
      <c r="B76" s="23" t="str">
        <f t="shared" si="13"/>
        <v xml:space="preserve">\subsection{SD-006}
\begin{itemize}
  \item Interface Message:\\[1em]\textbf{V1\_D001\_inhibition\_factor is required for calculation}
  \item Development Assertion: NO
  \item Implementation Assertion: NO
  \item Runtime Assertion: YES
\end{itemize}
</v>
      </c>
      <c r="C76" s="18" t="s">
        <v>79</v>
      </c>
      <c r="D76" s="18" t="s">
        <v>3</v>
      </c>
      <c r="E76" s="18" t="s">
        <v>3</v>
      </c>
      <c r="F76" s="18" t="s">
        <v>2</v>
      </c>
      <c r="G76" s="24">
        <v>0</v>
      </c>
      <c r="H76" s="25" t="s">
        <v>80</v>
      </c>
      <c r="I76" s="18"/>
      <c r="J76" s="25"/>
    </row>
    <row r="77" spans="1:10" s="26" customFormat="1" ht="15" customHeight="1" x14ac:dyDescent="0.25">
      <c r="A77" s="23" t="str">
        <f t="shared" si="12"/>
        <v xml:space="preserve">  MessagesDevelopmentAssert.QuickPutEntry_bool("SD-019", false);
  MessagesImplementationAssert.QuickPutEntry_bool("SD-019", false);
  MessagesRuntimeAssert.QuickPutEntry_bool("SD-019", true);
  MessagesDisabling.QuickPutEntry_int("SD-019", 0);
  MessagesCount.QuickPutEntry_int("SD-019", 0);
  MessagesLabel.QuickPutEntry_string("SD-019","V1V1_base_weight_source not recognized");</v>
      </c>
      <c r="B77" s="23" t="str">
        <f t="shared" si="13"/>
        <v xml:space="preserve">\subsection{SD-019}
\begin{itemize}
  \item Interface Message:\\[1em]\textbf{V1V1\_base\_weight\_source not recognized}
  \item Development Assertion: NO
  \item Implementation Assertion: NO
  \item Runtime Assertion: YES
\end{itemize}
</v>
      </c>
      <c r="C77" s="18" t="s">
        <v>100</v>
      </c>
      <c r="D77" s="18" t="s">
        <v>3</v>
      </c>
      <c r="E77" s="18" t="s">
        <v>3</v>
      </c>
      <c r="F77" s="18" t="s">
        <v>2</v>
      </c>
      <c r="G77" s="24">
        <v>0</v>
      </c>
      <c r="H77" s="25" t="s">
        <v>101</v>
      </c>
      <c r="I77" s="18"/>
      <c r="J77" s="25"/>
    </row>
    <row r="78" spans="1:10" s="26" customFormat="1" ht="15" customHeight="1" x14ac:dyDescent="0.25">
      <c r="A78" s="23" t="str">
        <f t="shared" si="12"/>
        <v xml:space="preserve">  MessagesDevelopmentAssert.QuickPutEntry_bool("SD-002", false);
  MessagesImplementationAssert.QuickPutEntry_bool("SD-002", false);
  MessagesRuntimeAssert.QuickPutEntry_bool("SD-002", true);
  MessagesDisabling.QuickPutEntry_int("SD-002", 0);
  MessagesCount.QuickPutEntry_int("SD-002", 0);
  MessagesLabel.QuickPutEntry_string("SD-002","V1V1_weight_adaptation not recognized");</v>
      </c>
      <c r="B78" s="23" t="str">
        <f t="shared" si="13"/>
        <v xml:space="preserve">\subsection{SD-002}
\begin{itemize}
  \item Interface Message:\\[1em]\textbf{V1V1\_weight\_adaptation not recognized}
  \item Development Assertion: NO
  \item Implementation Assertion: NO
  \item Runtime Assertion: YES
\end{itemize}
</v>
      </c>
      <c r="C78" s="18" t="s">
        <v>71</v>
      </c>
      <c r="D78" s="18" t="s">
        <v>3</v>
      </c>
      <c r="E78" s="18" t="s">
        <v>3</v>
      </c>
      <c r="F78" s="18" t="s">
        <v>2</v>
      </c>
      <c r="G78" s="24">
        <v>0</v>
      </c>
      <c r="H78" s="25" t="s">
        <v>72</v>
      </c>
      <c r="I78" s="18"/>
      <c r="J78" s="25"/>
    </row>
    <row r="79" spans="1:10" s="26" customFormat="1" ht="15" customHeight="1" x14ac:dyDescent="0.25">
      <c r="A79" s="23" t="str">
        <f t="shared" si="12"/>
        <v xml:space="preserve">  MessagesDevelopmentAssert.QuickPutEntry_bool("SD-009", false);
  MessagesImplementationAssert.QuickPutEntry_bool("SD-009", false);
  MessagesRuntimeAssert.QuickPutEntry_bool("SD-009", true);
  MessagesDisabling.QuickPutEntry_int("SD-009", 0);
  MessagesCount.QuickPutEntry_int("SD-009", 0);
  MessagesLabel.QuickPutEntry_string("SD-009","V1_dac_method not recognized");</v>
      </c>
      <c r="B79" s="23" t="str">
        <f t="shared" si="13"/>
        <v xml:space="preserve">\subsection{SD-009}
\begin{itemize}
  \item Interface Message:\\[1em]\textbf{V1\_dac\_method not recognized}
  \item Development Assertion: NO
  \item Implementation Assertion: NO
  \item Runtime Assertion: YES
\end{itemize}
</v>
      </c>
      <c r="C79" s="18" t="s">
        <v>83</v>
      </c>
      <c r="D79" s="18" t="s">
        <v>3</v>
      </c>
      <c r="E79" s="18" t="s">
        <v>3</v>
      </c>
      <c r="F79" s="18" t="s">
        <v>2</v>
      </c>
      <c r="G79" s="24">
        <v>0</v>
      </c>
      <c r="H79" s="25" t="s">
        <v>84</v>
      </c>
      <c r="I79" s="18"/>
      <c r="J79" s="25"/>
    </row>
    <row r="80" spans="1:10" s="26" customFormat="1" ht="15" customHeight="1" x14ac:dyDescent="0.25">
      <c r="A80" s="23" t="str">
        <f t="shared" si="12"/>
        <v xml:space="preserve">  MessagesDevelopmentAssert.QuickPutEntry_bool("SD-034", false);
  MessagesImplementationAssert.QuickPutEntry_bool("SD-034", false);
  MessagesRuntimeAssert.QuickPutEntry_bool("SD-034", true);
  MessagesDisabling.QuickPutEntry_int("SD-034", 0);
  MessagesCount.QuickPutEntry_int("SD-034", 0);
  MessagesLabel.QuickPutEntry_string("SD-034","V1_act_method not recognized");</v>
      </c>
      <c r="B80" s="23" t="str">
        <f t="shared" si="13"/>
        <v xml:space="preserve">\subsection{SD-034}
\begin{itemize}
  \item Interface Message:\\[1em]\textbf{V1\_act\_method not recognized}
  \item Development Assertion: NO
  \item Implementation Assertion: NO
  \item Runtime Assertion: YES
\end{itemize}
</v>
      </c>
      <c r="C80" s="18" t="s">
        <v>120</v>
      </c>
      <c r="D80" s="18" t="s">
        <v>3</v>
      </c>
      <c r="E80" s="18" t="s">
        <v>3</v>
      </c>
      <c r="F80" s="18" t="s">
        <v>2</v>
      </c>
      <c r="G80" s="24">
        <v>0</v>
      </c>
      <c r="H80" s="25" t="s">
        <v>121</v>
      </c>
      <c r="I80" s="18"/>
      <c r="J80" s="25"/>
    </row>
    <row r="81" spans="1:10" s="26" customFormat="1" ht="15" customHeight="1" x14ac:dyDescent="0.25">
      <c r="A81" s="23" t="str">
        <f t="shared" si="12"/>
        <v xml:space="preserve">  MessagesDevelopmentAssert.QuickPutEntry_bool("SD-035", false);
  MessagesImplementationAssert.QuickPutEntry_bool("SD-035", false);
  MessagesRuntimeAssert.QuickPutEntry_bool("SD-035", true);
  MessagesDisabling.QuickPutEntry_int("SD-035", 0);
  MessagesCount.QuickPutEntry_int("SD-035", 0);
  MessagesLabel.QuickPutEntry_string("SD-035","V1_external_excitation_method not recognized");</v>
      </c>
      <c r="B81" s="23" t="str">
        <f t="shared" si="13"/>
        <v xml:space="preserve">\subsection{SD-035}
\begin{itemize}
  \item Interface Message:\\[1em]\textbf{V1\_external\_excitation\_method not recognized}
  \item Development Assertion: NO
  \item Implementation Assertion: NO
  \item Runtime Assertion: YES
\end{itemize}
</v>
      </c>
      <c r="C81" s="18" t="s">
        <v>122</v>
      </c>
      <c r="D81" s="18" t="s">
        <v>3</v>
      </c>
      <c r="E81" s="18" t="s">
        <v>3</v>
      </c>
      <c r="F81" s="18" t="s">
        <v>2</v>
      </c>
      <c r="G81" s="24">
        <v>0</v>
      </c>
      <c r="H81" s="25" t="s">
        <v>123</v>
      </c>
      <c r="I81" s="18"/>
      <c r="J81" s="25"/>
    </row>
    <row r="82" spans="1:10" s="26" customFormat="1" ht="15" customHeight="1" x14ac:dyDescent="0.25">
      <c r="A82" s="23" t="str">
        <f t="shared" si="12"/>
        <v xml:space="preserve">  MessagesDevelopmentAssert.QuickPutEntry_bool("SD-003", false);
  MessagesImplementationAssert.QuickPutEntry_bool("SD-003", false);
  MessagesRuntimeAssert.QuickPutEntry_bool("SD-003", true);
  MessagesDisabling.QuickPutEntry_int("SD-003", 0);
  MessagesCount.QuickPutEntry_int("SD-003", 0);
  MessagesLabel.QuickPutEntry_string("SD-003","MT_act_method not recognized");</v>
      </c>
      <c r="B82" s="23" t="str">
        <f t="shared" si="13"/>
        <v xml:space="preserve">\subsection{SD-003}
\begin{itemize}
  \item Interface Message:\\[1em]\textbf{MT\_act\_method not recognized}
  \item Development Assertion: NO
  \item Implementation Assertion: NO
  \item Runtime Assertion: YES
\end{itemize}
</v>
      </c>
      <c r="C82" s="18" t="s">
        <v>73</v>
      </c>
      <c r="D82" s="18" t="s">
        <v>3</v>
      </c>
      <c r="E82" s="18" t="s">
        <v>3</v>
      </c>
      <c r="F82" s="18" t="s">
        <v>2</v>
      </c>
      <c r="G82" s="24">
        <v>0</v>
      </c>
      <c r="H82" s="25" t="s">
        <v>74</v>
      </c>
      <c r="I82" s="18"/>
      <c r="J82" s="25"/>
    </row>
    <row r="83" spans="1:10" s="26" customFormat="1" ht="15" customHeight="1" x14ac:dyDescent="0.25">
      <c r="A83" s="23" t="str">
        <f t="shared" si="12"/>
        <v xml:space="preserve">  MessagesDevelopmentAssert.QuickPutEntry_bool("SD-007", false);
  MessagesImplementationAssert.QuickPutEntry_bool("SD-007", false);
  MessagesRuntimeAssert.QuickPutEntry_bool("SD-007", true);
  MessagesDisabling.QuickPutEntry_int("SD-007", 0);
  MessagesCount.QuickPutEntry_int("SD-007", 0);
  MessagesLabel.QuickPutEntry_string("SD-007","V1MT_connection_method not recognized");</v>
      </c>
      <c r="B83" s="23" t="str">
        <f t="shared" si="13"/>
        <v xml:space="preserve">\subsection{SD-007}
\begin{itemize}
  \item Interface Message:\\[1em]\textbf{V1MT\_connection\_method not recognized}
  \item Development Assertion: NO
  \item Implementation Assertion: NO
  \item Runtime Assertion: YES
\end{itemize}
</v>
      </c>
      <c r="C83" s="18" t="s">
        <v>81</v>
      </c>
      <c r="D83" s="18" t="s">
        <v>3</v>
      </c>
      <c r="E83" s="18" t="s">
        <v>3</v>
      </c>
      <c r="F83" s="18" t="s">
        <v>2</v>
      </c>
      <c r="G83" s="24">
        <v>0</v>
      </c>
      <c r="H83" s="25" t="s">
        <v>82</v>
      </c>
      <c r="I83" s="18"/>
      <c r="J83" s="25"/>
    </row>
    <row r="84" spans="1:10" s="26" customFormat="1" ht="15" customHeight="1" x14ac:dyDescent="0.25">
      <c r="A84" s="23" t="str">
        <f t="shared" si="12"/>
        <v xml:space="preserve">  MessagesDevelopmentAssert.QuickPutEntry_bool("SD-017", false);
  MessagesImplementationAssert.QuickPutEntry_bool("SD-017", false);
  MessagesRuntimeAssert.QuickPutEntry_bool("SD-017", true);
  MessagesDisabling.QuickPutEntry_int("SD-017", 0);
  MessagesCount.QuickPutEntry_int("SD-017", 0);
  MessagesLabel.QuickPutEntry_string("SD-017","MT_act_method not recognized");</v>
      </c>
      <c r="B84" s="23" t="str">
        <f t="shared" si="13"/>
        <v xml:space="preserve">\subsection{SD-017}
\begin{itemize}
  \item Interface Message:\\[1em]\textbf{MT\_act\_method not recognized}
  \item Development Assertion: NO
  \item Implementation Assertion: NO
  \item Runtime Assertion: YES
\end{itemize}
</v>
      </c>
      <c r="C84" s="18" t="s">
        <v>97</v>
      </c>
      <c r="D84" s="18" t="s">
        <v>3</v>
      </c>
      <c r="E84" s="18" t="s">
        <v>3</v>
      </c>
      <c r="F84" s="18" t="s">
        <v>2</v>
      </c>
      <c r="G84" s="24">
        <v>0</v>
      </c>
      <c r="H84" s="25" t="s">
        <v>74</v>
      </c>
      <c r="I84" s="18"/>
      <c r="J84" s="25"/>
    </row>
    <row r="85" spans="1:10" s="26" customFormat="1" ht="15" customHeight="1" x14ac:dyDescent="0.25">
      <c r="A85" s="23" t="str">
        <f t="shared" si="12"/>
        <v xml:space="preserve">  MessagesDevelopmentAssert.QuickPutEntry_bool("SD-018", false);
  MessagesImplementationAssert.QuickPutEntry_bool("SD-018", false);
  MessagesRuntimeAssert.QuickPutEntry_bool("SD-018", true);
  MessagesDisabling.QuickPutEntry_int("SD-018", 0);
  MessagesCount.QuickPutEntry_int("SD-018", 0);
  MessagesLabel.QuickPutEntry_string("SD-018","MT_dac_method not recognized");</v>
      </c>
      <c r="B85" s="23" t="str">
        <f t="shared" si="13"/>
        <v xml:space="preserve">\subsection{SD-018}
\begin{itemize}
  \item Interface Message:\\[1em]\textbf{MT\_dac\_method not recognized}
  \item Development Assertion: NO
  \item Implementation Assertion: NO
  \item Runtime Assertion: YES
\end{itemize}
</v>
      </c>
      <c r="C85" s="18" t="s">
        <v>98</v>
      </c>
      <c r="D85" s="18" t="s">
        <v>3</v>
      </c>
      <c r="E85" s="18" t="s">
        <v>3</v>
      </c>
      <c r="F85" s="18" t="s">
        <v>2</v>
      </c>
      <c r="G85" s="24">
        <v>0</v>
      </c>
      <c r="H85" s="25" t="s">
        <v>99</v>
      </c>
      <c r="I85" s="18"/>
      <c r="J85" s="25"/>
    </row>
    <row r="86" spans="1:10" s="26" customFormat="1" ht="15" customHeight="1" x14ac:dyDescent="0.25">
      <c r="A86" s="23" t="str">
        <f>IF(C86&lt;&gt;"",IF(C86="#","  // "&amp;H86,
"  MessagesDevelopmentAssert.QuickPutEntry_bool("""&amp;C86&amp;""", "&amp;IF(D86="F","false",IF(D86="T","true","ERROR"))&amp;");"&amp;CHAR(10)&amp;
"  MessagesImplementationAssert.QuickPutEntry_bool("""&amp;C86&amp;""", "&amp;IF(E86="F","false",IF(E86="T","true","ERROR"))&amp;");"&amp;CHAR(10)&amp;
"  MessagesRuntimeAssert.QuickPutEntry_bool("""&amp;C86&amp;""", "&amp;IF(F86="F","false",IF(F86="T","true","ERROR"))&amp;");"&amp;CHAR(10)&amp;
"  MessagesDisabling.QuickPutEntry_int("""&amp;C86&amp;""", "&amp;G86&amp;");"&amp; CHAR(10) &amp;
"  MessagesCount.QuickPutEntry_int("""&amp;C86&amp;""", 0);"&amp;CHAR(10)&amp;
"  MessagesLabel.QuickPutEntry_string("""&amp;C86&amp;""","""&amp;H86&amp;""");"&amp;
IF(J86&lt;&gt;"",CHAR(10) &amp; "  MessagesText.QuickPutEntry_string("""&amp;C86&amp;""", """&amp;SUBSTITUTE(J86,"""","\""")&amp;""");","")
),"")</f>
        <v xml:space="preserve">  MessagesDevelopmentAssert.QuickPutEntry_bool("RP-001", false);
  MessagesImplementationAssert.QuickPutEntry_bool("RP-001", false);
  MessagesRuntimeAssert.QuickPutEntry_bool("RP-001", true);
  MessagesDisabling.QuickPutEntry_int("RP-001", 0);
  MessagesCount.QuickPutEntry_int("RP-001", 0);
  MessagesLabel.QuickPutEntry_string("RP-001","Trying to open an already opened stream");</v>
      </c>
      <c r="B86" s="23" t="str">
        <f>IF(C86&lt;&gt;"",IF(C86="#","\section{"&amp;H86&amp;"}" &amp; CHAR(10),
"\subsection{" &amp; C86 &amp; "}" &amp; CHAR(10) &amp; "\begin{itemize}" &amp; CHAR(10) &amp;
"  \item Interface Message:\\[1em]\textbf{" &amp; SUBSTITUTE(H86,"_","\_") &amp; "}" &amp; CHAR(10) &amp;
"  \item Development Assertion: " &amp; IF(D86="F","NO",IF(D86="T","YES","ERROR")) &amp; CHAR(10) &amp;
"  \item Implementation Assertion: " &amp; IF(E86="F","NO",IF(E86="T","YES","ERROR")) &amp; CHAR(10) &amp;
"  \item Runtime Assertion: " &amp; IF(F86="F","NO",IF(F86="T","YES","ERROR")) &amp; CHAR(10) &amp;
IF(J86&lt;&gt;"","  \item Message Description:\\[1em]"&amp; SUBSTITUTE(J86,"_","\_")  &amp;CHAR(10),"") &amp;
"\end{itemize}"&amp;CHAR(10)),"")</f>
        <v xml:space="preserve">\subsection{RP-001}
\begin{itemize}
  \item Interface Message:\\[1em]\textbf{Trying to open an already opened stream}
  \item Development Assertion: NO
  \item Implementation Assertion: NO
  \item Runtime Assertion: YES
\end{itemize}
</v>
      </c>
      <c r="C86" s="18" t="s">
        <v>64</v>
      </c>
      <c r="D86" s="18" t="s">
        <v>3</v>
      </c>
      <c r="E86" s="18" t="s">
        <v>3</v>
      </c>
      <c r="F86" s="18" t="s">
        <v>2</v>
      </c>
      <c r="G86" s="24">
        <v>0</v>
      </c>
      <c r="H86" s="25" t="s">
        <v>65</v>
      </c>
      <c r="I86" s="24"/>
      <c r="J86" s="25"/>
    </row>
    <row r="87" spans="1:10" s="26" customFormat="1" ht="15" customHeight="1" x14ac:dyDescent="0.25">
      <c r="A87" s="23" t="str">
        <f>IF(C87&lt;&gt;"",IF(C87="#","  // "&amp;H87,
"  MessagesDevelopmentAssert.QuickPutEntry_bool("""&amp;C87&amp;""", "&amp;IF(D87="F","false",IF(D87="T","true","ERROR"))&amp;");"&amp;CHAR(10)&amp;
"  MessagesImplementationAssert.QuickPutEntry_bool("""&amp;C87&amp;""", "&amp;IF(E87="F","false",IF(E87="T","true","ERROR"))&amp;");"&amp;CHAR(10)&amp;
"  MessagesRuntimeAssert.QuickPutEntry_bool("""&amp;C87&amp;""", "&amp;IF(F87="F","false",IF(F87="T","true","ERROR"))&amp;");"&amp;CHAR(10)&amp;
"  MessagesDisabling.QuickPutEntry_int("""&amp;C87&amp;""", "&amp;G87&amp;");"&amp; CHAR(10) &amp;
"  MessagesCount.QuickPutEntry_int("""&amp;C87&amp;""", 0);"&amp;CHAR(10)&amp;
"  MessagesLabel.QuickPutEntry_string("""&amp;C87&amp;""","""&amp;H87&amp;""");"&amp;
IF(J87&lt;&gt;"",CHAR(10) &amp; "  MessagesText.QuickPutEntry_string("""&amp;C87&amp;""", """&amp;SUBSTITUTE(J87,"""","\""")&amp;""");","")
),"")</f>
        <v xml:space="preserve">  MessagesDevelopmentAssert.QuickPutEntry_bool("IN-003", false);
  MessagesImplementationAssert.QuickPutEntry_bool("IN-003", false);
  MessagesRuntimeAssert.QuickPutEntry_bool("IN-003", false);
  MessagesDisabling.QuickPutEntry_int("IN-003", 0);
  MessagesCount.QuickPutEntry_int("IN-003", 0);
  MessagesLabel.QuickPutEntry_string("IN-003","Redefining a previously stored setting");</v>
      </c>
      <c r="B87" s="23" t="str">
        <f>IF(C87&lt;&gt;"",IF(C87="#","\section{"&amp;H87&amp;"}" &amp; CHAR(10),
"\subsection{" &amp; C87 &amp; "}" &amp; CHAR(10) &amp; "\begin{itemize}" &amp; CHAR(10) &amp;
"  \item Interface Message:\\[1em]\textbf{" &amp; SUBSTITUTE(H87,"_","\_") &amp; "}" &amp; CHAR(10) &amp;
"  \item Development Assertion: " &amp; IF(D87="F","NO",IF(D87="T","YES","ERROR")) &amp; CHAR(10) &amp;
"  \item Implementation Assertion: " &amp; IF(E87="F","NO",IF(E87="T","YES","ERROR")) &amp; CHAR(10) &amp;
"  \item Runtime Assertion: " &amp; IF(F87="F","NO",IF(F87="T","YES","ERROR")) &amp; CHAR(10) &amp;
IF(J87&lt;&gt;"","  \item Message Description:\\[1em]"&amp; SUBSTITUTE(J87,"_","\_")  &amp;CHAR(10),"") &amp;
"\end{itemize}"&amp;CHAR(10)),"")</f>
        <v xml:space="preserve">\subsection{IN-003}
\begin{itemize}
  \item Interface Message:\\[1em]\textbf{Redefining a previously stored setting}
  \item Development Assertion: NO
  \item Implementation Assertion: NO
  \item Runtime Assertion: NO
\end{itemize}
</v>
      </c>
      <c r="C87" s="18" t="s">
        <v>7</v>
      </c>
      <c r="D87" s="18" t="s">
        <v>3</v>
      </c>
      <c r="E87" s="18" t="s">
        <v>3</v>
      </c>
      <c r="F87" s="18" t="s">
        <v>3</v>
      </c>
      <c r="G87" s="24">
        <v>0</v>
      </c>
      <c r="H87" s="25" t="s">
        <v>8</v>
      </c>
      <c r="I87" s="18"/>
      <c r="J87" s="25"/>
    </row>
    <row r="88" spans="1:10" ht="15" customHeight="1" x14ac:dyDescent="0.25">
      <c r="A88" s="17" t="str">
        <f t="shared" si="12"/>
        <v/>
      </c>
      <c r="B88" s="17" t="str">
        <f t="shared" si="13"/>
        <v/>
      </c>
    </row>
    <row r="89" spans="1:10" ht="15" customHeight="1" x14ac:dyDescent="0.25">
      <c r="A89" s="17" t="str">
        <f t="shared" si="12"/>
        <v/>
      </c>
      <c r="B89" s="17" t="str">
        <f t="shared" si="13"/>
        <v/>
      </c>
    </row>
    <row r="90" spans="1:10" ht="15" customHeight="1" x14ac:dyDescent="0.25">
      <c r="A90" s="17" t="str">
        <f t="shared" si="12"/>
        <v/>
      </c>
      <c r="B90" s="17" t="str">
        <f t="shared" si="13"/>
        <v/>
      </c>
    </row>
    <row r="91" spans="1:10" ht="15" customHeight="1" x14ac:dyDescent="0.25">
      <c r="A91" s="17" t="str">
        <f t="shared" si="12"/>
        <v/>
      </c>
      <c r="B91" s="17" t="str">
        <f t="shared" si="13"/>
        <v/>
      </c>
    </row>
    <row r="92" spans="1:10" ht="15" customHeight="1" x14ac:dyDescent="0.25">
      <c r="A92" s="17" t="str">
        <f t="shared" si="12"/>
        <v/>
      </c>
      <c r="B92" s="17" t="str">
        <f t="shared" si="13"/>
        <v/>
      </c>
    </row>
    <row r="93" spans="1:10" ht="15" customHeight="1" x14ac:dyDescent="0.25">
      <c r="A93" s="17" t="str">
        <f t="shared" si="12"/>
        <v/>
      </c>
      <c r="B93" s="17" t="str">
        <f t="shared" si="13"/>
        <v/>
      </c>
    </row>
    <row r="94" spans="1:10" ht="15" customHeight="1" x14ac:dyDescent="0.25">
      <c r="A94" s="17" t="str">
        <f t="shared" si="12"/>
        <v/>
      </c>
      <c r="B94" s="17" t="str">
        <f t="shared" si="13"/>
        <v/>
      </c>
    </row>
    <row r="95" spans="1:10" ht="15" customHeight="1" x14ac:dyDescent="0.25">
      <c r="A95" s="17" t="str">
        <f t="shared" si="12"/>
        <v/>
      </c>
      <c r="B95" s="17" t="str">
        <f t="shared" si="13"/>
        <v/>
      </c>
    </row>
    <row r="96" spans="1:10" ht="15" customHeight="1" x14ac:dyDescent="0.25">
      <c r="A96" s="17" t="str">
        <f t="shared" si="12"/>
        <v/>
      </c>
      <c r="B96" s="17" t="str">
        <f t="shared" si="13"/>
        <v/>
      </c>
    </row>
    <row r="97" spans="1:2" ht="15" customHeight="1" x14ac:dyDescent="0.25">
      <c r="A97" s="17" t="str">
        <f t="shared" si="12"/>
        <v/>
      </c>
      <c r="B97" s="17" t="str">
        <f t="shared" si="13"/>
        <v/>
      </c>
    </row>
    <row r="98" spans="1:2" ht="15" customHeight="1" x14ac:dyDescent="0.25">
      <c r="A98" s="17" t="str">
        <f t="shared" si="12"/>
        <v/>
      </c>
      <c r="B98" s="17" t="str">
        <f t="shared" si="13"/>
        <v/>
      </c>
    </row>
    <row r="99" spans="1:2" ht="15" customHeight="1" x14ac:dyDescent="0.25">
      <c r="A99" s="17" t="str">
        <f t="shared" si="12"/>
        <v/>
      </c>
      <c r="B99" s="17" t="str">
        <f t="shared" si="13"/>
        <v/>
      </c>
    </row>
    <row r="100" spans="1:2" ht="15" customHeight="1" x14ac:dyDescent="0.25">
      <c r="A100" s="17" t="str">
        <f t="shared" si="12"/>
        <v/>
      </c>
      <c r="B100" s="17" t="str">
        <f t="shared" si="13"/>
        <v/>
      </c>
    </row>
    <row r="101" spans="1:2" ht="15" customHeight="1" x14ac:dyDescent="0.25">
      <c r="A101" s="17" t="str">
        <f t="shared" si="12"/>
        <v/>
      </c>
      <c r="B101" s="17" t="str">
        <f t="shared" si="13"/>
        <v/>
      </c>
    </row>
    <row r="102" spans="1:2" ht="15" customHeight="1" x14ac:dyDescent="0.25">
      <c r="A102" s="17" t="str">
        <f t="shared" si="12"/>
        <v/>
      </c>
      <c r="B102" s="17" t="str">
        <f t="shared" si="13"/>
        <v/>
      </c>
    </row>
    <row r="103" spans="1:2" ht="15" customHeight="1" x14ac:dyDescent="0.25">
      <c r="A103" s="17" t="str">
        <f t="shared" si="12"/>
        <v/>
      </c>
      <c r="B103" s="17" t="str">
        <f t="shared" si="13"/>
        <v/>
      </c>
    </row>
    <row r="104" spans="1:2" ht="15" customHeight="1" x14ac:dyDescent="0.25">
      <c r="A104" s="17" t="str">
        <f t="shared" si="12"/>
        <v/>
      </c>
      <c r="B104" s="17" t="str">
        <f t="shared" si="13"/>
        <v/>
      </c>
    </row>
    <row r="105" spans="1:2" ht="15" customHeight="1" x14ac:dyDescent="0.25">
      <c r="A105" s="17" t="str">
        <f t="shared" si="12"/>
        <v/>
      </c>
      <c r="B105" s="17" t="str">
        <f t="shared" si="13"/>
        <v/>
      </c>
    </row>
    <row r="106" spans="1:2" ht="15" customHeight="1" x14ac:dyDescent="0.25">
      <c r="A106" s="17" t="str">
        <f t="shared" si="12"/>
        <v/>
      </c>
      <c r="B106" s="17" t="str">
        <f t="shared" si="13"/>
        <v/>
      </c>
    </row>
    <row r="107" spans="1:2" ht="15" customHeight="1" x14ac:dyDescent="0.25">
      <c r="A107" s="17" t="str">
        <f t="shared" si="12"/>
        <v/>
      </c>
      <c r="B107" s="17" t="str">
        <f t="shared" si="13"/>
        <v/>
      </c>
    </row>
    <row r="108" spans="1:2" ht="15" customHeight="1" x14ac:dyDescent="0.25">
      <c r="A108" s="17" t="str">
        <f t="shared" si="12"/>
        <v/>
      </c>
      <c r="B108" s="17" t="str">
        <f t="shared" si="13"/>
        <v/>
      </c>
    </row>
    <row r="109" spans="1:2" ht="15" customHeight="1" x14ac:dyDescent="0.25">
      <c r="A109" s="17" t="str">
        <f t="shared" si="12"/>
        <v/>
      </c>
      <c r="B109" s="17" t="str">
        <f t="shared" si="13"/>
        <v/>
      </c>
    </row>
    <row r="110" spans="1:2" ht="15" customHeight="1" x14ac:dyDescent="0.25">
      <c r="A110" s="17" t="str">
        <f t="shared" si="12"/>
        <v/>
      </c>
      <c r="B110" s="17" t="str">
        <f t="shared" si="13"/>
        <v/>
      </c>
    </row>
    <row r="111" spans="1:2" ht="15" customHeight="1" x14ac:dyDescent="0.25">
      <c r="A111" s="17" t="str">
        <f t="shared" si="12"/>
        <v/>
      </c>
      <c r="B111" s="17" t="str">
        <f t="shared" si="13"/>
        <v/>
      </c>
    </row>
    <row r="112" spans="1:2" ht="15" customHeight="1" x14ac:dyDescent="0.25">
      <c r="A112" s="17" t="str">
        <f t="shared" si="12"/>
        <v/>
      </c>
      <c r="B112" s="17" t="str">
        <f t="shared" si="13"/>
        <v/>
      </c>
    </row>
    <row r="113" spans="1:2" ht="15" customHeight="1" x14ac:dyDescent="0.25">
      <c r="A113" s="17" t="str">
        <f t="shared" si="12"/>
        <v/>
      </c>
      <c r="B113" s="17" t="str">
        <f t="shared" si="13"/>
        <v/>
      </c>
    </row>
    <row r="114" spans="1:2" ht="15" customHeight="1" x14ac:dyDescent="0.25">
      <c r="A114" s="17" t="str">
        <f t="shared" si="12"/>
        <v/>
      </c>
      <c r="B114" s="17" t="str">
        <f t="shared" si="13"/>
        <v/>
      </c>
    </row>
    <row r="115" spans="1:2" ht="15" customHeight="1" x14ac:dyDescent="0.25">
      <c r="A115" s="17" t="str">
        <f t="shared" si="12"/>
        <v/>
      </c>
      <c r="B115" s="17" t="str">
        <f t="shared" si="13"/>
        <v/>
      </c>
    </row>
    <row r="116" spans="1:2" ht="15" customHeight="1" x14ac:dyDescent="0.25">
      <c r="A116" s="17" t="str">
        <f t="shared" si="12"/>
        <v/>
      </c>
      <c r="B116" s="17" t="str">
        <f t="shared" si="13"/>
        <v/>
      </c>
    </row>
    <row r="117" spans="1:2" ht="15" customHeight="1" x14ac:dyDescent="0.25">
      <c r="A117" s="17" t="str">
        <f t="shared" si="12"/>
        <v/>
      </c>
      <c r="B117" s="17" t="str">
        <f t="shared" si="13"/>
        <v/>
      </c>
    </row>
    <row r="118" spans="1:2" ht="15" customHeight="1" x14ac:dyDescent="0.25">
      <c r="A118" s="17" t="str">
        <f t="shared" si="12"/>
        <v/>
      </c>
      <c r="B118" s="17" t="str">
        <f t="shared" si="13"/>
        <v/>
      </c>
    </row>
    <row r="119" spans="1:2" ht="15" customHeight="1" x14ac:dyDescent="0.25">
      <c r="A119" s="17" t="str">
        <f t="shared" si="12"/>
        <v/>
      </c>
      <c r="B119" s="17" t="str">
        <f t="shared" si="13"/>
        <v/>
      </c>
    </row>
    <row r="120" spans="1:2" ht="15" customHeight="1" x14ac:dyDescent="0.25">
      <c r="A120" s="17" t="str">
        <f t="shared" si="12"/>
        <v/>
      </c>
      <c r="B120" s="17" t="str">
        <f t="shared" si="13"/>
        <v/>
      </c>
    </row>
    <row r="121" spans="1:2" ht="15" customHeight="1" x14ac:dyDescent="0.25">
      <c r="A121" s="17" t="str">
        <f t="shared" si="12"/>
        <v/>
      </c>
      <c r="B121" s="17" t="str">
        <f t="shared" si="13"/>
        <v/>
      </c>
    </row>
    <row r="122" spans="1:2" ht="15" customHeight="1" x14ac:dyDescent="0.25">
      <c r="A122" s="17" t="str">
        <f t="shared" si="12"/>
        <v/>
      </c>
      <c r="B122" s="17" t="str">
        <f t="shared" si="13"/>
        <v/>
      </c>
    </row>
    <row r="123" spans="1:2" ht="15" customHeight="1" x14ac:dyDescent="0.25">
      <c r="A123" s="17" t="str">
        <f t="shared" si="12"/>
        <v/>
      </c>
      <c r="B123" s="17" t="str">
        <f t="shared" si="13"/>
        <v/>
      </c>
    </row>
    <row r="124" spans="1:2" ht="15" customHeight="1" x14ac:dyDescent="0.25">
      <c r="A124" s="17" t="str">
        <f t="shared" si="12"/>
        <v/>
      </c>
      <c r="B124" s="17" t="str">
        <f t="shared" si="13"/>
        <v/>
      </c>
    </row>
    <row r="125" spans="1:2" ht="15" customHeight="1" x14ac:dyDescent="0.25">
      <c r="A125" s="17" t="str">
        <f t="shared" si="12"/>
        <v/>
      </c>
      <c r="B125" s="17" t="str">
        <f t="shared" si="13"/>
        <v/>
      </c>
    </row>
    <row r="126" spans="1:2" ht="15" customHeight="1" x14ac:dyDescent="0.25">
      <c r="A126" s="17" t="str">
        <f t="shared" si="12"/>
        <v/>
      </c>
      <c r="B126" s="17" t="str">
        <f t="shared" si="13"/>
        <v/>
      </c>
    </row>
    <row r="127" spans="1:2" ht="15" customHeight="1" x14ac:dyDescent="0.25">
      <c r="A127" s="17" t="str">
        <f t="shared" si="12"/>
        <v/>
      </c>
      <c r="B127" s="17" t="str">
        <f t="shared" si="13"/>
        <v/>
      </c>
    </row>
    <row r="128" spans="1:2" ht="15" customHeight="1" x14ac:dyDescent="0.25">
      <c r="A128" s="17" t="str">
        <f t="shared" si="12"/>
        <v/>
      </c>
      <c r="B128" s="17" t="str">
        <f t="shared" si="13"/>
        <v/>
      </c>
    </row>
    <row r="129" spans="1:2" ht="15" customHeight="1" x14ac:dyDescent="0.25">
      <c r="A129" s="17" t="str">
        <f t="shared" si="12"/>
        <v/>
      </c>
      <c r="B129" s="17" t="str">
        <f t="shared" si="13"/>
        <v/>
      </c>
    </row>
    <row r="130" spans="1:2" ht="15" customHeight="1" x14ac:dyDescent="0.25">
      <c r="A130" s="17" t="str">
        <f t="shared" si="12"/>
        <v/>
      </c>
      <c r="B130" s="17" t="str">
        <f t="shared" si="13"/>
        <v/>
      </c>
    </row>
    <row r="131" spans="1:2" ht="15" customHeight="1" x14ac:dyDescent="0.25">
      <c r="A131" s="17" t="str">
        <f t="shared" si="12"/>
        <v/>
      </c>
      <c r="B131" s="17" t="str">
        <f t="shared" si="13"/>
        <v/>
      </c>
    </row>
    <row r="132" spans="1:2" ht="15" customHeight="1" x14ac:dyDescent="0.25">
      <c r="A132" s="17" t="str">
        <f t="shared" si="12"/>
        <v/>
      </c>
      <c r="B132" s="17" t="str">
        <f t="shared" si="13"/>
        <v/>
      </c>
    </row>
    <row r="133" spans="1:2" ht="15" customHeight="1" x14ac:dyDescent="0.25">
      <c r="A133" s="17" t="str">
        <f t="shared" si="12"/>
        <v/>
      </c>
      <c r="B133" s="17" t="str">
        <f t="shared" si="13"/>
        <v/>
      </c>
    </row>
    <row r="134" spans="1:2" ht="15" customHeight="1" x14ac:dyDescent="0.25">
      <c r="A134" s="17" t="str">
        <f t="shared" si="12"/>
        <v/>
      </c>
      <c r="B134" s="17" t="str">
        <f t="shared" si="13"/>
        <v/>
      </c>
    </row>
    <row r="135" spans="1:2" ht="15" customHeight="1" x14ac:dyDescent="0.25">
      <c r="A135" s="17" t="str">
        <f t="shared" si="12"/>
        <v/>
      </c>
      <c r="B135" s="17" t="str">
        <f t="shared" si="13"/>
        <v/>
      </c>
    </row>
    <row r="136" spans="1:2" ht="15" customHeight="1" x14ac:dyDescent="0.25">
      <c r="A136" s="17" t="str">
        <f t="shared" si="12"/>
        <v/>
      </c>
      <c r="B136" s="17" t="str">
        <f t="shared" si="13"/>
        <v/>
      </c>
    </row>
    <row r="137" spans="1:2" ht="15" customHeight="1" x14ac:dyDescent="0.25">
      <c r="A137" s="17" t="str">
        <f t="shared" ref="A137:A200" si="14">IF(C137&lt;&gt;"",IF(C137="#","  // "&amp;H137,
"  MessagesDevelopmentAssert.QuickPutEntry_bool("""&amp;C137&amp;""", "&amp;IF(D137="F","false",IF(D137="T","true","ERROR"))&amp;");"&amp;CHAR(10)&amp;
"  MessagesImplementationAssert.QuickPutEntry_bool("""&amp;C137&amp;""", "&amp;IF(E137="F","false",IF(E137="T","true","ERROR"))&amp;");"&amp;CHAR(10)&amp;
"  MessagesRuntimeAssert.QuickPutEntry_bool("""&amp;C137&amp;""", "&amp;IF(F137="F","false",IF(F137="T","true","ERROR"))&amp;");"&amp;CHAR(10)&amp;
"  MessagesDisabling.QuickPutEntry_int("""&amp;C137&amp;""", "&amp;G137&amp;");"&amp; CHAR(10) &amp;
"  MessagesCount.QuickPutEntry_int("""&amp;C137&amp;""", 0);"&amp;CHAR(10)&amp;
"  MessagesLabel.QuickPutEntry_string("""&amp;C137&amp;""","""&amp;H137&amp;""");"&amp;
IF(J137&lt;&gt;"",CHAR(10) &amp; "  MessagesText.QuickPutEntry_string("""&amp;C137&amp;""", """&amp;SUBSTITUTE(J137,"""","\""")&amp;""");","")
),"")</f>
        <v/>
      </c>
      <c r="B137" s="17" t="str">
        <f t="shared" ref="B137:B200" si="15">IF(C137&lt;&gt;"",IF(C137="#","\section{"&amp;H137&amp;"}" &amp; CHAR(10),
"\subsection{" &amp; C137 &amp; "}" &amp; CHAR(10) &amp; "\begin{itemize}" &amp; CHAR(10) &amp;
"  \item Interface Message:\\[1em]\textbf{" &amp; SUBSTITUTE(H137,"_","\_") &amp; "}" &amp; CHAR(10) &amp;
"  \item Development Assertion: " &amp; IF(D137="F","NO",IF(D137="T","YES","ERROR")) &amp; CHAR(10) &amp;
"  \item Implementation Assertion: " &amp; IF(E137="F","NO",IF(E137="T","YES","ERROR")) &amp; CHAR(10) &amp;
"  \item Runtime Assertion: " &amp; IF(F137="F","NO",IF(F137="T","YES","ERROR")) &amp; CHAR(10) &amp;
IF(J137&lt;&gt;"","  \item Message Description:\\[1em]"&amp; SUBSTITUTE(J137,"_","\_")  &amp;CHAR(10),"") &amp;
"\end{itemize}"&amp;CHAR(10)),"")</f>
        <v/>
      </c>
    </row>
    <row r="138" spans="1:2" ht="15" customHeight="1" x14ac:dyDescent="0.25">
      <c r="A138" s="17" t="str">
        <f t="shared" si="14"/>
        <v/>
      </c>
      <c r="B138" s="17" t="str">
        <f t="shared" si="15"/>
        <v/>
      </c>
    </row>
    <row r="139" spans="1:2" ht="15" customHeight="1" x14ac:dyDescent="0.25">
      <c r="A139" s="17" t="str">
        <f t="shared" si="14"/>
        <v/>
      </c>
      <c r="B139" s="17" t="str">
        <f t="shared" si="15"/>
        <v/>
      </c>
    </row>
    <row r="140" spans="1:2" ht="15" customHeight="1" x14ac:dyDescent="0.25">
      <c r="A140" s="17" t="str">
        <f t="shared" si="14"/>
        <v/>
      </c>
      <c r="B140" s="17" t="str">
        <f t="shared" si="15"/>
        <v/>
      </c>
    </row>
    <row r="141" spans="1:2" ht="15" customHeight="1" x14ac:dyDescent="0.25">
      <c r="A141" s="17" t="str">
        <f t="shared" si="14"/>
        <v/>
      </c>
      <c r="B141" s="17" t="str">
        <f t="shared" si="15"/>
        <v/>
      </c>
    </row>
    <row r="142" spans="1:2" ht="15" customHeight="1" x14ac:dyDescent="0.25">
      <c r="A142" s="17" t="str">
        <f t="shared" si="14"/>
        <v/>
      </c>
      <c r="B142" s="17" t="str">
        <f t="shared" si="15"/>
        <v/>
      </c>
    </row>
    <row r="143" spans="1:2" ht="15" customHeight="1" x14ac:dyDescent="0.25">
      <c r="A143" s="17" t="str">
        <f t="shared" si="14"/>
        <v/>
      </c>
      <c r="B143" s="17" t="str">
        <f t="shared" si="15"/>
        <v/>
      </c>
    </row>
    <row r="144" spans="1:2" ht="15" customHeight="1" x14ac:dyDescent="0.25">
      <c r="A144" s="17" t="str">
        <f t="shared" si="14"/>
        <v/>
      </c>
      <c r="B144" s="17" t="str">
        <f t="shared" si="15"/>
        <v/>
      </c>
    </row>
    <row r="145" spans="1:2" ht="15" customHeight="1" x14ac:dyDescent="0.25">
      <c r="A145" s="17" t="str">
        <f t="shared" si="14"/>
        <v/>
      </c>
      <c r="B145" s="17" t="str">
        <f t="shared" si="15"/>
        <v/>
      </c>
    </row>
    <row r="146" spans="1:2" ht="15" customHeight="1" x14ac:dyDescent="0.25">
      <c r="A146" s="17" t="str">
        <f t="shared" si="14"/>
        <v/>
      </c>
      <c r="B146" s="17" t="str">
        <f t="shared" si="15"/>
        <v/>
      </c>
    </row>
    <row r="147" spans="1:2" ht="15" customHeight="1" x14ac:dyDescent="0.25">
      <c r="A147" s="17" t="str">
        <f t="shared" si="14"/>
        <v/>
      </c>
      <c r="B147" s="17" t="str">
        <f t="shared" si="15"/>
        <v/>
      </c>
    </row>
    <row r="148" spans="1:2" ht="15" customHeight="1" x14ac:dyDescent="0.25">
      <c r="A148" s="17" t="str">
        <f t="shared" si="14"/>
        <v/>
      </c>
      <c r="B148" s="17" t="str">
        <f t="shared" si="15"/>
        <v/>
      </c>
    </row>
    <row r="149" spans="1:2" ht="15" customHeight="1" x14ac:dyDescent="0.25">
      <c r="A149" s="17" t="str">
        <f t="shared" si="14"/>
        <v/>
      </c>
      <c r="B149" s="17" t="str">
        <f t="shared" si="15"/>
        <v/>
      </c>
    </row>
    <row r="150" spans="1:2" ht="15" customHeight="1" x14ac:dyDescent="0.25">
      <c r="A150" s="17" t="str">
        <f t="shared" si="14"/>
        <v/>
      </c>
      <c r="B150" s="17" t="str">
        <f t="shared" si="15"/>
        <v/>
      </c>
    </row>
    <row r="151" spans="1:2" ht="15" customHeight="1" x14ac:dyDescent="0.25">
      <c r="A151" s="17" t="str">
        <f t="shared" si="14"/>
        <v/>
      </c>
      <c r="B151" s="17" t="str">
        <f t="shared" si="15"/>
        <v/>
      </c>
    </row>
    <row r="152" spans="1:2" ht="15" customHeight="1" x14ac:dyDescent="0.25">
      <c r="A152" s="17" t="str">
        <f t="shared" si="14"/>
        <v/>
      </c>
      <c r="B152" s="17" t="str">
        <f t="shared" si="15"/>
        <v/>
      </c>
    </row>
    <row r="153" spans="1:2" ht="15" customHeight="1" x14ac:dyDescent="0.25">
      <c r="A153" s="17" t="str">
        <f t="shared" si="14"/>
        <v/>
      </c>
      <c r="B153" s="17" t="str">
        <f t="shared" si="15"/>
        <v/>
      </c>
    </row>
    <row r="154" spans="1:2" ht="15" customHeight="1" x14ac:dyDescent="0.25">
      <c r="A154" s="17" t="str">
        <f t="shared" si="14"/>
        <v/>
      </c>
      <c r="B154" s="17" t="str">
        <f t="shared" si="15"/>
        <v/>
      </c>
    </row>
    <row r="155" spans="1:2" ht="15" customHeight="1" x14ac:dyDescent="0.25">
      <c r="A155" s="17" t="str">
        <f t="shared" si="14"/>
        <v/>
      </c>
      <c r="B155" s="17" t="str">
        <f t="shared" si="15"/>
        <v/>
      </c>
    </row>
    <row r="156" spans="1:2" ht="15" customHeight="1" x14ac:dyDescent="0.25">
      <c r="A156" s="17" t="str">
        <f t="shared" si="14"/>
        <v/>
      </c>
      <c r="B156" s="17" t="str">
        <f t="shared" si="15"/>
        <v/>
      </c>
    </row>
    <row r="157" spans="1:2" ht="15" customHeight="1" x14ac:dyDescent="0.25">
      <c r="A157" s="17" t="str">
        <f t="shared" si="14"/>
        <v/>
      </c>
      <c r="B157" s="17" t="str">
        <f t="shared" si="15"/>
        <v/>
      </c>
    </row>
    <row r="158" spans="1:2" ht="15" customHeight="1" x14ac:dyDescent="0.25">
      <c r="A158" s="17" t="str">
        <f t="shared" si="14"/>
        <v/>
      </c>
      <c r="B158" s="17" t="str">
        <f t="shared" si="15"/>
        <v/>
      </c>
    </row>
    <row r="159" spans="1:2" ht="15" customHeight="1" x14ac:dyDescent="0.25">
      <c r="A159" s="17" t="str">
        <f t="shared" si="14"/>
        <v/>
      </c>
      <c r="B159" s="17" t="str">
        <f t="shared" si="15"/>
        <v/>
      </c>
    </row>
    <row r="160" spans="1:2" ht="15" customHeight="1" x14ac:dyDescent="0.25">
      <c r="A160" s="17" t="str">
        <f t="shared" si="14"/>
        <v/>
      </c>
      <c r="B160" s="17" t="str">
        <f t="shared" si="15"/>
        <v/>
      </c>
    </row>
    <row r="161" spans="1:2" ht="15" customHeight="1" x14ac:dyDescent="0.25">
      <c r="A161" s="17" t="str">
        <f t="shared" si="14"/>
        <v/>
      </c>
      <c r="B161" s="17" t="str">
        <f t="shared" si="15"/>
        <v/>
      </c>
    </row>
    <row r="162" spans="1:2" ht="15" customHeight="1" x14ac:dyDescent="0.25">
      <c r="A162" s="17" t="str">
        <f t="shared" si="14"/>
        <v/>
      </c>
      <c r="B162" s="17" t="str">
        <f t="shared" si="15"/>
        <v/>
      </c>
    </row>
    <row r="163" spans="1:2" ht="15" customHeight="1" x14ac:dyDescent="0.25">
      <c r="A163" s="17" t="str">
        <f t="shared" si="14"/>
        <v/>
      </c>
      <c r="B163" s="17" t="str">
        <f t="shared" si="15"/>
        <v/>
      </c>
    </row>
    <row r="164" spans="1:2" ht="15" customHeight="1" x14ac:dyDescent="0.25">
      <c r="A164" s="17" t="str">
        <f t="shared" si="14"/>
        <v/>
      </c>
      <c r="B164" s="17" t="str">
        <f t="shared" si="15"/>
        <v/>
      </c>
    </row>
    <row r="165" spans="1:2" ht="15" customHeight="1" x14ac:dyDescent="0.25">
      <c r="A165" s="17" t="str">
        <f t="shared" si="14"/>
        <v/>
      </c>
      <c r="B165" s="17" t="str">
        <f t="shared" si="15"/>
        <v/>
      </c>
    </row>
    <row r="166" spans="1:2" ht="15" customHeight="1" x14ac:dyDescent="0.25">
      <c r="A166" s="17" t="str">
        <f t="shared" si="14"/>
        <v/>
      </c>
      <c r="B166" s="17" t="str">
        <f t="shared" si="15"/>
        <v/>
      </c>
    </row>
    <row r="167" spans="1:2" ht="15" customHeight="1" x14ac:dyDescent="0.25">
      <c r="A167" s="17" t="str">
        <f t="shared" si="14"/>
        <v/>
      </c>
      <c r="B167" s="17" t="str">
        <f t="shared" si="15"/>
        <v/>
      </c>
    </row>
    <row r="168" spans="1:2" ht="15" customHeight="1" x14ac:dyDescent="0.25">
      <c r="A168" s="17" t="str">
        <f t="shared" si="14"/>
        <v/>
      </c>
      <c r="B168" s="17" t="str">
        <f t="shared" si="15"/>
        <v/>
      </c>
    </row>
    <row r="169" spans="1:2" ht="15" customHeight="1" x14ac:dyDescent="0.25">
      <c r="A169" s="17" t="str">
        <f t="shared" si="14"/>
        <v/>
      </c>
      <c r="B169" s="17" t="str">
        <f t="shared" si="15"/>
        <v/>
      </c>
    </row>
    <row r="170" spans="1:2" ht="15" customHeight="1" x14ac:dyDescent="0.25">
      <c r="A170" s="17" t="str">
        <f t="shared" si="14"/>
        <v/>
      </c>
      <c r="B170" s="17" t="str">
        <f t="shared" si="15"/>
        <v/>
      </c>
    </row>
    <row r="171" spans="1:2" ht="15" customHeight="1" x14ac:dyDescent="0.25">
      <c r="A171" s="17" t="str">
        <f t="shared" si="14"/>
        <v/>
      </c>
      <c r="B171" s="17" t="str">
        <f t="shared" si="15"/>
        <v/>
      </c>
    </row>
    <row r="172" spans="1:2" ht="15" customHeight="1" x14ac:dyDescent="0.25">
      <c r="A172" s="17" t="str">
        <f t="shared" si="14"/>
        <v/>
      </c>
      <c r="B172" s="17" t="str">
        <f t="shared" si="15"/>
        <v/>
      </c>
    </row>
    <row r="173" spans="1:2" ht="15" customHeight="1" x14ac:dyDescent="0.25">
      <c r="A173" s="17" t="str">
        <f t="shared" si="14"/>
        <v/>
      </c>
      <c r="B173" s="17" t="str">
        <f t="shared" si="15"/>
        <v/>
      </c>
    </row>
    <row r="174" spans="1:2" ht="15" customHeight="1" x14ac:dyDescent="0.25">
      <c r="A174" s="17" t="str">
        <f t="shared" si="14"/>
        <v/>
      </c>
      <c r="B174" s="17" t="str">
        <f t="shared" si="15"/>
        <v/>
      </c>
    </row>
    <row r="175" spans="1:2" ht="15" customHeight="1" x14ac:dyDescent="0.25">
      <c r="A175" s="17" t="str">
        <f t="shared" si="14"/>
        <v/>
      </c>
      <c r="B175" s="17" t="str">
        <f t="shared" si="15"/>
        <v/>
      </c>
    </row>
    <row r="176" spans="1:2" ht="15" customHeight="1" x14ac:dyDescent="0.25">
      <c r="A176" s="17" t="str">
        <f t="shared" si="14"/>
        <v/>
      </c>
      <c r="B176" s="17" t="str">
        <f t="shared" si="15"/>
        <v/>
      </c>
    </row>
    <row r="177" spans="1:2" ht="15" customHeight="1" x14ac:dyDescent="0.25">
      <c r="A177" s="17" t="str">
        <f t="shared" si="14"/>
        <v/>
      </c>
      <c r="B177" s="17" t="str">
        <f t="shared" si="15"/>
        <v/>
      </c>
    </row>
    <row r="178" spans="1:2" ht="15" customHeight="1" x14ac:dyDescent="0.25">
      <c r="A178" s="17" t="str">
        <f t="shared" si="14"/>
        <v/>
      </c>
      <c r="B178" s="17" t="str">
        <f t="shared" si="15"/>
        <v/>
      </c>
    </row>
    <row r="179" spans="1:2" ht="15" customHeight="1" x14ac:dyDescent="0.25">
      <c r="A179" s="17" t="str">
        <f t="shared" si="14"/>
        <v/>
      </c>
      <c r="B179" s="17" t="str">
        <f t="shared" si="15"/>
        <v/>
      </c>
    </row>
    <row r="180" spans="1:2" ht="15" customHeight="1" x14ac:dyDescent="0.25">
      <c r="A180" s="17" t="str">
        <f t="shared" si="14"/>
        <v/>
      </c>
      <c r="B180" s="17" t="str">
        <f t="shared" si="15"/>
        <v/>
      </c>
    </row>
    <row r="181" spans="1:2" ht="15" customHeight="1" x14ac:dyDescent="0.25">
      <c r="A181" s="17" t="str">
        <f t="shared" si="14"/>
        <v/>
      </c>
      <c r="B181" s="17" t="str">
        <f t="shared" si="15"/>
        <v/>
      </c>
    </row>
    <row r="182" spans="1:2" ht="15" customHeight="1" x14ac:dyDescent="0.25">
      <c r="A182" s="17" t="str">
        <f t="shared" si="14"/>
        <v/>
      </c>
      <c r="B182" s="17" t="str">
        <f t="shared" si="15"/>
        <v/>
      </c>
    </row>
    <row r="183" spans="1:2" ht="15" customHeight="1" x14ac:dyDescent="0.25">
      <c r="A183" s="17" t="str">
        <f t="shared" si="14"/>
        <v/>
      </c>
      <c r="B183" s="17" t="str">
        <f t="shared" si="15"/>
        <v/>
      </c>
    </row>
    <row r="184" spans="1:2" ht="15" customHeight="1" x14ac:dyDescent="0.25">
      <c r="A184" s="17" t="str">
        <f t="shared" si="14"/>
        <v/>
      </c>
      <c r="B184" s="17" t="str">
        <f t="shared" si="15"/>
        <v/>
      </c>
    </row>
    <row r="185" spans="1:2" ht="15" customHeight="1" x14ac:dyDescent="0.25">
      <c r="A185" s="17" t="str">
        <f t="shared" si="14"/>
        <v/>
      </c>
      <c r="B185" s="17" t="str">
        <f t="shared" si="15"/>
        <v/>
      </c>
    </row>
    <row r="186" spans="1:2" ht="15" customHeight="1" x14ac:dyDescent="0.25">
      <c r="A186" s="17" t="str">
        <f t="shared" si="14"/>
        <v/>
      </c>
      <c r="B186" s="17" t="str">
        <f t="shared" si="15"/>
        <v/>
      </c>
    </row>
    <row r="187" spans="1:2" ht="15" customHeight="1" x14ac:dyDescent="0.25">
      <c r="A187" s="17" t="str">
        <f t="shared" si="14"/>
        <v/>
      </c>
      <c r="B187" s="17" t="str">
        <f t="shared" si="15"/>
        <v/>
      </c>
    </row>
    <row r="188" spans="1:2" ht="15" customHeight="1" x14ac:dyDescent="0.25">
      <c r="A188" s="17" t="str">
        <f t="shared" si="14"/>
        <v/>
      </c>
      <c r="B188" s="17" t="str">
        <f t="shared" si="15"/>
        <v/>
      </c>
    </row>
    <row r="189" spans="1:2" ht="15" customHeight="1" x14ac:dyDescent="0.25">
      <c r="A189" s="17" t="str">
        <f t="shared" si="14"/>
        <v/>
      </c>
      <c r="B189" s="17" t="str">
        <f t="shared" si="15"/>
        <v/>
      </c>
    </row>
    <row r="190" spans="1:2" ht="15" customHeight="1" x14ac:dyDescent="0.25">
      <c r="A190" s="17" t="str">
        <f t="shared" si="14"/>
        <v/>
      </c>
      <c r="B190" s="17" t="str">
        <f t="shared" si="15"/>
        <v/>
      </c>
    </row>
    <row r="191" spans="1:2" ht="15" customHeight="1" x14ac:dyDescent="0.25">
      <c r="A191" s="17" t="str">
        <f t="shared" si="14"/>
        <v/>
      </c>
      <c r="B191" s="17" t="str">
        <f t="shared" si="15"/>
        <v/>
      </c>
    </row>
    <row r="192" spans="1:2" ht="15" customHeight="1" x14ac:dyDescent="0.25">
      <c r="A192" s="17" t="str">
        <f t="shared" si="14"/>
        <v/>
      </c>
      <c r="B192" s="17" t="str">
        <f t="shared" si="15"/>
        <v/>
      </c>
    </row>
    <row r="193" spans="1:2" ht="15" customHeight="1" x14ac:dyDescent="0.25">
      <c r="A193" s="17" t="str">
        <f t="shared" si="14"/>
        <v/>
      </c>
      <c r="B193" s="17" t="str">
        <f t="shared" si="15"/>
        <v/>
      </c>
    </row>
    <row r="194" spans="1:2" ht="15" customHeight="1" x14ac:dyDescent="0.25">
      <c r="A194" s="17" t="str">
        <f t="shared" si="14"/>
        <v/>
      </c>
      <c r="B194" s="17" t="str">
        <f t="shared" si="15"/>
        <v/>
      </c>
    </row>
    <row r="195" spans="1:2" ht="15" customHeight="1" x14ac:dyDescent="0.25">
      <c r="A195" s="17" t="str">
        <f t="shared" si="14"/>
        <v/>
      </c>
      <c r="B195" s="17" t="str">
        <f t="shared" si="15"/>
        <v/>
      </c>
    </row>
    <row r="196" spans="1:2" ht="15" customHeight="1" x14ac:dyDescent="0.25">
      <c r="A196" s="17" t="str">
        <f t="shared" si="14"/>
        <v/>
      </c>
      <c r="B196" s="17" t="str">
        <f t="shared" si="15"/>
        <v/>
      </c>
    </row>
    <row r="197" spans="1:2" ht="15" customHeight="1" x14ac:dyDescent="0.25">
      <c r="A197" s="17" t="str">
        <f t="shared" si="14"/>
        <v/>
      </c>
      <c r="B197" s="17" t="str">
        <f t="shared" si="15"/>
        <v/>
      </c>
    </row>
    <row r="198" spans="1:2" ht="15" customHeight="1" x14ac:dyDescent="0.25">
      <c r="A198" s="17" t="str">
        <f t="shared" si="14"/>
        <v/>
      </c>
      <c r="B198" s="17" t="str">
        <f t="shared" si="15"/>
        <v/>
      </c>
    </row>
    <row r="199" spans="1:2" ht="15" customHeight="1" x14ac:dyDescent="0.25">
      <c r="A199" s="17" t="str">
        <f t="shared" si="14"/>
        <v/>
      </c>
      <c r="B199" s="17" t="str">
        <f t="shared" si="15"/>
        <v/>
      </c>
    </row>
    <row r="200" spans="1:2" ht="15" customHeight="1" x14ac:dyDescent="0.25">
      <c r="A200" s="17" t="str">
        <f t="shared" si="14"/>
        <v/>
      </c>
      <c r="B200" s="17" t="str">
        <f t="shared" si="15"/>
        <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4"/>
  <sheetViews>
    <sheetView workbookViewId="0">
      <selection activeCell="C1" sqref="C1"/>
    </sheetView>
  </sheetViews>
  <sheetFormatPr defaultRowHeight="15" x14ac:dyDescent="0.25"/>
  <cols>
    <col min="1" max="1" width="2.85546875" customWidth="1"/>
    <col min="2" max="2" width="2.85546875" style="1" customWidth="1"/>
    <col min="3" max="3" width="57.140625" customWidth="1"/>
    <col min="4" max="4" width="46.5703125" bestFit="1" customWidth="1"/>
    <col min="5" max="5" width="18.140625" bestFit="1" customWidth="1"/>
  </cols>
  <sheetData>
    <row r="1" spans="1:5" x14ac:dyDescent="0.25">
      <c r="C1" s="27" t="s">
        <v>262</v>
      </c>
    </row>
    <row r="2" spans="1:5" x14ac:dyDescent="0.25">
      <c r="B2" s="1" t="s">
        <v>2</v>
      </c>
      <c r="C2" t="s">
        <v>254</v>
      </c>
      <c r="D2" t="s">
        <v>255</v>
      </c>
      <c r="E2" t="s">
        <v>256</v>
      </c>
    </row>
    <row r="3" spans="1:5" x14ac:dyDescent="0.25">
      <c r="A3" t="str">
        <f>IF(B3="D","  Commands.QuickPutEntry_function(string("&amp;C3&amp;") + string("&amp;D3&amp;"), (void*) InterpreterManager::"&amp;E3&amp;");",IF(B3="C","  // "&amp;C3,""))</f>
        <v xml:space="preserve">  // Variable Management</v>
      </c>
      <c r="B3" s="1" t="s">
        <v>149</v>
      </c>
      <c r="C3" t="s">
        <v>423</v>
      </c>
    </row>
    <row r="4" spans="1:5" x14ac:dyDescent="0.25">
      <c r="A4" t="str">
        <f t="shared" ref="A4:A20" si="0">IF(B4="D","  Commands.QuickPutEntry_function(string("&amp;C4&amp;") + string("&amp;D4&amp;"), (void*) InterpreterManager::"&amp;E4&amp;");",IF(B4="C","  // "&amp;C4,""))</f>
        <v xml:space="preserve">  Commands.QuickPutEntry_function(string(LABEL_VARIABLE_MANAGEMENT) + string(VARMAN_SET), (void*) InterpreterManager::VarmanCall_SET);</v>
      </c>
      <c r="B4" s="1" t="s">
        <v>136</v>
      </c>
      <c r="C4" t="s">
        <v>370</v>
      </c>
      <c r="D4" t="s">
        <v>372</v>
      </c>
      <c r="E4" t="s">
        <v>375</v>
      </c>
    </row>
    <row r="5" spans="1:5" x14ac:dyDescent="0.25">
      <c r="A5" t="str">
        <f t="shared" ref="A5" si="1">IF(B5="D","  Commands.QuickPutEntry_function(string("&amp;C5&amp;") + string("&amp;D5&amp;"), (void*) InterpreterManager::"&amp;E5&amp;");",IF(B5="C","  // "&amp;C5,""))</f>
        <v xml:space="preserve">  Commands.QuickPutEntry_function(string(LABEL_VARIABLE_MANAGEMENT) + string(VARMAN_PRINT), (void*) InterpreterManager::VarmanCall_PRINT);</v>
      </c>
      <c r="B5" s="1" t="s">
        <v>136</v>
      </c>
      <c r="C5" t="s">
        <v>370</v>
      </c>
      <c r="D5" t="s">
        <v>386</v>
      </c>
      <c r="E5" t="s">
        <v>387</v>
      </c>
    </row>
    <row r="6" spans="1:5" x14ac:dyDescent="0.25">
      <c r="A6" t="str">
        <f t="shared" si="0"/>
        <v xml:space="preserve">  // Run Commands</v>
      </c>
      <c r="B6" s="1" t="s">
        <v>149</v>
      </c>
      <c r="C6" t="s">
        <v>263</v>
      </c>
    </row>
    <row r="7" spans="1:5" x14ac:dyDescent="0.25">
      <c r="A7" t="str">
        <f t="shared" si="0"/>
        <v xml:space="preserve">  Commands.QuickPutEntry_function(string(LABEL_RUN_SIMULATION) + string(RUNSIM_SS_INITIALIZE), (void*) InterpreterManager::RunsimCall);</v>
      </c>
      <c r="B7" s="1" t="s">
        <v>136</v>
      </c>
      <c r="C7" t="s">
        <v>203</v>
      </c>
      <c r="D7" t="s">
        <v>376</v>
      </c>
      <c r="E7" t="s">
        <v>259</v>
      </c>
    </row>
    <row r="8" spans="1:5" x14ac:dyDescent="0.25">
      <c r="A8" t="str">
        <f t="shared" si="0"/>
        <v xml:space="preserve">  Commands.QuickPutEntry_function(string(LABEL_RUN_SIMULATION) + string(RUNSIM_SS_ADD_V1_DIFFUSION), (void*) InterpreterManager::RunsimCall);</v>
      </c>
      <c r="B8" s="1" t="s">
        <v>136</v>
      </c>
      <c r="C8" t="s">
        <v>203</v>
      </c>
      <c r="D8" t="s">
        <v>377</v>
      </c>
      <c r="E8" t="s">
        <v>259</v>
      </c>
    </row>
    <row r="9" spans="1:5" x14ac:dyDescent="0.25">
      <c r="A9" t="str">
        <f t="shared" si="0"/>
        <v xml:space="preserve">  Commands.QuickPutEntry_function(string(LABEL_RUN_SIMULATION) + string(RUNSIM_SS_SIMULATE), (void*) InterpreterManager::RunsimCall);</v>
      </c>
      <c r="B9" s="1" t="s">
        <v>136</v>
      </c>
      <c r="C9" t="s">
        <v>203</v>
      </c>
      <c r="D9" t="s">
        <v>378</v>
      </c>
      <c r="E9" t="s">
        <v>259</v>
      </c>
    </row>
    <row r="10" spans="1:5" x14ac:dyDescent="0.25">
      <c r="A10" t="str">
        <f t="shared" si="0"/>
        <v xml:space="preserve">  // Reporting Commands</v>
      </c>
      <c r="B10" s="1" t="s">
        <v>149</v>
      </c>
      <c r="C10" t="s">
        <v>264</v>
      </c>
    </row>
    <row r="11" spans="1:5" x14ac:dyDescent="0.25">
      <c r="A11" t="str">
        <f t="shared" si="0"/>
        <v xml:space="preserve">  Commands.QuickPutEntry_function(string(LABEL_REPORTING) + string(REPORT_SS_PRINT_V1_ACTIVATION), (void*) InterpreterManager::ReportCall);</v>
      </c>
      <c r="B11" s="1" t="s">
        <v>136</v>
      </c>
      <c r="C11" t="s">
        <v>204</v>
      </c>
      <c r="D11" t="s">
        <v>381</v>
      </c>
      <c r="E11" t="s">
        <v>260</v>
      </c>
    </row>
    <row r="12" spans="1:5" x14ac:dyDescent="0.25">
      <c r="A12" t="str">
        <f t="shared" si="0"/>
        <v xml:space="preserve">  Commands.QuickPutEntry_function(string(LABEL_REPORTING) + string(REPORT_SS_PRINT_V1_ACTIVATION_HORIZONTAL), (void*) InterpreterManager::ReportCall);</v>
      </c>
      <c r="B12" s="1" t="s">
        <v>136</v>
      </c>
      <c r="C12" t="s">
        <v>204</v>
      </c>
      <c r="D12" t="s">
        <v>382</v>
      </c>
      <c r="E12" t="s">
        <v>260</v>
      </c>
    </row>
    <row r="13" spans="1:5" x14ac:dyDescent="0.25">
      <c r="A13" t="str">
        <f t="shared" si="0"/>
        <v xml:space="preserve">  Commands.QuickPutEntry_function(string(LABEL_REPORTING) + string(REPORT_SS_PRINT_V1_EXTERNAL_EXCITATION), (void*) InterpreterManager::ReportCall);</v>
      </c>
      <c r="B13" s="1" t="s">
        <v>136</v>
      </c>
      <c r="C13" t="s">
        <v>204</v>
      </c>
      <c r="D13" t="s">
        <v>383</v>
      </c>
      <c r="E13" t="s">
        <v>260</v>
      </c>
    </row>
    <row r="14" spans="1:5" x14ac:dyDescent="0.25">
      <c r="A14" t="str">
        <f t="shared" si="0"/>
        <v xml:space="preserve">  Commands.QuickPutEntry_function(string(LABEL_REPORTING) + string(REPORT_SS_PRINT_MT_ACTIVATION), (void*) InterpreterManager::ReportCall);</v>
      </c>
      <c r="B14" s="1" t="s">
        <v>136</v>
      </c>
      <c r="C14" t="s">
        <v>204</v>
      </c>
      <c r="D14" t="s">
        <v>384</v>
      </c>
      <c r="E14" t="s">
        <v>260</v>
      </c>
    </row>
    <row r="15" spans="1:5" x14ac:dyDescent="0.25">
      <c r="A15" t="str">
        <f t="shared" si="0"/>
        <v xml:space="preserve">  Commands.QuickPutEntry_function(string(LABEL_REPORTING) + string(REPORT_SS_PRINT_MT_ACTIVATION_HORIZONTAL), (void*) InterpreterManager::ReportCall);</v>
      </c>
      <c r="B15" s="1" t="s">
        <v>136</v>
      </c>
      <c r="C15" t="s">
        <v>204</v>
      </c>
      <c r="D15" t="s">
        <v>385</v>
      </c>
      <c r="E15" t="s">
        <v>260</v>
      </c>
    </row>
    <row r="16" spans="1:5" x14ac:dyDescent="0.25">
      <c r="A16" t="str">
        <f t="shared" si="0"/>
        <v xml:space="preserve">  // I/O Interaction Commands</v>
      </c>
      <c r="B16" s="1" t="s">
        <v>149</v>
      </c>
      <c r="C16" t="s">
        <v>265</v>
      </c>
    </row>
    <row r="17" spans="1:5" x14ac:dyDescent="0.25">
      <c r="A17" t="str">
        <f t="shared" si="0"/>
        <v xml:space="preserve">  Commands.QuickPutEntry_function(string(LABEL_IO_INTERACTIONS) + string(RESCUE_NPROC), (void*) InterpreterManager::RescueCall_NPROC);</v>
      </c>
      <c r="B17" s="1" t="s">
        <v>136</v>
      </c>
      <c r="C17" t="s">
        <v>205</v>
      </c>
      <c r="D17" t="s">
        <v>389</v>
      </c>
      <c r="E17" t="s">
        <v>282</v>
      </c>
    </row>
    <row r="18" spans="1:5" x14ac:dyDescent="0.25">
      <c r="A18" t="str">
        <f t="shared" ref="A18" si="2">IF(B18="D","  Commands.QuickPutEntry_function(string("&amp;C18&amp;") + string("&amp;D18&amp;"), (void*) InterpreterManager::"&amp;E18&amp;");",IF(B18="C","  // "&amp;C18,""))</f>
        <v xml:space="preserve">  Commands.QuickPutEntry_function(string(LABEL_IO_INTERACTIONS) + string(RESCUE_RETURN), (void*) InterpreterManager::RescueCall_RETURN);</v>
      </c>
      <c r="B18" s="1" t="s">
        <v>136</v>
      </c>
      <c r="C18" t="s">
        <v>205</v>
      </c>
      <c r="D18" t="s">
        <v>438</v>
      </c>
      <c r="E18" t="s">
        <v>439</v>
      </c>
    </row>
    <row r="19" spans="1:5" s="36" customFormat="1" x14ac:dyDescent="0.25">
      <c r="B19" s="34"/>
      <c r="C19" s="36" t="s">
        <v>267</v>
      </c>
    </row>
    <row r="20" spans="1:5" x14ac:dyDescent="0.25">
      <c r="A20" t="str">
        <f t="shared" si="0"/>
        <v xml:space="preserve">  Commands.QuickPutEntry_function(string(LABEL_IO_INTERACTIONS) + string(NPROC_SILENT), (void*) InterpreterManager::RescueCall);</v>
      </c>
      <c r="B20" s="1" t="s">
        <v>136</v>
      </c>
      <c r="C20" t="s">
        <v>205</v>
      </c>
      <c r="D20" t="s">
        <v>220</v>
      </c>
      <c r="E20" t="s">
        <v>261</v>
      </c>
    </row>
    <row r="21" spans="1:5" x14ac:dyDescent="0.25">
      <c r="A21" t="str">
        <f t="shared" ref="A21:A22" si="3">IF(B21="D","  Commands.QuickPutEntry_function(string("&amp;C21&amp;") + string("&amp;D21&amp;"), (void*) InterpreterManager::"&amp;E21&amp;");",IF(B21="C","  // "&amp;C21,""))</f>
        <v xml:space="preserve">  Commands.QuickPutEntry_function(string(LABEL_ENVIRONMENT_SETTINGS) + string(), (void*) InterpreterManager::SetenvCall);</v>
      </c>
      <c r="B21" s="1" t="s">
        <v>136</v>
      </c>
      <c r="C21" t="s">
        <v>201</v>
      </c>
      <c r="E21" t="s">
        <v>257</v>
      </c>
    </row>
    <row r="22" spans="1:5" x14ac:dyDescent="0.25">
      <c r="A22" t="str">
        <f t="shared" si="3"/>
        <v xml:space="preserve">  Commands.QuickPutEntry_function(string(LABEL_SIMULATOR_SETTINGS) + string(), (void*) InterpreterManager::SetsimCall);</v>
      </c>
      <c r="B22" s="1" t="s">
        <v>136</v>
      </c>
      <c r="C22" t="s">
        <v>202</v>
      </c>
      <c r="E22" t="s">
        <v>258</v>
      </c>
    </row>
    <row r="23" spans="1:5" x14ac:dyDescent="0.25">
      <c r="A23" t="str">
        <f>IF(B23="D","  Commands.QuickPutEntry_function(string("&amp;C23&amp;") + string("&amp;D23&amp;"), (void*) InterpreterManager::"&amp;E23&amp;");",IF(B23="C","  // "&amp;C23,""))</f>
        <v xml:space="preserve">  Commands.QuickPutEntry_function(string(LABEL_REPORTING) + string(REPORT_PRINT_ENV), (void*) InterpreterManager::ReportCall);</v>
      </c>
      <c r="B23" s="1" t="s">
        <v>136</v>
      </c>
      <c r="C23" t="s">
        <v>204</v>
      </c>
      <c r="D23" t="s">
        <v>379</v>
      </c>
      <c r="E23" t="s">
        <v>260</v>
      </c>
    </row>
    <row r="24" spans="1:5" x14ac:dyDescent="0.25">
      <c r="A24" t="str">
        <f>IF(B24="D","  Commands.QuickPutEntry_function(string("&amp;C24&amp;") + string("&amp;D24&amp;"), (void*) InterpreterManager::"&amp;E24&amp;");",IF(B24="C","  // "&amp;C24,""))</f>
        <v xml:space="preserve">  Commands.QuickPutEntry_function(string(LABEL_REPORTING) + string(REPORT_PRINT_SIM), (void*) InterpreterManager::ReportCall);</v>
      </c>
      <c r="B24" s="1" t="s">
        <v>136</v>
      </c>
      <c r="C24" t="s">
        <v>204</v>
      </c>
      <c r="D24" t="s">
        <v>380</v>
      </c>
      <c r="E24" t="s">
        <v>260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135"/>
  <sheetViews>
    <sheetView tabSelected="1" workbookViewId="0">
      <pane ySplit="1" topLeftCell="A92" activePane="bottomLeft" state="frozen"/>
      <selection pane="bottomLeft" activeCell="E1" sqref="E1"/>
    </sheetView>
  </sheetViews>
  <sheetFormatPr defaultRowHeight="15" customHeight="1" x14ac:dyDescent="0.25"/>
  <cols>
    <col min="1" max="2" width="2.85546875" style="17" customWidth="1"/>
    <col min="3" max="4" width="2.85546875" style="1" customWidth="1"/>
    <col min="5" max="5" width="57.140625" customWidth="1"/>
    <col min="6" max="6" width="34.28515625" style="13" bestFit="1" customWidth="1"/>
    <col min="7" max="7" width="12.28515625" style="13" bestFit="1" customWidth="1"/>
    <col min="8" max="8" width="12.28515625" style="13" customWidth="1"/>
    <col min="9" max="9" width="34.7109375" style="13" bestFit="1" customWidth="1"/>
    <col min="10" max="10" width="2.85546875" style="1" customWidth="1"/>
  </cols>
  <sheetData>
    <row r="1" spans="1:11" ht="15" customHeight="1" x14ac:dyDescent="0.25">
      <c r="E1" s="27" t="s">
        <v>249</v>
      </c>
    </row>
    <row r="2" spans="1:11" s="22" customFormat="1" ht="15" customHeight="1" x14ac:dyDescent="0.25">
      <c r="A2" s="19" t="str">
        <f t="shared" ref="A2:A13" si="0">IF(C2="","",IF(C2="C",CHAR(10) &amp; "// " &amp; E2,IF(C2="I","#define " &amp; E2 &amp; " " &amp; I2,IF(C2="P","#define " &amp; E2 &amp; " """ &amp; F2 &amp; """" &amp; CHAR(10) &amp; "#define DEFAULT_" &amp; E2 &amp; " " &amp; I2,IF(C2="S","","ERROR")))))</f>
        <v xml:space="preserve">
// Math</v>
      </c>
      <c r="B2" s="19" t="str">
        <f t="shared" ref="B2:B3" si="1">IF(C2="","",IF(C2="C","  // "&amp;E2,IF(C2="P",IF(D2="E","  Environment.",IF(D2="S","  Simulation.","ERROR"))&amp;"SetSetting("&amp;E2&amp;", "&amp;G2&amp;", "&amp;H2&amp;");",IF(C2="S",
IF(L2=1,"  for (int i = 0; i &lt; "&amp;N2&amp;"; i++) {"&amp;CHAR(10)&amp;IF(D2="E","    Environment.",IF(D2="S","    Simulation.","ERROR"))&amp;"SetSetting("&amp;M2&amp;" + "&amp;O2&amp;", "&amp;G2&amp;", "&amp;H2&amp;");"&amp;CHAR(10)&amp;"  }",
IF(L2=2,"  for (int i = 0; i &lt; "&amp;N2&amp;"; i++) {"&amp;CHAR(10)&amp;"    for (int j = 0; j &lt; "&amp;Q2&amp;"; j++) {"&amp;CHAR(10)&amp;IF(D2="E","      Environment.",IF(D2="S","      Simulation.","ERROR"))&amp;"SetSetting("&amp;M2&amp;" + "&amp;O2&amp;" + "&amp;P2&amp;" + "&amp;R2&amp;", "&amp;G2&amp;", "&amp;H2&amp;");"&amp;CHAR(10)&amp;"    }"&amp;CHAR(10)&amp;"  }","ERROR")),""))))</f>
        <v xml:space="preserve">  // Math</v>
      </c>
      <c r="C2" s="20" t="s">
        <v>149</v>
      </c>
      <c r="D2" s="20"/>
      <c r="E2" s="22" t="s">
        <v>148</v>
      </c>
      <c r="F2" s="21"/>
      <c r="G2" s="21"/>
      <c r="H2" s="21"/>
      <c r="I2" s="21"/>
      <c r="J2" s="20" t="str">
        <f t="shared" ref="J2:J7" si="2">IF(OR(C2="P",C2="S"),IF(L2="",1,IF(L2=1,N2,IF(L2=2,N2&amp;" * "&amp;Q2,"ERROR"))),"")</f>
        <v/>
      </c>
    </row>
    <row r="3" spans="1:11" s="26" customFormat="1" ht="15" customHeight="1" x14ac:dyDescent="0.25">
      <c r="A3" s="23" t="str">
        <f t="shared" si="0"/>
        <v>#define PI 3.1415926535</v>
      </c>
      <c r="B3" s="23" t="str">
        <f t="shared" si="1"/>
        <v/>
      </c>
      <c r="C3" s="18" t="s">
        <v>137</v>
      </c>
      <c r="D3" s="18"/>
      <c r="E3" s="26" t="s">
        <v>150</v>
      </c>
      <c r="F3" s="25"/>
      <c r="G3" s="25"/>
      <c r="H3" s="25"/>
      <c r="I3" s="31" t="s">
        <v>159</v>
      </c>
      <c r="J3" s="52" t="str">
        <f t="shared" si="2"/>
        <v/>
      </c>
      <c r="K3" s="26" t="s">
        <v>154</v>
      </c>
    </row>
    <row r="4" spans="1:11" s="22" customFormat="1" ht="15" customHeight="1" x14ac:dyDescent="0.25">
      <c r="A4" s="19" t="str">
        <f t="shared" si="0"/>
        <v xml:space="preserve">
// HashTable</v>
      </c>
      <c r="B4" s="19" t="str">
        <f t="shared" ref="B4:B67" si="3">IF(C4="","",IF(C4="C","  // "&amp;E4,IF(C4="P",IF(D4="E","  Variables.",IF(D4="S","  Variables.","ERROR"))&amp;"SetSetting("&amp;E4&amp;", "&amp;G4&amp;", "&amp;H4&amp;");",IF(C4="S",
IF(L4=1,"  for (int i = 0; i &lt; "&amp;N4&amp;"; i++) {"&amp;CHAR(10)&amp;IF(D4="E","    Variables.",IF(D4="S","    Variables.","ERROR"))&amp;"SetSetting("&amp;M4&amp;" + "&amp;O4&amp;", "&amp;G4&amp;", "&amp;H4&amp;");"&amp;CHAR(10)&amp;"  }",
IF(L4=2,"  for (int i = 0; i &lt; "&amp;N4&amp;"; i++) {"&amp;CHAR(10)&amp;"    for (int j = 0; j &lt; "&amp;Q4&amp;"; j++) {"&amp;CHAR(10)&amp;IF(D4="E","      Variables.",IF(D4="S","      Variables.","ERROR"))&amp;"SetSetting("&amp;M4&amp;" + "&amp;O4&amp;" + "&amp;P4&amp;" + "&amp;R4&amp;", "&amp;G4&amp;", "&amp;H4&amp;");"&amp;CHAR(10)&amp;"    }"&amp;CHAR(10)&amp;"  }","ERROR")),""))))</f>
        <v xml:space="preserve">  // HashTable</v>
      </c>
      <c r="C4" s="20" t="s">
        <v>149</v>
      </c>
      <c r="D4" s="20"/>
      <c r="E4" s="22" t="s">
        <v>151</v>
      </c>
      <c r="F4" s="21"/>
      <c r="G4" s="21"/>
      <c r="H4" s="21"/>
      <c r="I4" s="21"/>
      <c r="J4" s="20" t="str">
        <f t="shared" si="2"/>
        <v/>
      </c>
    </row>
    <row r="5" spans="1:11" s="26" customFormat="1" ht="15" customHeight="1" x14ac:dyDescent="0.25">
      <c r="A5" s="23" t="str">
        <f t="shared" si="0"/>
        <v>#define HASH_A 611057</v>
      </c>
      <c r="B5" s="23" t="str">
        <f t="shared" si="3"/>
        <v/>
      </c>
      <c r="C5" s="18" t="s">
        <v>137</v>
      </c>
      <c r="D5" s="18"/>
      <c r="E5" s="26" t="s">
        <v>165</v>
      </c>
      <c r="F5" s="25"/>
      <c r="G5" s="25"/>
      <c r="H5" s="25"/>
      <c r="I5" s="25">
        <v>611057</v>
      </c>
      <c r="J5" s="18" t="str">
        <f t="shared" si="2"/>
        <v/>
      </c>
      <c r="K5" s="26" t="s">
        <v>244</v>
      </c>
    </row>
    <row r="6" spans="1:11" s="26" customFormat="1" ht="15" customHeight="1" x14ac:dyDescent="0.25">
      <c r="A6" s="23" t="str">
        <f t="shared" si="0"/>
        <v>#define HASH_B 286421</v>
      </c>
      <c r="B6" s="23" t="str">
        <f t="shared" si="3"/>
        <v/>
      </c>
      <c r="C6" s="18" t="s">
        <v>137</v>
      </c>
      <c r="D6" s="18"/>
      <c r="E6" s="26" t="s">
        <v>166</v>
      </c>
      <c r="F6" s="25"/>
      <c r="G6" s="25"/>
      <c r="H6" s="25"/>
      <c r="I6" s="25">
        <v>286421</v>
      </c>
      <c r="J6" s="18" t="str">
        <f t="shared" si="2"/>
        <v/>
      </c>
      <c r="K6" s="26" t="s">
        <v>245</v>
      </c>
    </row>
    <row r="7" spans="1:11" s="26" customFormat="1" ht="15" customHeight="1" x14ac:dyDescent="0.25">
      <c r="A7" s="23" t="str">
        <f t="shared" si="0"/>
        <v>#define HASH_C 126989</v>
      </c>
      <c r="B7" s="23" t="str">
        <f t="shared" si="3"/>
        <v/>
      </c>
      <c r="C7" s="18" t="s">
        <v>137</v>
      </c>
      <c r="D7" s="18"/>
      <c r="E7" s="26" t="s">
        <v>152</v>
      </c>
      <c r="F7" s="25"/>
      <c r="G7" s="25"/>
      <c r="H7" s="25"/>
      <c r="I7" s="25">
        <v>126989</v>
      </c>
      <c r="J7" s="18" t="str">
        <f t="shared" si="2"/>
        <v/>
      </c>
      <c r="K7" s="26" t="s">
        <v>246</v>
      </c>
    </row>
    <row r="8" spans="1:11" s="26" customFormat="1" ht="15" customHeight="1" x14ac:dyDescent="0.25">
      <c r="A8" s="23" t="str">
        <f t="shared" si="0"/>
        <v>#define HASH_CAPACITY_MULTIPLICATOR 1.5</v>
      </c>
      <c r="B8" s="23" t="str">
        <f t="shared" si="3"/>
        <v/>
      </c>
      <c r="C8" s="18" t="s">
        <v>137</v>
      </c>
      <c r="D8" s="18"/>
      <c r="E8" s="26" t="s">
        <v>337</v>
      </c>
      <c r="F8" s="25"/>
      <c r="G8" s="25"/>
      <c r="H8" s="25"/>
      <c r="I8" s="25">
        <v>1.5</v>
      </c>
      <c r="J8" s="18"/>
    </row>
    <row r="9" spans="1:11" s="22" customFormat="1" ht="15" customHeight="1" x14ac:dyDescent="0.25">
      <c r="A9" s="19" t="str">
        <f t="shared" si="0"/>
        <v xml:space="preserve">
// HashTables Sizes</v>
      </c>
      <c r="B9" s="19" t="str">
        <f t="shared" si="3"/>
        <v xml:space="preserve">  // HashTables Sizes</v>
      </c>
      <c r="C9" s="20" t="s">
        <v>149</v>
      </c>
      <c r="D9" s="20"/>
      <c r="E9" s="22" t="s">
        <v>330</v>
      </c>
      <c r="F9" s="21"/>
      <c r="G9" s="21"/>
      <c r="H9" s="21"/>
      <c r="I9" s="21"/>
      <c r="J9" s="20" t="str">
        <f>IF(OR(C9="P",C9="S"),IF(L9="",1,IF(L9=1,N9,IF(L9=2,N9&amp;" * "&amp;Q9,"ERROR"))),"")</f>
        <v/>
      </c>
    </row>
    <row r="10" spans="1:11" s="26" customFormat="1" ht="15" customHeight="1" x14ac:dyDescent="0.25">
      <c r="A10" s="23" t="str">
        <f t="shared" si="0"/>
        <v>#define MAX_LINKING_NEURONS MAX_V1_NEURONS + MAX_MT_NEURONS</v>
      </c>
      <c r="B10" s="23" t="str">
        <f t="shared" si="3"/>
        <v/>
      </c>
      <c r="C10" s="18" t="s">
        <v>137</v>
      </c>
      <c r="D10" s="18"/>
      <c r="E10" s="26" t="s">
        <v>329</v>
      </c>
      <c r="F10" s="25"/>
      <c r="G10" s="25"/>
      <c r="H10" s="25"/>
      <c r="I10" s="25" t="str">
        <f>E30&amp;" + "&amp;E63</f>
        <v>MAX_V1_NEURONS + MAX_MT_NEURONS</v>
      </c>
      <c r="J10" s="18"/>
    </row>
    <row r="11" spans="1:11" s="26" customFormat="1" ht="15" customHeight="1" x14ac:dyDescent="0.25">
      <c r="A11" s="23" t="str">
        <f t="shared" si="0"/>
        <v>#define INTERPRETER_MANAGER_COMMANDS_HASH_SIZE 17</v>
      </c>
      <c r="B11" s="23" t="str">
        <f t="shared" si="3"/>
        <v/>
      </c>
      <c r="C11" s="18" t="s">
        <v>137</v>
      </c>
      <c r="D11" s="18"/>
      <c r="E11" s="26" t="s">
        <v>326</v>
      </c>
      <c r="F11" s="25"/>
      <c r="G11" s="25"/>
      <c r="H11" s="25"/>
      <c r="I11" s="25">
        <f>COUNTIF(InterpreterManager.Initialize!B:B,"D")</f>
        <v>17</v>
      </c>
      <c r="J11" s="18" t="str">
        <f>IF(OR(C11="P",C11="S"),IF(L11="",1,IF(L11=1,N11,IF(L11=2,N11&amp;" * "&amp;Q11,"ERROR"))),"")</f>
        <v/>
      </c>
    </row>
    <row r="12" spans="1:11" s="26" customFormat="1" ht="15" customHeight="1" x14ac:dyDescent="0.25">
      <c r="A12" s="23" t="str">
        <f t="shared" si="0"/>
        <v>#define LOG_MANAGER_MESSAGES_HASH_SIZE 76</v>
      </c>
      <c r="B12" s="23" t="str">
        <f t="shared" si="3"/>
        <v/>
      </c>
      <c r="C12" s="18" t="s">
        <v>137</v>
      </c>
      <c r="D12" s="18"/>
      <c r="E12" s="26" t="s">
        <v>327</v>
      </c>
      <c r="F12" s="25"/>
      <c r="G12" s="25"/>
      <c r="H12" s="25"/>
      <c r="I12" s="25">
        <f>COUNTA(LogManager.Initialize!C:C)-COUNTIF(LogManager.Initialize!C:C,"#")</f>
        <v>76</v>
      </c>
      <c r="J12" s="18" t="str">
        <f>IF(OR(C12="P",C12="S"),IF(L12="",1,IF(L12=1,N12,IF(L12=2,N12&amp;" * "&amp;Q12,"ERROR"))),"")</f>
        <v/>
      </c>
    </row>
    <row r="13" spans="1:11" s="26" customFormat="1" ht="15" customHeight="1" x14ac:dyDescent="0.25">
      <c r="A13" s="23" t="str">
        <f t="shared" si="0"/>
        <v>#define SETTINGS_MANAGER_INT_HASH_SIZE 2</v>
      </c>
      <c r="B13" s="23" t="str">
        <f t="shared" si="3"/>
        <v/>
      </c>
      <c r="C13" s="18" t="s">
        <v>137</v>
      </c>
      <c r="D13" s="18"/>
      <c r="E13" s="26" t="s">
        <v>328</v>
      </c>
      <c r="F13" s="25"/>
      <c r="G13" s="25"/>
      <c r="H13" s="25"/>
      <c r="I13" s="25" t="str">
        <f>SUMIFS(J:J,G:G,"=Data_int",C:C,"=P")&amp;CONCATENATEIFS(C1:C515,"S",G1:G515,"Data_int",J1:J515)</f>
        <v>2</v>
      </c>
      <c r="J13" s="18" t="str">
        <f>IF(OR(C13="P",C13="S"),IF(L13="",1,IF(L13=1,N13,IF(L13=2,N13&amp;" * "&amp;Q13,"ERROR"))),"")</f>
        <v/>
      </c>
    </row>
    <row r="14" spans="1:11" s="26" customFormat="1" ht="15" customHeight="1" x14ac:dyDescent="0.25">
      <c r="A14" s="23" t="str">
        <f t="shared" ref="A14:A19" si="4">IF(C14="","",IF(C14="C",CHAR(10) &amp; "// " &amp; E14,IF(C14="I","#define " &amp; E14 &amp; " " &amp; I14,IF(C14="P","#define " &amp; E14 &amp; " """ &amp; F14 &amp; """" &amp; CHAR(10) &amp; "#define DEFAULT_" &amp; E14 &amp; " " &amp; I14,IF(C14="S","","ERROR")))))</f>
        <v>#define SETTINGS_MANAGER_FLOAT_HASH_SIZE 0</v>
      </c>
      <c r="B14" s="23" t="str">
        <f t="shared" si="3"/>
        <v/>
      </c>
      <c r="C14" s="18" t="s">
        <v>137</v>
      </c>
      <c r="D14" s="18"/>
      <c r="E14" s="26" t="s">
        <v>332</v>
      </c>
      <c r="F14" s="25"/>
      <c r="G14" s="25"/>
      <c r="H14" s="25"/>
      <c r="I14" s="25" t="str">
        <f>SUMIFS(J:J,G:G,"=Data_float",C:C,"=P")&amp;CONCATENATEIFS(C1:C515,"S",G1:G515,"Data_float",J1:J515)</f>
        <v>0</v>
      </c>
      <c r="J14" s="18"/>
    </row>
    <row r="15" spans="1:11" s="26" customFormat="1" ht="15" customHeight="1" x14ac:dyDescent="0.25">
      <c r="A15" s="23" t="str">
        <f t="shared" si="4"/>
        <v>#define SETTINGS_MANAGER_DOUBLE_HASH_SIZE 19 + MAX_V1_NEURONS + MAX_MT_NEURONS + MAX_V1_NEURONS * MAX_V1_NEURONS</v>
      </c>
      <c r="B15" s="23" t="str">
        <f t="shared" si="3"/>
        <v/>
      </c>
      <c r="C15" s="18" t="s">
        <v>137</v>
      </c>
      <c r="D15" s="18"/>
      <c r="E15" s="26" t="s">
        <v>331</v>
      </c>
      <c r="F15" s="25"/>
      <c r="G15" s="25"/>
      <c r="H15" s="25"/>
      <c r="I15" s="25" t="str">
        <f>SUMIFS(J:J,G:G,"=Data_double",C:C,"=P")&amp;CONCATENATEIFS(C1:C515,"S",G1:G515,"Data_double",J1:J515)</f>
        <v>19 + MAX_V1_NEURONS + MAX_MT_NEURONS + MAX_V1_NEURONS * MAX_V1_NEURONS</v>
      </c>
      <c r="J15" s="18"/>
    </row>
    <row r="16" spans="1:11" s="26" customFormat="1" ht="15" customHeight="1" x14ac:dyDescent="0.25">
      <c r="A16" s="23" t="str">
        <f t="shared" si="4"/>
        <v>#define SETTINGS_MANAGER_STRING_HASH_SIZE 10</v>
      </c>
      <c r="B16" s="23" t="str">
        <f t="shared" si="3"/>
        <v/>
      </c>
      <c r="C16" s="18" t="s">
        <v>137</v>
      </c>
      <c r="D16" s="18"/>
      <c r="E16" s="26" t="s">
        <v>333</v>
      </c>
      <c r="F16" s="25"/>
      <c r="G16" s="25"/>
      <c r="H16" s="25"/>
      <c r="I16" s="25" t="str">
        <f>SUMIFS(J:J,G:G,"=Data_string",C:C,"=P")&amp;CONCATENATEIFS(C1:C515,"S",G1:G515,"Data_string",J1:J515)</f>
        <v>10</v>
      </c>
      <c r="J16" s="18"/>
    </row>
    <row r="17" spans="1:15" s="26" customFormat="1" ht="15" customHeight="1" x14ac:dyDescent="0.25">
      <c r="A17" s="23" t="str">
        <f t="shared" si="4"/>
        <v>#define SETTINGS_MANAGER_BOOL_HASH_SIZE 1</v>
      </c>
      <c r="B17" s="23" t="str">
        <f t="shared" si="3"/>
        <v/>
      </c>
      <c r="C17" s="18" t="s">
        <v>137</v>
      </c>
      <c r="D17" s="18"/>
      <c r="E17" s="26" t="s">
        <v>334</v>
      </c>
      <c r="F17" s="25"/>
      <c r="G17" s="25"/>
      <c r="H17" s="25"/>
      <c r="I17" s="25" t="str">
        <f>SUMIFS(J:J,G:G,"=Data_bool",C:C,"=P")&amp;CONCATENATEIFS(C1:C515,"S",G1:G515,"Data_bool",J1:J515)</f>
        <v>1</v>
      </c>
      <c r="J17" s="18"/>
    </row>
    <row r="18" spans="1:15" s="26" customFormat="1" ht="15" customHeight="1" x14ac:dyDescent="0.25">
      <c r="A18" s="23" t="str">
        <f t="shared" ref="A18" si="5">IF(C18="","",IF(C18="C",CHAR(10) &amp; "// " &amp; E18,IF(C18="I","#define " &amp; E18 &amp; " " &amp; I18,IF(C18="P","#define " &amp; E18 &amp; " """ &amp; F18 &amp; """" &amp; CHAR(10) &amp; "#define DEFAULT_" &amp; E18 &amp; " " &amp; I18,IF(C18="S","","ERROR")))))</f>
        <v>#define SETTINGS_MANAGER_SETTINGTYPE_HASH_SIZE SETTINGS_MANAGER_INT_HASH_SIZE + SETTINGS_MANAGER_FLOAT_HASH_SIZE + SETTINGS_MANAGER_DOUBLE_HASH_SIZE + SETTINGS_MANAGER_STRING_HASH_SIZE + SETTINGS_MANAGER_BOOL_HASH_SIZE</v>
      </c>
      <c r="B18" s="23" t="str">
        <f t="shared" si="3"/>
        <v/>
      </c>
      <c r="C18" s="18" t="s">
        <v>137</v>
      </c>
      <c r="D18" s="18"/>
      <c r="E18" s="26" t="s">
        <v>336</v>
      </c>
      <c r="F18" s="25"/>
      <c r="G18" s="25"/>
      <c r="H18" s="25"/>
      <c r="I18" s="25" t="str">
        <f>CONCATENATEDELIMETER(E13:E17," + ")</f>
        <v>SETTINGS_MANAGER_INT_HASH_SIZE + SETTINGS_MANAGER_FLOAT_HASH_SIZE + SETTINGS_MANAGER_DOUBLE_HASH_SIZE + SETTINGS_MANAGER_STRING_HASH_SIZE + SETTINGS_MANAGER_BOOL_HASH_SIZE</v>
      </c>
      <c r="J18" s="18"/>
    </row>
    <row r="19" spans="1:15" s="26" customFormat="1" ht="15" customHeight="1" x14ac:dyDescent="0.25">
      <c r="A19" s="23" t="str">
        <f t="shared" si="4"/>
        <v>#define SETTINGS_MANAGER_SETTINGSIZE_HASH_SIZE SETTINGS_MANAGER_INT_HASH_SIZE + SETTINGS_MANAGER_FLOAT_HASH_SIZE + SETTINGS_MANAGER_DOUBLE_HASH_SIZE + SETTINGS_MANAGER_STRING_HASH_SIZE + SETTINGS_MANAGER_BOOL_HASH_SIZE</v>
      </c>
      <c r="B19" s="23" t="str">
        <f t="shared" si="3"/>
        <v/>
      </c>
      <c r="C19" s="18" t="s">
        <v>137</v>
      </c>
      <c r="D19" s="18"/>
      <c r="E19" s="26" t="s">
        <v>335</v>
      </c>
      <c r="F19" s="25"/>
      <c r="G19" s="25"/>
      <c r="H19" s="25"/>
      <c r="I19" s="25" t="str">
        <f>CONCATENATEDELIMETER(E13:E17," + ")</f>
        <v>SETTINGS_MANAGER_INT_HASH_SIZE + SETTINGS_MANAGER_FLOAT_HASH_SIZE + SETTINGS_MANAGER_DOUBLE_HASH_SIZE + SETTINGS_MANAGER_STRING_HASH_SIZE + SETTINGS_MANAGER_BOOL_HASH_SIZE</v>
      </c>
      <c r="J19" s="18"/>
    </row>
    <row r="20" spans="1:15" s="22" customFormat="1" ht="15" customHeight="1" x14ac:dyDescent="0.25">
      <c r="A20" s="19" t="str">
        <f t="shared" ref="A20:A25" si="6">IF(C20="","",IF(C20="C",CHAR(10) &amp; "// " &amp; E20,IF(C20="I","#define " &amp; E20 &amp; " " &amp; I20,IF(C20="P","#define " &amp; E20 &amp; " """ &amp; F20 &amp; """" &amp; CHAR(10) &amp; "#define DEFAULT_" &amp; E20 &amp; " " &amp; I20,IF(C20="S","","ERROR")))))</f>
        <v xml:space="preserve">
// Default Log Verbose Behavior</v>
      </c>
      <c r="B20" s="19" t="str">
        <f t="shared" si="3"/>
        <v xml:space="preserve">  // Default Log Verbose Behavior</v>
      </c>
      <c r="C20" s="20" t="s">
        <v>149</v>
      </c>
      <c r="D20" s="20"/>
      <c r="E20" s="22" t="s">
        <v>283</v>
      </c>
      <c r="F20" s="21"/>
      <c r="G20" s="21"/>
      <c r="H20" s="21"/>
      <c r="I20" s="21"/>
      <c r="J20" s="20" t="str">
        <f t="shared" ref="J20:J52" si="7">IF(OR(C20="P",C20="S"),IF(L20="",1,IF(L20=1,N20,IF(L20=2,N20&amp;" * "&amp;Q20,"ERROR"))),"")</f>
        <v/>
      </c>
    </row>
    <row r="21" spans="1:15" ht="15" customHeight="1" x14ac:dyDescent="0.25">
      <c r="A21" s="17" t="str">
        <f t="shared" si="6"/>
        <v>#define DEFAULT_MESSAGES true</v>
      </c>
      <c r="B21" s="23" t="str">
        <f t="shared" si="3"/>
        <v/>
      </c>
      <c r="C21" s="1" t="s">
        <v>137</v>
      </c>
      <c r="E21" t="s">
        <v>155</v>
      </c>
      <c r="I21" s="29" t="s">
        <v>157</v>
      </c>
      <c r="J21" s="53" t="str">
        <f t="shared" si="7"/>
        <v/>
      </c>
      <c r="K21" t="s">
        <v>161</v>
      </c>
    </row>
    <row r="22" spans="1:15" ht="15" customHeight="1" x14ac:dyDescent="0.25">
      <c r="A22" s="17" t="str">
        <f t="shared" si="6"/>
        <v>#define DEFAULT_SILENT_OUTPUT false</v>
      </c>
      <c r="B22" s="23" t="str">
        <f t="shared" si="3"/>
        <v/>
      </c>
      <c r="C22" s="1" t="s">
        <v>137</v>
      </c>
      <c r="E22" t="s">
        <v>156</v>
      </c>
      <c r="I22" s="29" t="s">
        <v>158</v>
      </c>
      <c r="J22" s="53" t="str">
        <f t="shared" si="7"/>
        <v/>
      </c>
      <c r="K22" t="s">
        <v>162</v>
      </c>
    </row>
    <row r="23" spans="1:15" ht="15" customHeight="1" x14ac:dyDescent="0.25">
      <c r="A23" s="17" t="str">
        <f t="shared" ref="A23" si="8">IF(C23="","",IF(C23="C",CHAR(10) &amp; "// " &amp; E23,IF(C23="I","#define " &amp; E23 &amp; " " &amp; I23,IF(C23="P","#define " &amp; E23 &amp; " """ &amp; F23 &amp; """" &amp; CHAR(10) &amp; "#define DEFAULT_" &amp; E23 &amp; " " &amp; I23,IF(C23="S","","ERROR")))))</f>
        <v>#define DEFAULT_FULL_SILENT_OUTPUT false</v>
      </c>
      <c r="B23" s="23" t="str">
        <f t="shared" ref="B23" si="9">IF(C23="","",IF(C23="C","  // "&amp;E23,IF(C23="P",IF(D23="E","  Variables.",IF(D23="S","  Variables.","ERROR"))&amp;"SetSetting("&amp;E23&amp;", "&amp;G23&amp;", "&amp;H23&amp;");",IF(C23="S",
IF(L23=1,"  for (int i = 0; i &lt; "&amp;N23&amp;"; i++) {"&amp;CHAR(10)&amp;IF(D23="E","    Variables.",IF(D23="S","    Variables.","ERROR"))&amp;"SetSetting("&amp;M23&amp;" + "&amp;O23&amp;", "&amp;G23&amp;", "&amp;H23&amp;");"&amp;CHAR(10)&amp;"  }",
IF(L23=2,"  for (int i = 0; i &lt; "&amp;N23&amp;"; i++) {"&amp;CHAR(10)&amp;"    for (int j = 0; j &lt; "&amp;Q23&amp;"; j++) {"&amp;CHAR(10)&amp;IF(D23="E","      Variables.",IF(D23="S","      Variables.","ERROR"))&amp;"SetSetting("&amp;M23&amp;" + "&amp;O23&amp;" + "&amp;P23&amp;" + "&amp;R23&amp;", "&amp;G23&amp;", "&amp;H23&amp;");"&amp;CHAR(10)&amp;"    }"&amp;CHAR(10)&amp;"  }","ERROR")),""))))</f>
        <v/>
      </c>
      <c r="C23" s="1" t="s">
        <v>137</v>
      </c>
      <c r="E23" t="s">
        <v>437</v>
      </c>
      <c r="I23" s="29" t="s">
        <v>158</v>
      </c>
      <c r="J23" s="53" t="str">
        <f t="shared" ref="J23" si="10">IF(OR(C23="P",C23="S"),IF(L23="",1,IF(L23=1,N23,IF(L23=2,N23&amp;" * "&amp;Q23,"ERROR"))),"")</f>
        <v/>
      </c>
    </row>
    <row r="24" spans="1:15" s="22" customFormat="1" ht="15" customHeight="1" x14ac:dyDescent="0.25">
      <c r="A24" s="19" t="str">
        <f t="shared" si="6"/>
        <v xml:space="preserve">
// Environment Variables</v>
      </c>
      <c r="B24" s="19" t="str">
        <f t="shared" si="3"/>
        <v xml:space="preserve">  // Environment Variables</v>
      </c>
      <c r="C24" s="20" t="s">
        <v>149</v>
      </c>
      <c r="D24" s="20"/>
      <c r="E24" s="22" t="s">
        <v>160</v>
      </c>
      <c r="F24" s="21"/>
      <c r="G24" s="21"/>
      <c r="H24" s="21"/>
      <c r="I24" s="21"/>
      <c r="J24" s="20" t="str">
        <f t="shared" si="7"/>
        <v/>
      </c>
    </row>
    <row r="25" spans="1:15" ht="15" customHeight="1" x14ac:dyDescent="0.25">
      <c r="A25" s="17" t="str">
        <f t="shared" si="6"/>
        <v>#define HIDE_END "ENV:hide_end"
#define DEFAULT_HIDE_END false</v>
      </c>
      <c r="B25" s="23" t="str">
        <f t="shared" si="3"/>
        <v xml:space="preserve">  Variables.SetSetting(HIDE_END, Data_bool, 1);</v>
      </c>
      <c r="C25" s="1" t="s">
        <v>163</v>
      </c>
      <c r="D25" s="1" t="s">
        <v>235</v>
      </c>
      <c r="E25" s="28" t="s">
        <v>252</v>
      </c>
      <c r="F25" s="13" t="s">
        <v>419</v>
      </c>
      <c r="G25" s="13" t="s">
        <v>164</v>
      </c>
      <c r="H25" s="13">
        <v>1</v>
      </c>
      <c r="I25" s="29" t="s">
        <v>158</v>
      </c>
      <c r="J25" s="53">
        <f t="shared" si="7"/>
        <v>1</v>
      </c>
      <c r="K25" s="13" t="s">
        <v>253</v>
      </c>
    </row>
    <row r="26" spans="1:15" ht="15" customHeight="1" x14ac:dyDescent="0.25">
      <c r="A26" s="17" t="str">
        <f t="shared" ref="A26" si="11">IF(C26="","",IF(C26="C",CHAR(10) &amp; "// " &amp; E26,IF(C26="I","#define " &amp; E26 &amp; " " &amp; I26,IF(C26="P","#define " &amp; E26 &amp; " """ &amp; F26 &amp; """" &amp; CHAR(10) &amp; "#define DEFAULT_" &amp; E26 &amp; " " &amp; I26,IF(C26="S","","ERROR")))))</f>
        <v>#define MAX_NPROC_NESTING "ENV:max_nproc_nesting"
#define DEFAULT_MAX_NPROC_NESTING 10</v>
      </c>
      <c r="B26" s="23" t="str">
        <f t="shared" ref="B26" si="12">IF(C26="","",IF(C26="C","  // "&amp;E26,IF(C26="P",IF(D26="E","  Variables.",IF(D26="S","  Variables.","ERROR"))&amp;"SetSetting("&amp;E26&amp;", "&amp;G26&amp;", "&amp;H26&amp;");",IF(C26="S",
IF(L26=1,"  for (int i = 0; i &lt; "&amp;N26&amp;"; i++) {"&amp;CHAR(10)&amp;IF(D26="E","    Variables.",IF(D26="S","    Variables.","ERROR"))&amp;"SetSetting("&amp;M26&amp;" + "&amp;O26&amp;", "&amp;G26&amp;", "&amp;H26&amp;");"&amp;CHAR(10)&amp;"  }",
IF(L26=2,"  for (int i = 0; i &lt; "&amp;N26&amp;"; i++) {"&amp;CHAR(10)&amp;"    for (int j = 0; j &lt; "&amp;Q26&amp;"; j++) {"&amp;CHAR(10)&amp;IF(D26="E","      Variables.",IF(D26="S","      Variables.","ERROR"))&amp;"SetSetting("&amp;M26&amp;" + "&amp;O26&amp;" + "&amp;P26&amp;" + "&amp;R26&amp;", "&amp;G26&amp;", "&amp;H26&amp;");"&amp;CHAR(10)&amp;"    }"&amp;CHAR(10)&amp;"  }","ERROR")),""))))</f>
        <v xml:space="preserve">  Variables.SetSetting(MAX_NPROC_NESTING, Data_int, 1);</v>
      </c>
      <c r="C26" s="1" t="s">
        <v>163</v>
      </c>
      <c r="D26" s="1" t="s">
        <v>235</v>
      </c>
      <c r="E26" s="28" t="s">
        <v>433</v>
      </c>
      <c r="F26" s="13" t="s">
        <v>432</v>
      </c>
      <c r="G26" s="13" t="s">
        <v>242</v>
      </c>
      <c r="H26" s="13">
        <v>1</v>
      </c>
      <c r="I26" s="29">
        <v>10</v>
      </c>
      <c r="J26" s="53">
        <f t="shared" si="7"/>
        <v>1</v>
      </c>
      <c r="K26" s="13" t="s">
        <v>434</v>
      </c>
    </row>
    <row r="27" spans="1:15" s="45" customFormat="1" ht="15" customHeight="1" x14ac:dyDescent="0.25">
      <c r="A27" s="43" t="str">
        <f t="shared" ref="A27:A59" si="13">IF(C27="","",IF(C27="C",CHAR(10) &amp; "// " &amp; E27,IF(C27="I","#define " &amp; E27 &amp; " " &amp; I27,IF(C27="P","#define " &amp; E27 &amp; " """ &amp; F27 &amp; """" &amp; CHAR(10) &amp; "#define DEFAULT_" &amp; E27 &amp; " " &amp; I27,IF(C27="S","","ERROR")))))</f>
        <v xml:space="preserve">
// V1 Neuron Settings</v>
      </c>
      <c r="B27" s="43" t="str">
        <f t="shared" si="3"/>
        <v xml:space="preserve">  // V1 Neuron Settings</v>
      </c>
      <c r="C27" s="44" t="s">
        <v>149</v>
      </c>
      <c r="D27" s="44"/>
      <c r="E27" s="45" t="s">
        <v>295</v>
      </c>
      <c r="F27" s="46"/>
      <c r="G27" s="46"/>
      <c r="H27" s="46"/>
      <c r="I27" s="46"/>
      <c r="J27" s="44" t="str">
        <f t="shared" si="7"/>
        <v/>
      </c>
    </row>
    <row r="28" spans="1:15" s="22" customFormat="1" ht="15" customHeight="1" x14ac:dyDescent="0.25">
      <c r="A28" s="19" t="str">
        <f t="shared" si="13"/>
        <v xml:space="preserve">
// V1 Neuron Parameters</v>
      </c>
      <c r="B28" s="19" t="str">
        <f t="shared" si="3"/>
        <v xml:space="preserve">  // V1 Neuron Parameters</v>
      </c>
      <c r="C28" s="20" t="s">
        <v>149</v>
      </c>
      <c r="D28" s="20"/>
      <c r="E28" s="22" t="s">
        <v>167</v>
      </c>
      <c r="F28" s="21"/>
      <c r="G28" s="21"/>
      <c r="H28" s="21"/>
      <c r="I28" s="21"/>
      <c r="J28" s="20" t="str">
        <f t="shared" si="7"/>
        <v/>
      </c>
    </row>
    <row r="29" spans="1:15" s="26" customFormat="1" ht="15" customHeight="1" x14ac:dyDescent="0.25">
      <c r="A29" s="23" t="str">
        <f t="shared" si="13"/>
        <v>#define V1_LABEL "V1"</v>
      </c>
      <c r="B29" s="23" t="str">
        <f t="shared" si="3"/>
        <v/>
      </c>
      <c r="C29" s="18" t="s">
        <v>137</v>
      </c>
      <c r="D29" s="18"/>
      <c r="E29" s="32" t="s">
        <v>236</v>
      </c>
      <c r="F29" s="25"/>
      <c r="G29" s="25"/>
      <c r="H29" s="25"/>
      <c r="I29" s="25" t="s">
        <v>237</v>
      </c>
      <c r="J29" s="18" t="str">
        <f t="shared" si="7"/>
        <v/>
      </c>
    </row>
    <row r="30" spans="1:15" ht="15" customHeight="1" x14ac:dyDescent="0.25">
      <c r="A30" s="17" t="str">
        <f t="shared" si="13"/>
        <v>#define MAX_V1_NEURONS 600</v>
      </c>
      <c r="B30" s="23" t="str">
        <f t="shared" si="3"/>
        <v/>
      </c>
      <c r="C30" s="1" t="s">
        <v>137</v>
      </c>
      <c r="E30" s="28" t="s">
        <v>168</v>
      </c>
      <c r="I30" s="13">
        <v>600</v>
      </c>
      <c r="J30" s="1" t="str">
        <f t="shared" si="7"/>
        <v/>
      </c>
      <c r="K30" t="s">
        <v>285</v>
      </c>
    </row>
    <row r="31" spans="1:15" ht="15" customHeight="1" x14ac:dyDescent="0.25">
      <c r="A31" s="17" t="str">
        <f t="shared" si="13"/>
        <v/>
      </c>
      <c r="B31" s="23" t="str">
        <f t="shared" si="3"/>
        <v xml:space="preserve">  for (int i = 0; i &lt; MAX_V1_NEURONS; i++) {
    Variables.SetSetting(string("SIM:") + V1_LABEL + string("'") + IIntToString(i), Data_double, 8);
  }</v>
      </c>
      <c r="C31" s="1" t="s">
        <v>234</v>
      </c>
      <c r="D31" s="1" t="s">
        <v>234</v>
      </c>
      <c r="E31" s="28"/>
      <c r="G31" s="13" t="s">
        <v>179</v>
      </c>
      <c r="H31" s="13">
        <v>8</v>
      </c>
      <c r="J31" s="1" t="str">
        <f t="shared" si="7"/>
        <v>MAX_V1_NEURONS</v>
      </c>
      <c r="L31">
        <v>1</v>
      </c>
      <c r="M31" t="s">
        <v>421</v>
      </c>
      <c r="N31" t="s">
        <v>168</v>
      </c>
      <c r="O31" t="s">
        <v>430</v>
      </c>
    </row>
    <row r="32" spans="1:15" ht="15" customHeight="1" x14ac:dyDescent="0.25">
      <c r="A32" s="17" t="str">
        <f t="shared" si="13"/>
        <v>#define V1_FIRST_CALCULATION "SIM:V1_first_calculation"
#define DEFAULT_V1_FIRST_CALCULATION "none"</v>
      </c>
      <c r="B32" s="23" t="str">
        <f t="shared" si="3"/>
        <v xml:space="preserve">  Variables.SetSetting(V1_FIRST_CALCULATION, Data_string, 1);</v>
      </c>
      <c r="C32" s="1" t="s">
        <v>163</v>
      </c>
      <c r="D32" s="1" t="s">
        <v>234</v>
      </c>
      <c r="E32" s="28" t="s">
        <v>316</v>
      </c>
      <c r="F32" s="13" t="s">
        <v>418</v>
      </c>
      <c r="G32" s="13" t="s">
        <v>171</v>
      </c>
      <c r="H32" s="13">
        <v>1</v>
      </c>
      <c r="I32" s="13" t="s">
        <v>172</v>
      </c>
      <c r="J32" s="1">
        <f t="shared" si="7"/>
        <v>1</v>
      </c>
      <c r="K32" t="s">
        <v>317</v>
      </c>
    </row>
    <row r="33" spans="1:11" ht="15" customHeight="1" x14ac:dyDescent="0.25">
      <c r="A33" s="17" t="str">
        <f t="shared" si="13"/>
        <v>#define V1_ACTIVATION_METHOD "SIM:V1_act_method"
#define DEFAULT_V1_ACTIVATION_METHOD "none"</v>
      </c>
      <c r="B33" s="23" t="str">
        <f t="shared" si="3"/>
        <v xml:space="preserve">  Variables.SetSetting(V1_ACTIVATION_METHOD, Data_string, 1);</v>
      </c>
      <c r="C33" s="1" t="s">
        <v>163</v>
      </c>
      <c r="D33" s="1" t="s">
        <v>234</v>
      </c>
      <c r="E33" s="28" t="s">
        <v>170</v>
      </c>
      <c r="F33" s="13" t="s">
        <v>417</v>
      </c>
      <c r="G33" s="13" t="s">
        <v>171</v>
      </c>
      <c r="H33" s="13">
        <v>1</v>
      </c>
      <c r="I33" s="13" t="s">
        <v>172</v>
      </c>
      <c r="J33" s="1">
        <f t="shared" si="7"/>
        <v>1</v>
      </c>
      <c r="K33" t="s">
        <v>175</v>
      </c>
    </row>
    <row r="34" spans="1:11" ht="15" customHeight="1" x14ac:dyDescent="0.25">
      <c r="A34" s="17" t="str">
        <f t="shared" si="13"/>
        <v>#define V1_DACTIVATION_METHOD "SIM:V1_dac_method"
#define DEFAULT_V1_DACTIVATION_METHOD "none"</v>
      </c>
      <c r="B34" s="23" t="str">
        <f t="shared" si="3"/>
        <v xml:space="preserve">  Variables.SetSetting(V1_DACTIVATION_METHOD, Data_string, 1);</v>
      </c>
      <c r="C34" s="1" t="s">
        <v>163</v>
      </c>
      <c r="D34" s="1" t="s">
        <v>234</v>
      </c>
      <c r="E34" s="28" t="s">
        <v>173</v>
      </c>
      <c r="F34" s="13" t="s">
        <v>416</v>
      </c>
      <c r="G34" s="13" t="s">
        <v>171</v>
      </c>
      <c r="H34" s="13">
        <v>1</v>
      </c>
      <c r="I34" s="13" t="s">
        <v>172</v>
      </c>
      <c r="J34" s="1">
        <f t="shared" si="7"/>
        <v>1</v>
      </c>
      <c r="K34" t="s">
        <v>174</v>
      </c>
    </row>
    <row r="35" spans="1:11" ht="15" customHeight="1" x14ac:dyDescent="0.25">
      <c r="A35" s="17" t="str">
        <f t="shared" si="13"/>
        <v>#define V1_EXTERNAL_EXCITATION_METHOD "SIM:V1_external_excitation_method"
#define DEFAULT_V1_EXTERNAL_EXCITATION_METHOD "none"</v>
      </c>
      <c r="B35" s="23" t="str">
        <f t="shared" si="3"/>
        <v xml:space="preserve">  Variables.SetSetting(V1_EXTERNAL_EXCITATION_METHOD, Data_string, 1);</v>
      </c>
      <c r="C35" s="1" t="s">
        <v>163</v>
      </c>
      <c r="D35" s="1" t="s">
        <v>234</v>
      </c>
      <c r="E35" s="28" t="s">
        <v>233</v>
      </c>
      <c r="F35" s="13" t="s">
        <v>415</v>
      </c>
      <c r="G35" s="13" t="s">
        <v>171</v>
      </c>
      <c r="H35" s="13">
        <v>1</v>
      </c>
      <c r="I35" s="13" t="s">
        <v>172</v>
      </c>
      <c r="J35" s="1">
        <f t="shared" si="7"/>
        <v>1</v>
      </c>
    </row>
    <row r="36" spans="1:11" s="49" customFormat="1" ht="15" customHeight="1" x14ac:dyDescent="0.25">
      <c r="A36" s="47" t="str">
        <f t="shared" si="13"/>
        <v xml:space="preserve">
// V1 Activation Methods</v>
      </c>
      <c r="B36" s="47" t="str">
        <f t="shared" si="3"/>
        <v xml:space="preserve">  // V1 Activation Methods</v>
      </c>
      <c r="C36" s="48" t="s">
        <v>149</v>
      </c>
      <c r="D36" s="48"/>
      <c r="E36" s="51" t="s">
        <v>286</v>
      </c>
      <c r="F36" s="50"/>
      <c r="G36" s="50"/>
      <c r="H36" s="50"/>
      <c r="I36" s="50"/>
      <c r="J36" s="48" t="str">
        <f t="shared" si="7"/>
        <v/>
      </c>
    </row>
    <row r="37" spans="1:11" ht="15" customHeight="1" x14ac:dyDescent="0.25">
      <c r="A37" s="17" t="str">
        <f t="shared" si="13"/>
        <v>#define V1_A001 "V1_A001"</v>
      </c>
      <c r="B37" s="23" t="str">
        <f t="shared" si="3"/>
        <v/>
      </c>
      <c r="C37" s="1" t="s">
        <v>137</v>
      </c>
      <c r="E37" s="28" t="s">
        <v>287</v>
      </c>
      <c r="I37" s="13" t="s">
        <v>288</v>
      </c>
      <c r="J37" s="1" t="str">
        <f t="shared" si="7"/>
        <v/>
      </c>
      <c r="K37" t="s">
        <v>289</v>
      </c>
    </row>
    <row r="38" spans="1:11" s="22" customFormat="1" ht="15" customHeight="1" x14ac:dyDescent="0.25">
      <c r="A38" s="19" t="str">
        <f t="shared" si="13"/>
        <v xml:space="preserve">
// V1_A001 Method Parameters</v>
      </c>
      <c r="B38" s="19" t="str">
        <f t="shared" si="3"/>
        <v xml:space="preserve">  // V1_A001 Method Parameters</v>
      </c>
      <c r="C38" s="20" t="s">
        <v>149</v>
      </c>
      <c r="D38" s="20"/>
      <c r="E38" s="30" t="s">
        <v>292</v>
      </c>
      <c r="F38" s="21"/>
      <c r="G38" s="21"/>
      <c r="H38" s="21"/>
      <c r="I38" s="21"/>
      <c r="J38" s="20" t="str">
        <f t="shared" si="7"/>
        <v/>
      </c>
    </row>
    <row r="39" spans="1:11" ht="15" customHeight="1" x14ac:dyDescent="0.25">
      <c r="A39" s="17" t="str">
        <f t="shared" si="13"/>
        <v>#define V1_A001_NL_MAX "SIM:V1_A001_nl_max"
#define DEFAULT_V1_A001_NL_MAX 1</v>
      </c>
      <c r="B39" s="23" t="str">
        <f t="shared" si="3"/>
        <v xml:space="preserve">  Variables.SetSetting(V1_A001_NL_MAX, Data_double, 1);</v>
      </c>
      <c r="C39" s="1" t="s">
        <v>163</v>
      </c>
      <c r="D39" s="1" t="s">
        <v>234</v>
      </c>
      <c r="E39" s="28" t="s">
        <v>323</v>
      </c>
      <c r="F39" s="13" t="s">
        <v>414</v>
      </c>
      <c r="G39" s="13" t="s">
        <v>179</v>
      </c>
      <c r="H39" s="13">
        <v>1</v>
      </c>
      <c r="I39" s="13">
        <v>1</v>
      </c>
      <c r="J39" s="1">
        <f t="shared" si="7"/>
        <v>1</v>
      </c>
    </row>
    <row r="40" spans="1:11" ht="15" customHeight="1" x14ac:dyDescent="0.25">
      <c r="A40" s="17" t="str">
        <f t="shared" si="13"/>
        <v>#define V1_A001_NL_A "SIM:V1_A001_nl_a"
#define DEFAULT_V1_A001_NL_A 5</v>
      </c>
      <c r="B40" s="23" t="str">
        <f t="shared" si="3"/>
        <v xml:space="preserve">  Variables.SetSetting(V1_A001_NL_A, Data_double, 1);</v>
      </c>
      <c r="C40" s="1" t="s">
        <v>163</v>
      </c>
      <c r="D40" s="1" t="s">
        <v>234</v>
      </c>
      <c r="E40" s="28" t="s">
        <v>324</v>
      </c>
      <c r="F40" s="13" t="s">
        <v>413</v>
      </c>
      <c r="G40" s="13" t="s">
        <v>179</v>
      </c>
      <c r="H40" s="13">
        <v>1</v>
      </c>
      <c r="I40" s="13">
        <v>5</v>
      </c>
      <c r="J40" s="1">
        <f t="shared" si="7"/>
        <v>1</v>
      </c>
    </row>
    <row r="41" spans="1:11" ht="15" customHeight="1" x14ac:dyDescent="0.25">
      <c r="A41" s="17" t="str">
        <f t="shared" si="13"/>
        <v>#define V1_A001_NL_B "SIM:V1_A001_nl_b"
#define DEFAULT_V1_A001_NL_B 0.17</v>
      </c>
      <c r="B41" s="23" t="str">
        <f t="shared" si="3"/>
        <v xml:space="preserve">  Variables.SetSetting(V1_A001_NL_B, Data_double, 1);</v>
      </c>
      <c r="C41" s="1" t="s">
        <v>163</v>
      </c>
      <c r="D41" s="1" t="s">
        <v>234</v>
      </c>
      <c r="E41" s="28" t="s">
        <v>325</v>
      </c>
      <c r="F41" s="13" t="s">
        <v>412</v>
      </c>
      <c r="G41" s="13" t="s">
        <v>179</v>
      </c>
      <c r="H41" s="13">
        <v>1</v>
      </c>
      <c r="I41" s="13">
        <v>0.17</v>
      </c>
      <c r="J41" s="1">
        <f t="shared" si="7"/>
        <v>1</v>
      </c>
    </row>
    <row r="42" spans="1:11" s="22" customFormat="1" ht="15" customHeight="1" x14ac:dyDescent="0.25">
      <c r="A42" s="19" t="str">
        <f t="shared" si="13"/>
        <v xml:space="preserve">
// None</v>
      </c>
      <c r="B42" s="19" t="str">
        <f t="shared" si="3"/>
        <v xml:space="preserve">  // None</v>
      </c>
      <c r="C42" s="20" t="s">
        <v>149</v>
      </c>
      <c r="D42" s="20"/>
      <c r="E42" s="30" t="s">
        <v>298</v>
      </c>
      <c r="F42" s="21"/>
      <c r="G42" s="21"/>
      <c r="H42" s="21"/>
      <c r="I42" s="21"/>
      <c r="J42" s="20" t="str">
        <f t="shared" si="7"/>
        <v/>
      </c>
    </row>
    <row r="43" spans="1:11" s="49" customFormat="1" ht="15" customHeight="1" x14ac:dyDescent="0.25">
      <c r="A43" s="47" t="str">
        <f t="shared" si="13"/>
        <v xml:space="preserve">
// V1 Derivate Activation Methods</v>
      </c>
      <c r="B43" s="47" t="str">
        <f t="shared" si="3"/>
        <v xml:space="preserve">  // V1 Derivate Activation Methods</v>
      </c>
      <c r="C43" s="48" t="s">
        <v>149</v>
      </c>
      <c r="D43" s="48"/>
      <c r="E43" s="51" t="s">
        <v>290</v>
      </c>
      <c r="F43" s="50"/>
      <c r="G43" s="50"/>
      <c r="H43" s="50"/>
      <c r="I43" s="50"/>
      <c r="J43" s="48" t="str">
        <f t="shared" si="7"/>
        <v/>
      </c>
    </row>
    <row r="44" spans="1:11" ht="15" customHeight="1" x14ac:dyDescent="0.25">
      <c r="A44" s="17" t="str">
        <f t="shared" si="13"/>
        <v>#define V1_D001 "V1_D001"</v>
      </c>
      <c r="B44" s="23" t="str">
        <f t="shared" si="3"/>
        <v/>
      </c>
      <c r="C44" s="1" t="s">
        <v>137</v>
      </c>
      <c r="E44" s="28" t="s">
        <v>176</v>
      </c>
      <c r="I44" s="13" t="s">
        <v>222</v>
      </c>
      <c r="J44" s="1" t="str">
        <f t="shared" si="7"/>
        <v/>
      </c>
      <c r="K44" t="s">
        <v>177</v>
      </c>
    </row>
    <row r="45" spans="1:11" s="22" customFormat="1" ht="15" customHeight="1" x14ac:dyDescent="0.25">
      <c r="A45" s="19" t="str">
        <f t="shared" si="13"/>
        <v xml:space="preserve">
// V1_D001 Method Parameters</v>
      </c>
      <c r="B45" s="19" t="str">
        <f t="shared" si="3"/>
        <v xml:space="preserve">  // V1_D001 Method Parameters</v>
      </c>
      <c r="C45" s="20" t="s">
        <v>149</v>
      </c>
      <c r="D45" s="20"/>
      <c r="E45" s="30" t="s">
        <v>291</v>
      </c>
      <c r="F45" s="21"/>
      <c r="G45" s="21"/>
      <c r="H45" s="21"/>
      <c r="I45" s="21"/>
      <c r="J45" s="20" t="str">
        <f t="shared" si="7"/>
        <v/>
      </c>
    </row>
    <row r="46" spans="1:11" ht="15" customHeight="1" x14ac:dyDescent="0.25">
      <c r="A46" s="17" t="str">
        <f t="shared" si="13"/>
        <v>#define V1_D001_CONDUCTANCE_LEAK "SIM:V1_D001_conductance_leak"
#define DEFAULT_V1_D001_CONDUCTANCE_LEAK -0.1</v>
      </c>
      <c r="B46" s="23" t="str">
        <f t="shared" si="3"/>
        <v xml:space="preserve">  Variables.SetSetting(V1_D001_CONDUCTANCE_LEAK, Data_double, 1);</v>
      </c>
      <c r="C46" s="1" t="s">
        <v>163</v>
      </c>
      <c r="D46" s="1" t="s">
        <v>234</v>
      </c>
      <c r="E46" s="28" t="s">
        <v>178</v>
      </c>
      <c r="F46" s="13" t="s">
        <v>411</v>
      </c>
      <c r="G46" s="13" t="s">
        <v>179</v>
      </c>
      <c r="H46" s="13">
        <v>1</v>
      </c>
      <c r="I46" s="13">
        <v>-0.1</v>
      </c>
      <c r="J46" s="1">
        <f t="shared" si="7"/>
        <v>1</v>
      </c>
    </row>
    <row r="47" spans="1:11" ht="15" customHeight="1" x14ac:dyDescent="0.25">
      <c r="A47" s="17" t="str">
        <f t="shared" si="13"/>
        <v>#define V1_D001_EXCITATORY_FACTOR "SIM:V1_D001_excitatory_factor"
#define DEFAULT_V1_D001_EXCITATORY_FACTOR 0.2</v>
      </c>
      <c r="B47" s="23" t="str">
        <f t="shared" si="3"/>
        <v xml:space="preserve">  Variables.SetSetting(V1_D001_EXCITATORY_FACTOR, Data_double, 1);</v>
      </c>
      <c r="C47" s="1" t="s">
        <v>163</v>
      </c>
      <c r="D47" s="1" t="s">
        <v>234</v>
      </c>
      <c r="E47" s="28" t="s">
        <v>180</v>
      </c>
      <c r="F47" s="13" t="s">
        <v>410</v>
      </c>
      <c r="G47" s="13" t="s">
        <v>179</v>
      </c>
      <c r="H47" s="13">
        <v>1</v>
      </c>
      <c r="I47" s="13">
        <v>0.2</v>
      </c>
      <c r="J47" s="1">
        <f t="shared" si="7"/>
        <v>1</v>
      </c>
    </row>
    <row r="48" spans="1:11" ht="15" customHeight="1" x14ac:dyDescent="0.25">
      <c r="A48" s="17" t="str">
        <f t="shared" si="13"/>
        <v>#define V1_D001_INHIBITION_FACTOR "SIM:V1_D001_inhibition_factor"
#define DEFAULT_V1_D001_INHIBITION_FACTOR -0.8</v>
      </c>
      <c r="B48" s="23" t="str">
        <f t="shared" si="3"/>
        <v xml:space="preserve">  Variables.SetSetting(V1_D001_INHIBITION_FACTOR, Data_double, 1);</v>
      </c>
      <c r="C48" s="1" t="s">
        <v>163</v>
      </c>
      <c r="D48" s="1" t="s">
        <v>234</v>
      </c>
      <c r="E48" s="28" t="s">
        <v>181</v>
      </c>
      <c r="F48" s="13" t="s">
        <v>409</v>
      </c>
      <c r="G48" s="13" t="s">
        <v>179</v>
      </c>
      <c r="H48" s="13">
        <v>1</v>
      </c>
      <c r="I48" s="13">
        <v>-0.8</v>
      </c>
      <c r="J48" s="1">
        <f t="shared" si="7"/>
        <v>1</v>
      </c>
    </row>
    <row r="49" spans="1:15" ht="15" customHeight="1" x14ac:dyDescent="0.25">
      <c r="A49" s="17" t="str">
        <f t="shared" ref="A49" si="14">IF(C49="","",IF(C49="C",CHAR(10) &amp; "// " &amp; E49,IF(C49="I","#define " &amp; E49 &amp; " " &amp; I49,IF(C49="P","#define " &amp; E49 &amp; " """ &amp; F49 &amp; """" &amp; CHAR(10) &amp; "#define DEFAULT_" &amp; E49 &amp; " " &amp; I49,IF(C49="S","","ERROR")))))</f>
        <v>#define V1_D001_WEIGHT_FACTOR "SIM:V1_D001_weight_factor"
#define DEFAULT_V1_D001_WEIGHT_FACTOR 100</v>
      </c>
      <c r="B49" s="23" t="str">
        <f t="shared" si="3"/>
        <v xml:space="preserve">  Variables.SetSetting(V1_D001_WEIGHT_FACTOR, Data_double, 1);</v>
      </c>
      <c r="C49" s="1" t="s">
        <v>163</v>
      </c>
      <c r="D49" s="1" t="s">
        <v>234</v>
      </c>
      <c r="E49" s="28" t="s">
        <v>339</v>
      </c>
      <c r="F49" s="13" t="s">
        <v>408</v>
      </c>
      <c r="G49" s="13" t="s">
        <v>179</v>
      </c>
      <c r="H49" s="13">
        <v>1</v>
      </c>
      <c r="I49" s="13">
        <v>100</v>
      </c>
      <c r="J49" s="1">
        <f t="shared" si="7"/>
        <v>1</v>
      </c>
    </row>
    <row r="50" spans="1:15" s="49" customFormat="1" ht="15" customHeight="1" x14ac:dyDescent="0.25">
      <c r="A50" s="47" t="str">
        <f t="shared" si="13"/>
        <v xml:space="preserve">
// V1 Diffusion Imput Methods</v>
      </c>
      <c r="B50" s="47" t="str">
        <f t="shared" si="3"/>
        <v xml:space="preserve">  // V1 Diffusion Imput Methods</v>
      </c>
      <c r="C50" s="48" t="s">
        <v>149</v>
      </c>
      <c r="D50" s="48"/>
      <c r="E50" s="49" t="s">
        <v>293</v>
      </c>
      <c r="F50" s="50"/>
      <c r="G50" s="50"/>
      <c r="H50" s="50"/>
      <c r="I50" s="50"/>
      <c r="J50" s="48" t="str">
        <f t="shared" si="7"/>
        <v/>
      </c>
    </row>
    <row r="51" spans="1:15" s="26" customFormat="1" ht="15" customHeight="1" x14ac:dyDescent="0.25">
      <c r="A51" s="23" t="str">
        <f t="shared" si="13"/>
        <v>#define V1_F001 "V1_F001"</v>
      </c>
      <c r="B51" s="23" t="str">
        <f t="shared" si="3"/>
        <v/>
      </c>
      <c r="C51" s="18" t="s">
        <v>137</v>
      </c>
      <c r="D51" s="18"/>
      <c r="E51" s="26" t="s">
        <v>189</v>
      </c>
      <c r="F51" s="25"/>
      <c r="G51" s="25"/>
      <c r="H51" s="25"/>
      <c r="I51" s="25" t="s">
        <v>223</v>
      </c>
      <c r="J51" s="18" t="str">
        <f t="shared" si="7"/>
        <v/>
      </c>
    </row>
    <row r="52" spans="1:15" s="22" customFormat="1" ht="15" customHeight="1" x14ac:dyDescent="0.25">
      <c r="A52" s="19" t="str">
        <f t="shared" si="13"/>
        <v xml:space="preserve">
// V1_F001 Method Parameters</v>
      </c>
      <c r="B52" s="19" t="str">
        <f t="shared" si="3"/>
        <v xml:space="preserve">  // V1_F001 Method Parameters</v>
      </c>
      <c r="C52" s="20" t="s">
        <v>149</v>
      </c>
      <c r="D52" s="20"/>
      <c r="E52" s="22" t="s">
        <v>294</v>
      </c>
      <c r="F52" s="21"/>
      <c r="G52" s="21"/>
      <c r="H52" s="21"/>
      <c r="I52" s="21"/>
      <c r="J52" s="20" t="str">
        <f t="shared" si="7"/>
        <v/>
      </c>
    </row>
    <row r="53" spans="1:15" ht="15" customHeight="1" x14ac:dyDescent="0.25">
      <c r="A53" s="17" t="str">
        <f t="shared" si="13"/>
        <v>#define V1_F001_A "SIM:V1_F001_a"
#define DEFAULT_V1_F001_A 0</v>
      </c>
      <c r="B53" s="23" t="str">
        <f t="shared" si="3"/>
        <v xml:space="preserve">  Variables.SetSetting(V1_F001_A, Data_double, 1);</v>
      </c>
      <c r="C53" s="1" t="s">
        <v>163</v>
      </c>
      <c r="D53" s="1" t="s">
        <v>234</v>
      </c>
      <c r="E53" t="s">
        <v>182</v>
      </c>
      <c r="F53" t="s">
        <v>407</v>
      </c>
      <c r="G53" s="13" t="s">
        <v>179</v>
      </c>
      <c r="H53" s="13">
        <v>1</v>
      </c>
      <c r="I53" s="13">
        <v>0</v>
      </c>
      <c r="J53" s="1">
        <f t="shared" ref="J53:J84" si="15">IF(OR(C53="P",C53="S"),IF(L53="",1,IF(L53=1,N53,IF(L53=2,N53&amp;" * "&amp;Q53,"ERROR"))),"")</f>
        <v>1</v>
      </c>
    </row>
    <row r="54" spans="1:15" ht="15" customHeight="1" x14ac:dyDescent="0.25">
      <c r="A54" s="17" t="str">
        <f t="shared" si="13"/>
        <v>#define V1_F001_B "SIM:V1_F001_b"
#define DEFAULT_V1_F001_B 0</v>
      </c>
      <c r="B54" s="23" t="str">
        <f t="shared" si="3"/>
        <v xml:space="preserve">  Variables.SetSetting(V1_F001_B, Data_double, 1);</v>
      </c>
      <c r="C54" s="1" t="s">
        <v>163</v>
      </c>
      <c r="D54" s="1" t="s">
        <v>234</v>
      </c>
      <c r="E54" t="s">
        <v>183</v>
      </c>
      <c r="F54" t="s">
        <v>406</v>
      </c>
      <c r="G54" s="13" t="s">
        <v>179</v>
      </c>
      <c r="H54" s="13">
        <v>1</v>
      </c>
      <c r="I54" s="13">
        <v>0</v>
      </c>
      <c r="J54" s="1">
        <f t="shared" si="15"/>
        <v>1</v>
      </c>
    </row>
    <row r="55" spans="1:15" ht="15" customHeight="1" x14ac:dyDescent="0.25">
      <c r="A55" s="17" t="str">
        <f t="shared" si="13"/>
        <v>#define V1_F001_ORIENTATION "SIM:V1_F001_orientation"
#define DEFAULT_V1_F001_ORIENTATION 0</v>
      </c>
      <c r="B55" s="23" t="str">
        <f t="shared" si="3"/>
        <v xml:space="preserve">  Variables.SetSetting(V1_F001_ORIENTATION, Data_double, 1);</v>
      </c>
      <c r="C55" s="1" t="s">
        <v>163</v>
      </c>
      <c r="D55" s="1" t="s">
        <v>234</v>
      </c>
      <c r="E55" t="s">
        <v>184</v>
      </c>
      <c r="F55" t="s">
        <v>405</v>
      </c>
      <c r="G55" s="13" t="s">
        <v>179</v>
      </c>
      <c r="H55" s="13">
        <v>1</v>
      </c>
      <c r="I55" s="13">
        <v>0</v>
      </c>
      <c r="J55" s="1">
        <f t="shared" si="15"/>
        <v>1</v>
      </c>
    </row>
    <row r="56" spans="1:15" ht="15" customHeight="1" x14ac:dyDescent="0.25">
      <c r="A56" s="17" t="str">
        <f t="shared" si="13"/>
        <v>#define V1_F001_SPATIAL_FREQUENCY "SIM:V1_F001_spatial_frequency"
#define DEFAULT_V1_F001_SPATIAL_FREQUENCY 0</v>
      </c>
      <c r="B56" s="23" t="str">
        <f t="shared" si="3"/>
        <v xml:space="preserve">  Variables.SetSetting(V1_F001_SPATIAL_FREQUENCY, Data_double, 1);</v>
      </c>
      <c r="C56" s="1" t="s">
        <v>163</v>
      </c>
      <c r="D56" s="1" t="s">
        <v>234</v>
      </c>
      <c r="E56" t="s">
        <v>185</v>
      </c>
      <c r="F56" t="s">
        <v>404</v>
      </c>
      <c r="G56" s="13" t="s">
        <v>179</v>
      </c>
      <c r="H56" s="13">
        <v>1</v>
      </c>
      <c r="I56" s="13">
        <v>0</v>
      </c>
      <c r="J56" s="1">
        <f t="shared" si="15"/>
        <v>1</v>
      </c>
    </row>
    <row r="57" spans="1:15" ht="15" customHeight="1" x14ac:dyDescent="0.25">
      <c r="A57" s="17" t="str">
        <f t="shared" si="13"/>
        <v>#define V1_F001_TEMPORAL_FREQUENCY "SIM:V1_F001_temporal_frequency"
#define DEFAULT_V1_F001_TEMPORAL_FREQUENCY 0</v>
      </c>
      <c r="B57" s="23" t="str">
        <f t="shared" si="3"/>
        <v xml:space="preserve">  Variables.SetSetting(V1_F001_TEMPORAL_FREQUENCY, Data_double, 1);</v>
      </c>
      <c r="C57" s="1" t="s">
        <v>163</v>
      </c>
      <c r="D57" s="1" t="s">
        <v>234</v>
      </c>
      <c r="E57" t="s">
        <v>186</v>
      </c>
      <c r="F57" t="s">
        <v>403</v>
      </c>
      <c r="G57" s="13" t="s">
        <v>179</v>
      </c>
      <c r="H57" s="13">
        <v>1</v>
      </c>
      <c r="I57" s="13">
        <v>0</v>
      </c>
      <c r="J57" s="1">
        <f t="shared" si="15"/>
        <v>1</v>
      </c>
    </row>
    <row r="58" spans="1:15" ht="15" customHeight="1" x14ac:dyDescent="0.25">
      <c r="A58" s="17" t="str">
        <f t="shared" si="13"/>
        <v>#define V1_F001_MAGNITUDE "SIM:V1_F001_magnitude"
#define DEFAULT_V1_F001_MAGNITUDE 0</v>
      </c>
      <c r="B58" s="23" t="str">
        <f t="shared" si="3"/>
        <v xml:space="preserve">  Variables.SetSetting(V1_F001_MAGNITUDE, Data_double, 1);</v>
      </c>
      <c r="C58" s="1" t="s">
        <v>163</v>
      </c>
      <c r="D58" s="1" t="s">
        <v>234</v>
      </c>
      <c r="E58" t="s">
        <v>187</v>
      </c>
      <c r="F58" t="s">
        <v>402</v>
      </c>
      <c r="G58" s="13" t="s">
        <v>179</v>
      </c>
      <c r="H58" s="13">
        <v>1</v>
      </c>
      <c r="I58" s="13">
        <v>0</v>
      </c>
      <c r="J58" s="1">
        <f t="shared" si="15"/>
        <v>1</v>
      </c>
    </row>
    <row r="59" spans="1:15" ht="15" customHeight="1" x14ac:dyDescent="0.25">
      <c r="A59" s="17" t="str">
        <f t="shared" si="13"/>
        <v>#define V1_F001_PHASE "SIM:V1_F001_phase"
#define DEFAULT_V1_F001_PHASE 0</v>
      </c>
      <c r="B59" s="23" t="str">
        <f t="shared" si="3"/>
        <v xml:space="preserve">  Variables.SetSetting(V1_F001_PHASE, Data_int, 1);</v>
      </c>
      <c r="C59" s="1" t="s">
        <v>163</v>
      </c>
      <c r="D59" s="1" t="s">
        <v>234</v>
      </c>
      <c r="E59" t="s">
        <v>188</v>
      </c>
      <c r="F59" t="s">
        <v>401</v>
      </c>
      <c r="G59" s="13" t="s">
        <v>242</v>
      </c>
      <c r="H59" s="13">
        <v>1</v>
      </c>
      <c r="I59" s="13">
        <v>0</v>
      </c>
      <c r="J59" s="1">
        <f t="shared" si="15"/>
        <v>1</v>
      </c>
    </row>
    <row r="60" spans="1:15" s="45" customFormat="1" ht="15" customHeight="1" x14ac:dyDescent="0.25">
      <c r="A60" s="43" t="str">
        <f t="shared" ref="A60:A91" si="16">IF(C60="","",IF(C60="C",CHAR(10) &amp; "// " &amp; E60,IF(C60="I","#define " &amp; E60 &amp; " " &amp; I60,IF(C60="P","#define " &amp; E60 &amp; " """ &amp; F60 &amp; """" &amp; CHAR(10) &amp; "#define DEFAULT_" &amp; E60 &amp; " " &amp; I60,IF(C60="S","","ERROR")))))</f>
        <v xml:space="preserve">
// MT Neuron Settings</v>
      </c>
      <c r="B60" s="43" t="str">
        <f t="shared" si="3"/>
        <v xml:space="preserve">  // MT Neuron Settings</v>
      </c>
      <c r="C60" s="44" t="s">
        <v>149</v>
      </c>
      <c r="D60" s="44"/>
      <c r="E60" s="45" t="s">
        <v>296</v>
      </c>
      <c r="F60" s="46"/>
      <c r="G60" s="46"/>
      <c r="H60" s="46"/>
      <c r="I60" s="46"/>
      <c r="J60" s="44" t="str">
        <f t="shared" si="15"/>
        <v/>
      </c>
    </row>
    <row r="61" spans="1:15" s="22" customFormat="1" ht="15" customHeight="1" x14ac:dyDescent="0.25">
      <c r="A61" s="19" t="str">
        <f t="shared" si="16"/>
        <v xml:space="preserve">
// MT Neuron Parameters</v>
      </c>
      <c r="B61" s="19" t="str">
        <f t="shared" si="3"/>
        <v xml:space="preserve">  // MT Neuron Parameters</v>
      </c>
      <c r="C61" s="20" t="s">
        <v>149</v>
      </c>
      <c r="D61" s="20"/>
      <c r="E61" s="22" t="s">
        <v>190</v>
      </c>
      <c r="F61" s="21"/>
      <c r="G61" s="21"/>
      <c r="H61" s="21"/>
      <c r="I61" s="21"/>
      <c r="J61" s="20" t="str">
        <f t="shared" si="15"/>
        <v/>
      </c>
    </row>
    <row r="62" spans="1:15" s="26" customFormat="1" ht="15" customHeight="1" x14ac:dyDescent="0.25">
      <c r="A62" s="23" t="str">
        <f t="shared" si="16"/>
        <v>#define MT_LABEL "MT"</v>
      </c>
      <c r="B62" s="23" t="str">
        <f t="shared" si="3"/>
        <v/>
      </c>
      <c r="C62" s="18" t="s">
        <v>137</v>
      </c>
      <c r="D62" s="18"/>
      <c r="E62" s="32" t="s">
        <v>238</v>
      </c>
      <c r="F62" s="25"/>
      <c r="G62" s="25"/>
      <c r="H62" s="25"/>
      <c r="I62" s="25" t="s">
        <v>239</v>
      </c>
      <c r="J62" s="18" t="str">
        <f t="shared" si="15"/>
        <v/>
      </c>
    </row>
    <row r="63" spans="1:15" ht="15" customHeight="1" x14ac:dyDescent="0.25">
      <c r="A63" s="17" t="str">
        <f t="shared" si="16"/>
        <v>#define MAX_MT_NEURONS 10</v>
      </c>
      <c r="B63" s="23" t="str">
        <f t="shared" si="3"/>
        <v/>
      </c>
      <c r="C63" s="1" t="s">
        <v>137</v>
      </c>
      <c r="E63" t="s">
        <v>191</v>
      </c>
      <c r="I63" s="13">
        <v>10</v>
      </c>
      <c r="J63" s="1" t="str">
        <f t="shared" si="15"/>
        <v/>
      </c>
    </row>
    <row r="64" spans="1:15" ht="15" customHeight="1" x14ac:dyDescent="0.25">
      <c r="A64" s="17" t="str">
        <f t="shared" si="16"/>
        <v/>
      </c>
      <c r="B64" s="23" t="str">
        <f t="shared" si="3"/>
        <v xml:space="preserve">  for (int i = 0; i &lt; MAX_MT_NEURONS; i++) {
    Variables.SetSetting(string("SIM:") + MT_LABEL + string("'") + IIntToString(i), Data_double, 6);
  }</v>
      </c>
      <c r="C64" s="1" t="s">
        <v>234</v>
      </c>
      <c r="D64" s="1" t="s">
        <v>234</v>
      </c>
      <c r="E64" s="28"/>
      <c r="G64" s="13" t="s">
        <v>179</v>
      </c>
      <c r="H64" s="13">
        <v>6</v>
      </c>
      <c r="J64" s="1" t="str">
        <f t="shared" si="15"/>
        <v>MAX_MT_NEURONS</v>
      </c>
      <c r="L64">
        <v>1</v>
      </c>
      <c r="M64" t="s">
        <v>422</v>
      </c>
      <c r="N64" t="s">
        <v>191</v>
      </c>
      <c r="O64" t="s">
        <v>430</v>
      </c>
    </row>
    <row r="65" spans="1:11" ht="15" customHeight="1" x14ac:dyDescent="0.25">
      <c r="A65" s="17" t="str">
        <f t="shared" si="16"/>
        <v>#define MT_FIRST_CALCULATION "SIM:MT_first_calculation"
#define DEFAULT_MT_FIRST_CALCULATION "none"</v>
      </c>
      <c r="B65" s="23" t="str">
        <f t="shared" si="3"/>
        <v xml:space="preserve">  Variables.SetSetting(MT_FIRST_CALCULATION, Data_string, 1);</v>
      </c>
      <c r="C65" s="1" t="s">
        <v>163</v>
      </c>
      <c r="D65" s="1" t="s">
        <v>234</v>
      </c>
      <c r="E65" s="28" t="s">
        <v>318</v>
      </c>
      <c r="F65" s="13" t="s">
        <v>400</v>
      </c>
      <c r="G65" s="13" t="s">
        <v>171</v>
      </c>
      <c r="H65" s="13">
        <v>1</v>
      </c>
      <c r="I65" s="13" t="s">
        <v>172</v>
      </c>
      <c r="J65" s="1">
        <f t="shared" si="15"/>
        <v>1</v>
      </c>
      <c r="K65" t="s">
        <v>317</v>
      </c>
    </row>
    <row r="66" spans="1:11" ht="15" customHeight="1" x14ac:dyDescent="0.25">
      <c r="A66" s="17" t="str">
        <f t="shared" si="16"/>
        <v>#define MT_ACTIVATION_METHOD "SIM:MT_act_method"
#define DEFAULT_MT_ACTIVATION_METHOD "none"</v>
      </c>
      <c r="B66" s="23" t="str">
        <f t="shared" si="3"/>
        <v xml:space="preserve">  Variables.SetSetting(MT_ACTIVATION_METHOD, Data_string, 1);</v>
      </c>
      <c r="C66" s="1" t="s">
        <v>163</v>
      </c>
      <c r="D66" s="1" t="s">
        <v>234</v>
      </c>
      <c r="E66" t="s">
        <v>192</v>
      </c>
      <c r="F66" s="13" t="s">
        <v>399</v>
      </c>
      <c r="G66" s="13" t="s">
        <v>171</v>
      </c>
      <c r="H66" s="13">
        <v>1</v>
      </c>
      <c r="I66" s="13" t="s">
        <v>172</v>
      </c>
      <c r="J66" s="1">
        <f t="shared" si="15"/>
        <v>1</v>
      </c>
    </row>
    <row r="67" spans="1:11" ht="15" customHeight="1" x14ac:dyDescent="0.25">
      <c r="A67" s="17" t="str">
        <f t="shared" si="16"/>
        <v>#define MT_DACTIVATION_METHOD "SIM:MT_dac_method"
#define DEFAULT_MT_DACTIVATION_METHOD "none"</v>
      </c>
      <c r="B67" s="23" t="str">
        <f t="shared" si="3"/>
        <v xml:space="preserve">  Variables.SetSetting(MT_DACTIVATION_METHOD, Data_string, 1);</v>
      </c>
      <c r="C67" s="1" t="s">
        <v>163</v>
      </c>
      <c r="D67" s="1" t="s">
        <v>234</v>
      </c>
      <c r="E67" t="s">
        <v>193</v>
      </c>
      <c r="F67" s="13" t="s">
        <v>398</v>
      </c>
      <c r="G67" s="13" t="s">
        <v>171</v>
      </c>
      <c r="H67" s="13">
        <v>1</v>
      </c>
      <c r="I67" s="13" t="s">
        <v>172</v>
      </c>
      <c r="J67" s="1">
        <f t="shared" si="15"/>
        <v>1</v>
      </c>
    </row>
    <row r="68" spans="1:11" s="49" customFormat="1" ht="15" customHeight="1" x14ac:dyDescent="0.25">
      <c r="A68" s="47" t="str">
        <f t="shared" si="16"/>
        <v xml:space="preserve">
// MT Activation Methods</v>
      </c>
      <c r="B68" s="47" t="str">
        <f t="shared" ref="B68:B91" si="17">IF(C68="","",IF(C68="C","  // "&amp;E68,IF(C68="P",IF(D68="E","  Variables.",IF(D68="S","  Variables.","ERROR"))&amp;"SetSetting("&amp;E68&amp;", "&amp;G68&amp;", "&amp;H68&amp;");",IF(C68="S",
IF(L68=1,"  for (int i = 0; i &lt; "&amp;N68&amp;"; i++) {"&amp;CHAR(10)&amp;IF(D68="E","    Variables.",IF(D68="S","    Variables.","ERROR"))&amp;"SetSetting("&amp;M68&amp;" + "&amp;O68&amp;", "&amp;G68&amp;", "&amp;H68&amp;");"&amp;CHAR(10)&amp;"  }",
IF(L68=2,"  for (int i = 0; i &lt; "&amp;N68&amp;"; i++) {"&amp;CHAR(10)&amp;"    for (int j = 0; j &lt; "&amp;Q68&amp;"; j++) {"&amp;CHAR(10)&amp;IF(D68="E","      Variables.",IF(D68="S","      Variables.","ERROR"))&amp;"SetSetting("&amp;M68&amp;" + "&amp;O68&amp;" + "&amp;P68&amp;" + "&amp;R68&amp;", "&amp;G68&amp;", "&amp;H68&amp;");"&amp;CHAR(10)&amp;"    }"&amp;CHAR(10)&amp;"  }","ERROR")),""))))</f>
        <v xml:space="preserve">  // MT Activation Methods</v>
      </c>
      <c r="C68" s="48" t="s">
        <v>149</v>
      </c>
      <c r="D68" s="48"/>
      <c r="E68" s="49" t="s">
        <v>299</v>
      </c>
      <c r="F68" s="50"/>
      <c r="G68" s="50"/>
      <c r="H68" s="50"/>
      <c r="I68" s="50"/>
      <c r="J68" s="48" t="str">
        <f t="shared" si="15"/>
        <v/>
      </c>
    </row>
    <row r="69" spans="1:11" ht="15" customHeight="1" x14ac:dyDescent="0.25">
      <c r="A69" s="17" t="str">
        <f t="shared" si="16"/>
        <v>#define MT_A001 "MT_A001"</v>
      </c>
      <c r="B69" s="23" t="str">
        <f t="shared" si="17"/>
        <v/>
      </c>
      <c r="C69" s="1" t="s">
        <v>137</v>
      </c>
      <c r="E69" t="s">
        <v>194</v>
      </c>
      <c r="I69" s="13" t="s">
        <v>224</v>
      </c>
      <c r="J69" s="1" t="str">
        <f t="shared" si="15"/>
        <v/>
      </c>
    </row>
    <row r="70" spans="1:11" s="22" customFormat="1" ht="15" customHeight="1" x14ac:dyDescent="0.25">
      <c r="A70" s="19" t="str">
        <f t="shared" si="16"/>
        <v xml:space="preserve">
// MT_A001 Parameters</v>
      </c>
      <c r="B70" s="19" t="str">
        <f t="shared" si="17"/>
        <v xml:space="preserve">  // MT_A001 Parameters</v>
      </c>
      <c r="C70" s="20" t="s">
        <v>149</v>
      </c>
      <c r="D70" s="20"/>
      <c r="E70" s="22" t="s">
        <v>297</v>
      </c>
      <c r="F70" s="21"/>
      <c r="G70" s="21"/>
      <c r="H70" s="21"/>
      <c r="I70" s="21"/>
      <c r="J70" s="20" t="str">
        <f t="shared" si="15"/>
        <v/>
      </c>
    </row>
    <row r="71" spans="1:11" s="22" customFormat="1" ht="15" customHeight="1" x14ac:dyDescent="0.25">
      <c r="A71" s="19" t="str">
        <f t="shared" si="16"/>
        <v xml:space="preserve">
// None</v>
      </c>
      <c r="B71" s="19" t="str">
        <f t="shared" si="17"/>
        <v xml:space="preserve">  // None</v>
      </c>
      <c r="C71" s="20" t="s">
        <v>149</v>
      </c>
      <c r="D71" s="20"/>
      <c r="E71" s="22" t="s">
        <v>298</v>
      </c>
      <c r="F71" s="21"/>
      <c r="G71" s="21"/>
      <c r="H71" s="21"/>
      <c r="I71" s="21"/>
      <c r="J71" s="20" t="str">
        <f t="shared" si="15"/>
        <v/>
      </c>
    </row>
    <row r="72" spans="1:11" s="49" customFormat="1" ht="15" customHeight="1" x14ac:dyDescent="0.25">
      <c r="A72" s="47" t="str">
        <f t="shared" si="16"/>
        <v xml:space="preserve">
// MT Derivate Activation Methods</v>
      </c>
      <c r="B72" s="47" t="str">
        <f t="shared" si="17"/>
        <v xml:space="preserve">  // MT Derivate Activation Methods</v>
      </c>
      <c r="C72" s="48" t="s">
        <v>149</v>
      </c>
      <c r="D72" s="48"/>
      <c r="E72" s="49" t="s">
        <v>300</v>
      </c>
      <c r="F72" s="50"/>
      <c r="G72" s="50"/>
      <c r="H72" s="50"/>
      <c r="I72" s="50"/>
      <c r="J72" s="48" t="str">
        <f t="shared" si="15"/>
        <v/>
      </c>
    </row>
    <row r="73" spans="1:11" ht="15" customHeight="1" x14ac:dyDescent="0.25">
      <c r="A73" s="17" t="str">
        <f t="shared" si="16"/>
        <v>#define MT_D001 "MT_D001"</v>
      </c>
      <c r="B73" s="23" t="str">
        <f t="shared" si="17"/>
        <v/>
      </c>
      <c r="C73" s="1" t="s">
        <v>137</v>
      </c>
      <c r="E73" t="s">
        <v>301</v>
      </c>
      <c r="I73" s="13" t="s">
        <v>302</v>
      </c>
      <c r="J73" s="1" t="str">
        <f t="shared" si="15"/>
        <v/>
      </c>
    </row>
    <row r="74" spans="1:11" s="22" customFormat="1" ht="15" customHeight="1" x14ac:dyDescent="0.25">
      <c r="A74" s="19" t="str">
        <f t="shared" si="16"/>
        <v xml:space="preserve">
// MT_D001 Parameters</v>
      </c>
      <c r="B74" s="19" t="str">
        <f t="shared" si="17"/>
        <v xml:space="preserve">  // MT_D001 Parameters</v>
      </c>
      <c r="C74" s="20" t="s">
        <v>149</v>
      </c>
      <c r="D74" s="20"/>
      <c r="E74" s="22" t="s">
        <v>303</v>
      </c>
      <c r="F74" s="21"/>
      <c r="G74" s="21"/>
      <c r="H74" s="21"/>
      <c r="I74" s="21"/>
      <c r="J74" s="20" t="str">
        <f t="shared" si="15"/>
        <v/>
      </c>
    </row>
    <row r="75" spans="1:11" s="22" customFormat="1" ht="15" customHeight="1" x14ac:dyDescent="0.25">
      <c r="A75" s="19" t="str">
        <f t="shared" si="16"/>
        <v xml:space="preserve">
// None</v>
      </c>
      <c r="B75" s="19" t="str">
        <f t="shared" si="17"/>
        <v xml:space="preserve">  // None</v>
      </c>
      <c r="C75" s="20" t="s">
        <v>149</v>
      </c>
      <c r="D75" s="20"/>
      <c r="E75" s="22" t="s">
        <v>298</v>
      </c>
      <c r="F75" s="21"/>
      <c r="G75" s="21"/>
      <c r="H75" s="21"/>
      <c r="I75" s="21"/>
      <c r="J75" s="20" t="str">
        <f t="shared" si="15"/>
        <v/>
      </c>
    </row>
    <row r="76" spans="1:11" s="45" customFormat="1" ht="15" customHeight="1" x14ac:dyDescent="0.25">
      <c r="A76" s="43" t="str">
        <f t="shared" si="16"/>
        <v xml:space="preserve">
// Neuron Linking</v>
      </c>
      <c r="B76" s="43" t="str">
        <f t="shared" si="17"/>
        <v xml:space="preserve">  // Neuron Linking</v>
      </c>
      <c r="C76" s="44" t="s">
        <v>149</v>
      </c>
      <c r="D76" s="44"/>
      <c r="E76" s="45" t="s">
        <v>304</v>
      </c>
      <c r="F76" s="46"/>
      <c r="G76" s="46"/>
      <c r="H76" s="46"/>
      <c r="I76" s="46"/>
      <c r="J76" s="44" t="str">
        <f t="shared" si="15"/>
        <v/>
      </c>
    </row>
    <row r="77" spans="1:11" s="49" customFormat="1" ht="15" customHeight="1" x14ac:dyDescent="0.25">
      <c r="A77" s="47" t="str">
        <f t="shared" si="16"/>
        <v xml:space="preserve">
// V1V1 Linking Methods</v>
      </c>
      <c r="B77" s="47" t="str">
        <f t="shared" si="17"/>
        <v xml:space="preserve">  // V1V1 Linking Methods</v>
      </c>
      <c r="C77" s="48" t="s">
        <v>149</v>
      </c>
      <c r="D77" s="48"/>
      <c r="E77" s="49" t="s">
        <v>305</v>
      </c>
      <c r="F77" s="50"/>
      <c r="G77" s="50"/>
      <c r="H77" s="50"/>
      <c r="I77" s="50"/>
      <c r="J77" s="48" t="str">
        <f t="shared" si="15"/>
        <v/>
      </c>
    </row>
    <row r="78" spans="1:11" s="26" customFormat="1" ht="15" customHeight="1" x14ac:dyDescent="0.25">
      <c r="A78" s="23" t="str">
        <f t="shared" si="16"/>
        <v>#define V1V1_CONNECTION_METHOD "SIM:V1V1_connection_method"
#define DEFAULT_V1V1_CONNECTION_METHOD "none"</v>
      </c>
      <c r="B78" s="23" t="str">
        <f t="shared" si="17"/>
        <v xml:space="preserve">  Variables.SetSetting(V1V1_CONNECTION_METHOD, Data_string, 1);</v>
      </c>
      <c r="C78" s="18" t="s">
        <v>163</v>
      </c>
      <c r="D78" s="18" t="s">
        <v>234</v>
      </c>
      <c r="E78" s="26" t="s">
        <v>314</v>
      </c>
      <c r="F78" s="25" t="s">
        <v>397</v>
      </c>
      <c r="G78" s="25" t="s">
        <v>171</v>
      </c>
      <c r="H78" s="25">
        <v>1</v>
      </c>
      <c r="I78" s="25" t="s">
        <v>172</v>
      </c>
      <c r="J78" s="18">
        <f t="shared" si="15"/>
        <v>1</v>
      </c>
    </row>
    <row r="79" spans="1:11" ht="15" customHeight="1" x14ac:dyDescent="0.25">
      <c r="A79" s="17" t="str">
        <f t="shared" si="16"/>
        <v>#define V1V1_L001 "V1V1_L001"</v>
      </c>
      <c r="B79" s="23" t="str">
        <f t="shared" si="17"/>
        <v/>
      </c>
      <c r="C79" s="1" t="s">
        <v>137</v>
      </c>
      <c r="E79" t="s">
        <v>306</v>
      </c>
      <c r="I79" s="13" t="s">
        <v>307</v>
      </c>
      <c r="J79" s="1" t="str">
        <f t="shared" si="15"/>
        <v/>
      </c>
    </row>
    <row r="80" spans="1:11" s="22" customFormat="1" ht="15" customHeight="1" x14ac:dyDescent="0.25">
      <c r="A80" s="19" t="str">
        <f t="shared" si="16"/>
        <v xml:space="preserve">
// V1V1_L001 Link Parameters</v>
      </c>
      <c r="B80" s="19" t="str">
        <f t="shared" si="17"/>
        <v xml:space="preserve">  // V1V1_L001 Link Parameters</v>
      </c>
      <c r="C80" s="20" t="s">
        <v>149</v>
      </c>
      <c r="D80" s="20"/>
      <c r="E80" s="22" t="s">
        <v>308</v>
      </c>
      <c r="F80" s="21"/>
      <c r="G80" s="21"/>
      <c r="H80" s="21"/>
      <c r="I80" s="21"/>
      <c r="J80" s="20" t="str">
        <f t="shared" si="15"/>
        <v/>
      </c>
    </row>
    <row r="81" spans="1:18" s="26" customFormat="1" ht="15" customHeight="1" x14ac:dyDescent="0.25">
      <c r="A81" s="23" t="str">
        <f t="shared" si="16"/>
        <v>#define V1V1_L001_BASE_WEIGHT_SOURCE "SIM:V1V1_L001_base_weight_source"
#define DEFAULT_V1V1_L001_BASE_WEIGHT_SOURCE "none"</v>
      </c>
      <c r="B81" s="23" t="str">
        <f t="shared" si="17"/>
        <v xml:space="preserve">  Variables.SetSetting(V1V1_L001_BASE_WEIGHT_SOURCE, Data_string, 1);</v>
      </c>
      <c r="C81" s="18" t="s">
        <v>163</v>
      </c>
      <c r="D81" s="18" t="s">
        <v>234</v>
      </c>
      <c r="E81" s="26" t="s">
        <v>310</v>
      </c>
      <c r="F81" s="25" t="s">
        <v>396</v>
      </c>
      <c r="G81" s="25" t="s">
        <v>171</v>
      </c>
      <c r="H81" s="25">
        <v>1</v>
      </c>
      <c r="I81" s="25" t="s">
        <v>172</v>
      </c>
      <c r="J81" s="1">
        <f t="shared" si="15"/>
        <v>1</v>
      </c>
    </row>
    <row r="82" spans="1:18" ht="15" customHeight="1" x14ac:dyDescent="0.25">
      <c r="A82" s="17" t="str">
        <f t="shared" si="16"/>
        <v>#define V1V1_L001_DEFAULT_WEIGHT "SIM:V1V1_L001_default_weight"
#define DEFAULT_V1V1_L001_DEFAULT_WEIGHT 0</v>
      </c>
      <c r="B82" s="23" t="str">
        <f t="shared" si="17"/>
        <v xml:space="preserve">  Variables.SetSetting(V1V1_L001_DEFAULT_WEIGHT, Data_double, 1);</v>
      </c>
      <c r="C82" s="1" t="s">
        <v>163</v>
      </c>
      <c r="D82" s="1" t="s">
        <v>234</v>
      </c>
      <c r="E82" s="26" t="s">
        <v>311</v>
      </c>
      <c r="F82" s="13" t="s">
        <v>395</v>
      </c>
      <c r="G82" s="13" t="s">
        <v>179</v>
      </c>
      <c r="H82" s="13">
        <v>1</v>
      </c>
      <c r="I82" s="13">
        <v>0</v>
      </c>
      <c r="J82" s="1">
        <f t="shared" si="15"/>
        <v>1</v>
      </c>
    </row>
    <row r="83" spans="1:18" ht="15" customHeight="1" x14ac:dyDescent="0.25">
      <c r="A83" s="17" t="str">
        <f t="shared" si="16"/>
        <v/>
      </c>
      <c r="B83" s="23" t="str">
        <f t="shared" si="17"/>
        <v xml:space="preserve">  for (int i = 0; i &lt; MAX_V1_NEURONS; i++) {
    for (int j = 0; j &lt; MAX_V1_NEURONS; j++) {
      Variables.SetSetting(string("SIM:") + V1_LABEL + string("'") + IIntToString(i) + ":" + V1_LABEL + string("'") + IIntToString(j), Data_double, 1);
    }
  }</v>
      </c>
      <c r="C83" s="1" t="s">
        <v>234</v>
      </c>
      <c r="D83" s="1" t="s">
        <v>234</v>
      </c>
      <c r="E83" s="26"/>
      <c r="G83" s="13" t="s">
        <v>179</v>
      </c>
      <c r="H83" s="13">
        <v>1</v>
      </c>
      <c r="I83" s="13" t="s">
        <v>311</v>
      </c>
      <c r="J83" s="1" t="str">
        <f t="shared" si="15"/>
        <v>MAX_V1_NEURONS * MAX_V1_NEURONS</v>
      </c>
      <c r="L83">
        <v>2</v>
      </c>
      <c r="M83" t="s">
        <v>421</v>
      </c>
      <c r="N83" t="s">
        <v>168</v>
      </c>
      <c r="O83" t="s">
        <v>430</v>
      </c>
      <c r="P83" t="s">
        <v>338</v>
      </c>
      <c r="Q83" t="s">
        <v>168</v>
      </c>
      <c r="R83" t="s">
        <v>431</v>
      </c>
    </row>
    <row r="84" spans="1:18" s="49" customFormat="1" ht="15" customHeight="1" x14ac:dyDescent="0.25">
      <c r="A84" s="47" t="str">
        <f t="shared" si="16"/>
        <v xml:space="preserve">
// MTMT Link Methods</v>
      </c>
      <c r="B84" s="47" t="str">
        <f t="shared" si="17"/>
        <v xml:space="preserve">  // MTMT Link Methods</v>
      </c>
      <c r="C84" s="48" t="s">
        <v>149</v>
      </c>
      <c r="D84" s="48"/>
      <c r="E84" s="49" t="s">
        <v>309</v>
      </c>
      <c r="F84" s="50"/>
      <c r="G84" s="50"/>
      <c r="H84" s="50"/>
      <c r="I84" s="50"/>
      <c r="J84" s="48" t="str">
        <f t="shared" si="15"/>
        <v/>
      </c>
    </row>
    <row r="85" spans="1:18" s="22" customFormat="1" ht="15" customHeight="1" x14ac:dyDescent="0.25">
      <c r="A85" s="19" t="str">
        <f t="shared" si="16"/>
        <v xml:space="preserve">
// None</v>
      </c>
      <c r="B85" s="19" t="str">
        <f t="shared" si="17"/>
        <v xml:space="preserve">  // None</v>
      </c>
      <c r="C85" s="20" t="s">
        <v>149</v>
      </c>
      <c r="D85" s="20"/>
      <c r="E85" s="22" t="s">
        <v>298</v>
      </c>
      <c r="F85" s="21"/>
      <c r="G85" s="21"/>
      <c r="H85" s="21"/>
      <c r="I85" s="21"/>
      <c r="J85" s="20" t="str">
        <f t="shared" ref="J85:J120" si="18">IF(OR(C85="P",C85="S"),IF(L85="",1,IF(L85=1,N85,IF(L85=2,N85&amp;" * "&amp;Q85,"ERROR"))),"")</f>
        <v/>
      </c>
    </row>
    <row r="86" spans="1:18" s="49" customFormat="1" ht="15" customHeight="1" x14ac:dyDescent="0.25">
      <c r="A86" s="47" t="str">
        <f t="shared" si="16"/>
        <v xml:space="preserve">
// V1MT Linking Methods</v>
      </c>
      <c r="B86" s="47" t="str">
        <f t="shared" si="17"/>
        <v xml:space="preserve">  // V1MT Linking Methods</v>
      </c>
      <c r="C86" s="48" t="s">
        <v>149</v>
      </c>
      <c r="D86" s="48"/>
      <c r="E86" s="49" t="s">
        <v>312</v>
      </c>
      <c r="F86" s="50"/>
      <c r="G86" s="50"/>
      <c r="H86" s="50"/>
      <c r="I86" s="50"/>
      <c r="J86" s="48" t="str">
        <f t="shared" si="18"/>
        <v/>
      </c>
    </row>
    <row r="87" spans="1:18" s="26" customFormat="1" ht="15" customHeight="1" x14ac:dyDescent="0.25">
      <c r="A87" s="23" t="str">
        <f t="shared" si="16"/>
        <v>#define V1MT_CONNECTION_METHOD "SIM:V1MT_connection_method"
#define DEFAULT_V1MT_CONNECTION_METHOD "none"</v>
      </c>
      <c r="B87" s="23" t="str">
        <f t="shared" si="17"/>
        <v xml:space="preserve">  Variables.SetSetting(V1MT_CONNECTION_METHOD, Data_string, 1);</v>
      </c>
      <c r="C87" s="18" t="s">
        <v>163</v>
      </c>
      <c r="D87" s="18" t="s">
        <v>234</v>
      </c>
      <c r="E87" s="26" t="s">
        <v>226</v>
      </c>
      <c r="F87" s="25" t="s">
        <v>394</v>
      </c>
      <c r="G87" s="25" t="s">
        <v>171</v>
      </c>
      <c r="H87" s="25">
        <v>1</v>
      </c>
      <c r="I87" s="25" t="s">
        <v>172</v>
      </c>
      <c r="J87" s="1">
        <f t="shared" si="18"/>
        <v>1</v>
      </c>
    </row>
    <row r="88" spans="1:18" s="26" customFormat="1" ht="15" customHeight="1" x14ac:dyDescent="0.25">
      <c r="A88" s="23" t="str">
        <f t="shared" si="16"/>
        <v>#define V1MT_L001 "V1MT_L001"</v>
      </c>
      <c r="B88" s="23" t="str">
        <f t="shared" si="17"/>
        <v/>
      </c>
      <c r="C88" s="18" t="s">
        <v>137</v>
      </c>
      <c r="D88" s="18"/>
      <c r="E88" s="26" t="s">
        <v>227</v>
      </c>
      <c r="F88" s="25"/>
      <c r="G88" s="25"/>
      <c r="H88" s="25"/>
      <c r="I88" s="25" t="s">
        <v>228</v>
      </c>
      <c r="J88" s="18" t="str">
        <f t="shared" si="18"/>
        <v/>
      </c>
    </row>
    <row r="89" spans="1:18" s="22" customFormat="1" ht="15" customHeight="1" x14ac:dyDescent="0.25">
      <c r="A89" s="19" t="str">
        <f t="shared" si="16"/>
        <v xml:space="preserve">
// V1MT_L001 Link Parameters</v>
      </c>
      <c r="B89" s="19" t="str">
        <f t="shared" si="17"/>
        <v xml:space="preserve">  // V1MT_L001 Link Parameters</v>
      </c>
      <c r="C89" s="20" t="s">
        <v>149</v>
      </c>
      <c r="D89" s="20"/>
      <c r="E89" s="22" t="s">
        <v>313</v>
      </c>
      <c r="F89" s="21"/>
      <c r="G89" s="21"/>
      <c r="H89" s="21"/>
      <c r="I89" s="21"/>
      <c r="J89" s="20" t="str">
        <f t="shared" si="18"/>
        <v/>
      </c>
    </row>
    <row r="90" spans="1:18" s="26" customFormat="1" ht="15" customHeight="1" x14ac:dyDescent="0.25">
      <c r="A90" s="23" t="str">
        <f t="shared" si="16"/>
        <v>#define V1MT_L001_APERTURE "SIM:V1MT_L001_aperture"
#define DEFAULT_V1MT_L001_APERTURE 45.0 + 1.0</v>
      </c>
      <c r="B90" s="23" t="str">
        <f t="shared" si="17"/>
        <v xml:space="preserve">  Variables.SetSetting(V1MT_L001_APERTURE, Data_double, 1);</v>
      </c>
      <c r="C90" s="18" t="s">
        <v>163</v>
      </c>
      <c r="D90" s="18" t="s">
        <v>234</v>
      </c>
      <c r="E90" s="26" t="s">
        <v>229</v>
      </c>
      <c r="F90" s="25" t="s">
        <v>393</v>
      </c>
      <c r="G90" s="25" t="s">
        <v>179</v>
      </c>
      <c r="H90" s="25">
        <v>1</v>
      </c>
      <c r="I90" s="25" t="s">
        <v>340</v>
      </c>
      <c r="J90" s="18">
        <f t="shared" si="18"/>
        <v>1</v>
      </c>
    </row>
    <row r="91" spans="1:18" s="26" customFormat="1" ht="15" customHeight="1" x14ac:dyDescent="0.25">
      <c r="A91" s="23" t="str">
        <f t="shared" si="16"/>
        <v>#define V1MT_L001_AMPLIFICATION "SIM:V1MT_L001_amplification"
#define DEFAULT_V1MT_L001_AMPLIFICATION 1</v>
      </c>
      <c r="B91" s="23" t="str">
        <f t="shared" si="17"/>
        <v xml:space="preserve">  Variables.SetSetting(V1MT_L001_AMPLIFICATION, Data_double, 1);</v>
      </c>
      <c r="C91" s="18" t="s">
        <v>163</v>
      </c>
      <c r="D91" s="18" t="s">
        <v>234</v>
      </c>
      <c r="E91" s="26" t="s">
        <v>230</v>
      </c>
      <c r="F91" s="25" t="s">
        <v>392</v>
      </c>
      <c r="G91" s="25" t="s">
        <v>179</v>
      </c>
      <c r="H91" s="25">
        <v>1</v>
      </c>
      <c r="I91" s="25">
        <v>1</v>
      </c>
      <c r="J91" s="18">
        <f t="shared" si="18"/>
        <v>1</v>
      </c>
    </row>
    <row r="92" spans="1:18" s="26" customFormat="1" ht="15" customHeight="1" x14ac:dyDescent="0.25">
      <c r="A92" s="23" t="str">
        <f t="shared" ref="A92:A126" si="19">IF(C92="","",IF(C92="C",CHAR(10) &amp; "// " &amp; E92,IF(C92="I","#define " &amp; E92 &amp; " " &amp; I92,IF(C92="P","#define " &amp; E92 &amp; " """ &amp; F92 &amp; """" &amp; CHAR(10) &amp; "#define DEFAULT_" &amp; E92 &amp; " " &amp; I92,IF(C92="S","","ERROR")))))</f>
        <v>#define V1MT_L001_SIGMA "SIM:V1MT_L001_sigma"
#define DEFAULT_V1MT_L001_SIGMA 2.0/3.0</v>
      </c>
      <c r="B92" s="23" t="str">
        <f>IF(C92="","",IF(C92="C","  // "&amp;E92,IF(C92="P",IF(D92="E","  Variables.",IF(D92="S","  Variables.","ERROR"))&amp;"SetSetting("&amp;E92&amp;", "&amp;G92&amp;", "&amp;H92&amp;");",IF(C92="S",
IF(L92=1,"  for (int i = 0; i &lt; "&amp;N92&amp;"; i++) {"&amp;CHAR(10)&amp;IF(D92="E","    Variables.",IF(D92="S","    Variables.","ERROR"))&amp;"SetSetting("&amp;M92&amp;" + "&amp;O92&amp;", "&amp;G92&amp;", "&amp;H92&amp;");"&amp;CHAR(10)&amp;"  }",
IF(L92=2,"  for (int i = 0; i &lt; "&amp;N92&amp;"; i++) {"&amp;CHAR(10)&amp;"    for (int j = 0; j &lt; "&amp;Q92&amp;"; j++) {"&amp;CHAR(10)&amp;IF(D92="E","      Variables.",IF(D92="S","      Variables.","ERROR"))&amp;"SetSetting("&amp;M92&amp;" + "&amp;O92&amp;" + "&amp;P92&amp;" + "&amp;R92&amp;", "&amp;G92&amp;", "&amp;H92&amp;");"&amp;CHAR(10)&amp;"    }"&amp;CHAR(10)&amp;"  }","ERROR")),""))))</f>
        <v xml:space="preserve">  Variables.SetSetting(V1MT_L001_SIGMA, Data_double, 1);</v>
      </c>
      <c r="C92" s="18" t="s">
        <v>163</v>
      </c>
      <c r="D92" s="18" t="s">
        <v>234</v>
      </c>
      <c r="E92" s="26" t="s">
        <v>231</v>
      </c>
      <c r="F92" s="25" t="s">
        <v>391</v>
      </c>
      <c r="G92" s="25" t="s">
        <v>179</v>
      </c>
      <c r="H92" s="25">
        <v>1</v>
      </c>
      <c r="I92" s="54" t="s">
        <v>284</v>
      </c>
      <c r="J92" s="55">
        <f t="shared" si="18"/>
        <v>1</v>
      </c>
    </row>
    <row r="93" spans="1:18" s="26" customFormat="1" ht="15" customHeight="1" x14ac:dyDescent="0.25">
      <c r="A93" s="23" t="str">
        <f t="shared" si="19"/>
        <v>#define V1MT_L001_MODULATION "SIM:V1MT_L001_modulation"
#define DEFAULT_V1MT_L001_MODULATION 5.33648681640625</v>
      </c>
      <c r="B93" s="23" t="str">
        <f t="shared" ref="B93:B134" si="20">IF(C93="","",IF(C93="C","  // "&amp;E93,IF(C93="P",IF(D93="E","  Variables.",IF(D93="S","  Variables.","ERROR"))&amp;"SetSetting("&amp;E93&amp;", "&amp;G93&amp;", "&amp;H93&amp;");",IF(C93="S",
IF(L93=1,"  for (int i = 0; i &lt; "&amp;N93&amp;"; i++) {"&amp;CHAR(10)&amp;IF(D93="E","    Variables.",IF(D93="S","    Variables.","ERROR"))&amp;"SetSetting("&amp;M93&amp;" + "&amp;O93&amp;", "&amp;G93&amp;", "&amp;H93&amp;");"&amp;CHAR(10)&amp;"  }",
IF(L93=2,"  for (int i = 0; i &lt; "&amp;N93&amp;"; i++) {"&amp;CHAR(10)&amp;"    for (int j = 0; j &lt; "&amp;Q93&amp;"; j++) {"&amp;CHAR(10)&amp;IF(D93="E","      Variables.",IF(D93="S","      Variables.","ERROR"))&amp;"SetSetting("&amp;M93&amp;" + "&amp;O93&amp;" + "&amp;P93&amp;" + "&amp;R93&amp;", "&amp;G93&amp;", "&amp;H93&amp;");"&amp;CHAR(10)&amp;"    }"&amp;CHAR(10)&amp;"  }","ERROR")),""))))</f>
        <v xml:space="preserve">  Variables.SetSetting(V1MT_L001_MODULATION, Data_double, 1);</v>
      </c>
      <c r="C93" s="18" t="s">
        <v>163</v>
      </c>
      <c r="D93" s="18" t="s">
        <v>234</v>
      </c>
      <c r="E93" s="26" t="s">
        <v>232</v>
      </c>
      <c r="F93" s="25" t="s">
        <v>390</v>
      </c>
      <c r="G93" s="25" t="s">
        <v>179</v>
      </c>
      <c r="H93" s="25">
        <v>1</v>
      </c>
      <c r="I93" s="56">
        <v>5.33648681640625</v>
      </c>
      <c r="J93" s="57">
        <f t="shared" si="18"/>
        <v>1</v>
      </c>
    </row>
    <row r="94" spans="1:18" s="45" customFormat="1" ht="15" customHeight="1" x14ac:dyDescent="0.25">
      <c r="A94" s="43" t="str">
        <f t="shared" si="19"/>
        <v xml:space="preserve">
// Defines</v>
      </c>
      <c r="B94" s="43" t="str">
        <f t="shared" si="20"/>
        <v xml:space="preserve">  // Defines</v>
      </c>
      <c r="C94" s="44" t="s">
        <v>149</v>
      </c>
      <c r="D94" s="44"/>
      <c r="E94" s="45" t="s">
        <v>315</v>
      </c>
      <c r="F94" s="46"/>
      <c r="G94" s="46"/>
      <c r="H94" s="46"/>
      <c r="I94" s="46"/>
      <c r="J94" s="44" t="str">
        <f t="shared" si="18"/>
        <v/>
      </c>
    </row>
    <row r="95" spans="1:18" s="22" customFormat="1" ht="15" customHeight="1" x14ac:dyDescent="0.25">
      <c r="A95" s="19" t="str">
        <f t="shared" si="19"/>
        <v xml:space="preserve">
// Simulator Defines</v>
      </c>
      <c r="B95" s="19" t="str">
        <f t="shared" si="20"/>
        <v xml:space="preserve">  // Simulator Defines</v>
      </c>
      <c r="C95" s="20" t="s">
        <v>149</v>
      </c>
      <c r="D95" s="20"/>
      <c r="E95" s="22" t="s">
        <v>195</v>
      </c>
      <c r="F95" s="21"/>
      <c r="G95" s="21"/>
      <c r="H95" s="21"/>
      <c r="I95" s="21"/>
      <c r="J95" s="20" t="str">
        <f t="shared" si="18"/>
        <v/>
      </c>
    </row>
    <row r="96" spans="1:18" ht="15" customHeight="1" x14ac:dyDescent="0.25">
      <c r="A96" s="17" t="str">
        <f t="shared" si="19"/>
        <v>#define SIMULATOR_TIME_STEP "SIM:simulator_time_step"
#define DEFAULT_SIMULATOR_TIME_STEP 0.005</v>
      </c>
      <c r="B96" s="23" t="str">
        <f t="shared" si="20"/>
        <v xml:space="preserve">  Variables.SetSetting(SIMULATOR_TIME_STEP, Data_double, 1);</v>
      </c>
      <c r="C96" s="1" t="s">
        <v>163</v>
      </c>
      <c r="D96" s="1" t="s">
        <v>234</v>
      </c>
      <c r="E96" s="26" t="s">
        <v>196</v>
      </c>
      <c r="F96" s="13" t="s">
        <v>420</v>
      </c>
      <c r="G96" s="13" t="s">
        <v>179</v>
      </c>
      <c r="H96" s="13">
        <v>1</v>
      </c>
      <c r="I96" s="13">
        <v>5.0000000000000001E-3</v>
      </c>
      <c r="J96" s="1">
        <f t="shared" si="18"/>
        <v>1</v>
      </c>
    </row>
    <row r="97" spans="1:10" s="26" customFormat="1" ht="15" customHeight="1" x14ac:dyDescent="0.25">
      <c r="A97" s="23" t="str">
        <f t="shared" si="19"/>
        <v>#define CALCULATE_ACTIVATION "activation"</v>
      </c>
      <c r="B97" s="23" t="str">
        <f t="shared" si="20"/>
        <v/>
      </c>
      <c r="C97" s="18" t="s">
        <v>137</v>
      </c>
      <c r="D97" s="18"/>
      <c r="E97" s="26" t="s">
        <v>319</v>
      </c>
      <c r="F97" s="25"/>
      <c r="G97" s="25"/>
      <c r="H97" s="25"/>
      <c r="I97" s="25" t="s">
        <v>321</v>
      </c>
      <c r="J97" s="18" t="str">
        <f t="shared" si="18"/>
        <v/>
      </c>
    </row>
    <row r="98" spans="1:10" s="26" customFormat="1" ht="15" customHeight="1" x14ac:dyDescent="0.25">
      <c r="A98" s="23" t="str">
        <f t="shared" si="19"/>
        <v>#define CALCULATE_DACTIVATION "dactivation"</v>
      </c>
      <c r="B98" s="23" t="str">
        <f t="shared" si="20"/>
        <v/>
      </c>
      <c r="C98" s="18" t="s">
        <v>137</v>
      </c>
      <c r="D98" s="18"/>
      <c r="E98" s="26" t="s">
        <v>320</v>
      </c>
      <c r="F98" s="25"/>
      <c r="G98" s="25"/>
      <c r="H98" s="25"/>
      <c r="I98" s="25" t="s">
        <v>322</v>
      </c>
      <c r="J98" s="18" t="str">
        <f t="shared" si="18"/>
        <v/>
      </c>
    </row>
    <row r="99" spans="1:10" s="22" customFormat="1" ht="15" customHeight="1" x14ac:dyDescent="0.25">
      <c r="A99" s="19" t="str">
        <f t="shared" si="19"/>
        <v xml:space="preserve">
// Interface Defines</v>
      </c>
      <c r="B99" s="19" t="str">
        <f t="shared" si="20"/>
        <v xml:space="preserve">  // Interface Defines</v>
      </c>
      <c r="C99" s="20" t="s">
        <v>149</v>
      </c>
      <c r="D99" s="20"/>
      <c r="E99" s="22" t="s">
        <v>197</v>
      </c>
      <c r="F99" s="21"/>
      <c r="G99" s="21"/>
      <c r="H99" s="21"/>
      <c r="I99" s="21"/>
      <c r="J99" s="20" t="str">
        <f t="shared" si="18"/>
        <v/>
      </c>
    </row>
    <row r="100" spans="1:10" s="26" customFormat="1" ht="15" customHeight="1" x14ac:dyDescent="0.25">
      <c r="A100" s="23" t="str">
        <f t="shared" si="19"/>
        <v>#define LABEL_DONE "DONE"</v>
      </c>
      <c r="B100" s="23" t="str">
        <f t="shared" si="20"/>
        <v/>
      </c>
      <c r="C100" s="18" t="s">
        <v>137</v>
      </c>
      <c r="D100" s="18"/>
      <c r="E100" s="26" t="s">
        <v>198</v>
      </c>
      <c r="F100" s="25"/>
      <c r="G100" s="25"/>
      <c r="H100" s="25"/>
      <c r="I100" s="25" t="s">
        <v>199</v>
      </c>
      <c r="J100" s="18" t="str">
        <f t="shared" si="18"/>
        <v/>
      </c>
    </row>
    <row r="101" spans="1:10" s="26" customFormat="1" ht="15" customHeight="1" x14ac:dyDescent="0.25">
      <c r="A101" s="23" t="str">
        <f t="shared" si="19"/>
        <v>#define LABEL_FAIL "FAIL"</v>
      </c>
      <c r="B101" s="23" t="str">
        <f t="shared" si="20"/>
        <v/>
      </c>
      <c r="C101" s="18" t="s">
        <v>137</v>
      </c>
      <c r="D101" s="18"/>
      <c r="E101" s="26" t="s">
        <v>225</v>
      </c>
      <c r="F101" s="25"/>
      <c r="G101" s="25"/>
      <c r="H101" s="25"/>
      <c r="I101" s="25" t="s">
        <v>200</v>
      </c>
      <c r="J101" s="18" t="str">
        <f t="shared" si="18"/>
        <v/>
      </c>
    </row>
    <row r="102" spans="1:10" ht="15" customHeight="1" x14ac:dyDescent="0.25">
      <c r="A102" s="17" t="str">
        <f t="shared" si="19"/>
        <v>#define LABEL_COMMENT_STRING "#"</v>
      </c>
      <c r="B102" s="23" t="str">
        <f t="shared" si="20"/>
        <v/>
      </c>
      <c r="C102" s="1" t="s">
        <v>137</v>
      </c>
      <c r="E102" t="s">
        <v>211</v>
      </c>
      <c r="I102" s="13" t="s">
        <v>214</v>
      </c>
      <c r="J102" s="1" t="str">
        <f t="shared" si="18"/>
        <v/>
      </c>
    </row>
    <row r="103" spans="1:10" ht="15" customHeight="1" x14ac:dyDescent="0.25">
      <c r="A103" s="17" t="str">
        <f t="shared" si="19"/>
        <v>#define LABEL_COMMENT_CHAR '#'</v>
      </c>
      <c r="B103" s="23" t="str">
        <f t="shared" si="20"/>
        <v/>
      </c>
      <c r="C103" s="1" t="s">
        <v>137</v>
      </c>
      <c r="E103" t="s">
        <v>212</v>
      </c>
      <c r="I103" s="13" t="s">
        <v>213</v>
      </c>
      <c r="J103" s="1" t="str">
        <f t="shared" si="18"/>
        <v/>
      </c>
    </row>
    <row r="104" spans="1:10" ht="15" customHeight="1" x14ac:dyDescent="0.25">
      <c r="A104" s="17" t="str">
        <f t="shared" ref="A104:A105" si="21">IF(C104="","",IF(C104="C",CHAR(10) &amp; "// " &amp; E104,IF(C104="I","#define " &amp; E104 &amp; " " &amp; I104,IF(C104="P","#define " &amp; E104 &amp; " """ &amp; F104 &amp; """" &amp; CHAR(10) &amp; "#define DEFAULT_" &amp; E104 &amp; " " &amp; I104,IF(C104="S","","ERROR")))))</f>
        <v>#define LABEL_REDIRECTION_STRING "&gt;"</v>
      </c>
      <c r="B104" s="23" t="str">
        <f t="shared" ref="B104:B105" si="22">IF(C104="","",IF(C104="C","  // "&amp;E104,IF(C104="P",IF(D104="E","  Variables.",IF(D104="S","  Variables.","ERROR"))&amp;"SetSetting("&amp;E104&amp;", "&amp;G104&amp;", "&amp;H104&amp;");",IF(C104="S",
IF(L104=1,"  for (int i = 0; i &lt; "&amp;N104&amp;"; i++) {"&amp;CHAR(10)&amp;IF(D104="E","    Variables.",IF(D104="S","    Variables.","ERROR"))&amp;"SetSetting("&amp;M104&amp;" + "&amp;O104&amp;", "&amp;G104&amp;", "&amp;H104&amp;");"&amp;CHAR(10)&amp;"  }",
IF(L104=2,"  for (int i = 0; i &lt; "&amp;N104&amp;"; i++) {"&amp;CHAR(10)&amp;"    for (int j = 0; j &lt; "&amp;Q104&amp;"; j++) {"&amp;CHAR(10)&amp;IF(D104="E","      Variables.",IF(D104="S","      Variables.","ERROR"))&amp;"SetSetting("&amp;M104&amp;" + "&amp;O104&amp;" + "&amp;P104&amp;" + "&amp;R104&amp;", "&amp;G104&amp;", "&amp;H104&amp;");"&amp;CHAR(10)&amp;"    }"&amp;CHAR(10)&amp;"  }","ERROR")),""))))</f>
        <v/>
      </c>
      <c r="C104" s="1" t="s">
        <v>137</v>
      </c>
      <c r="E104" t="s">
        <v>424</v>
      </c>
      <c r="I104" s="13" t="s">
        <v>426</v>
      </c>
    </row>
    <row r="105" spans="1:10" ht="15" customHeight="1" x14ac:dyDescent="0.25">
      <c r="A105" s="17" t="str">
        <f t="shared" si="21"/>
        <v>#define LABEL_REDIRECTION_CHAR '&gt;'</v>
      </c>
      <c r="B105" s="23" t="str">
        <f t="shared" si="22"/>
        <v/>
      </c>
      <c r="C105" s="1" t="s">
        <v>137</v>
      </c>
      <c r="E105" t="s">
        <v>425</v>
      </c>
      <c r="I105" s="29" t="s">
        <v>427</v>
      </c>
    </row>
    <row r="106" spans="1:10" ht="15" customHeight="1" x14ac:dyDescent="0.25">
      <c r="A106" s="17" t="str">
        <f t="shared" ref="A106" si="23">IF(C106="","",IF(C106="C",CHAR(10) &amp; "// " &amp; E106,IF(C106="I","#define " &amp; E106 &amp; " " &amp; I106,IF(C106="P","#define " &amp; E106 &amp; " """ &amp; F106 &amp; """" &amp; CHAR(10) &amp; "#define DEFAULT_" &amp; E106 &amp; " " &amp; I106,IF(C106="S","","ERROR")))))</f>
        <v>#define LABEL_INDENTATION_STRING "&gt;"</v>
      </c>
      <c r="B106" s="23" t="str">
        <f t="shared" ref="B106" si="24">IF(C106="","",IF(C106="C","  // "&amp;E106,IF(C106="P",IF(D106="E","  Variables.",IF(D106="S","  Variables.","ERROR"))&amp;"SetSetting("&amp;E106&amp;", "&amp;G106&amp;", "&amp;H106&amp;");",IF(C106="S",
IF(L106=1,"  for (int i = 0; i &lt; "&amp;N106&amp;"; i++) {"&amp;CHAR(10)&amp;IF(D106="E","    Variables.",IF(D106="S","    Variables.","ERROR"))&amp;"SetSetting("&amp;M106&amp;" + "&amp;O106&amp;", "&amp;G106&amp;", "&amp;H106&amp;");"&amp;CHAR(10)&amp;"  }",
IF(L106=2,"  for (int i = 0; i &lt; "&amp;N106&amp;"; i++) {"&amp;CHAR(10)&amp;"    for (int j = 0; j &lt; "&amp;Q106&amp;"; j++) {"&amp;CHAR(10)&amp;IF(D106="E","      Variables.",IF(D106="S","      Variables.","ERROR"))&amp;"SetSetting("&amp;M106&amp;" + "&amp;O106&amp;" + "&amp;P106&amp;" + "&amp;R106&amp;", "&amp;G106&amp;", "&amp;H106&amp;");"&amp;CHAR(10)&amp;"    }"&amp;CHAR(10)&amp;"  }","ERROR")),""))))</f>
        <v/>
      </c>
      <c r="C106" s="1" t="s">
        <v>137</v>
      </c>
      <c r="E106" t="s">
        <v>441</v>
      </c>
      <c r="I106" s="29" t="s">
        <v>426</v>
      </c>
    </row>
    <row r="107" spans="1:10" ht="15" customHeight="1" x14ac:dyDescent="0.25">
      <c r="A107" s="17" t="str">
        <f t="shared" ref="A107" si="25">IF(C107="","",IF(C107="C",CHAR(10) &amp; "// " &amp; E107,IF(C107="I","#define " &amp; E107 &amp; " " &amp; I107,IF(C107="P","#define " &amp; E107 &amp; " """ &amp; F107 &amp; """" &amp; CHAR(10) &amp; "#define DEFAULT_" &amp; E107 &amp; " " &amp; I107,IF(C107="S","","ERROR")))))</f>
        <v>#define LABEL_MESSAGE_STRING ": "</v>
      </c>
      <c r="B107" s="23" t="str">
        <f t="shared" ref="B107" si="26">IF(C107="","",IF(C107="C","  // "&amp;E107,IF(C107="P",IF(D107="E","  Variables.",IF(D107="S","  Variables.","ERROR"))&amp;"SetSetting("&amp;E107&amp;", "&amp;G107&amp;", "&amp;H107&amp;");",IF(C107="S",
IF(L107=1,"  for (int i = 0; i &lt; "&amp;N107&amp;"; i++) {"&amp;CHAR(10)&amp;IF(D107="E","    Variables.",IF(D107="S","    Variables.","ERROR"))&amp;"SetSetting("&amp;M107&amp;" + "&amp;O107&amp;", "&amp;G107&amp;", "&amp;H107&amp;");"&amp;CHAR(10)&amp;"  }",
IF(L107=2,"  for (int i = 0; i &lt; "&amp;N107&amp;"; i++) {"&amp;CHAR(10)&amp;"    for (int j = 0; j &lt; "&amp;Q107&amp;"; j++) {"&amp;CHAR(10)&amp;IF(D107="E","      Variables.",IF(D107="S","      Variables.","ERROR"))&amp;"SetSetting("&amp;M107&amp;" + "&amp;O107&amp;" + "&amp;P107&amp;" + "&amp;R107&amp;", "&amp;G107&amp;", "&amp;H107&amp;");"&amp;CHAR(10)&amp;"    }"&amp;CHAR(10)&amp;"  }","ERROR")),""))))</f>
        <v/>
      </c>
      <c r="C107" s="1" t="s">
        <v>137</v>
      </c>
      <c r="E107" t="s">
        <v>442</v>
      </c>
      <c r="I107" s="29" t="s">
        <v>443</v>
      </c>
    </row>
    <row r="108" spans="1:10" s="22" customFormat="1" ht="15" customHeight="1" x14ac:dyDescent="0.25">
      <c r="A108" s="19" t="str">
        <f t="shared" ref="A108" si="27">IF(C108="","",IF(C108="C",CHAR(10) &amp; "// " &amp; E108,IF(C108="I","#define " &amp; E108 &amp; " " &amp; I108,IF(C108="P","#define " &amp; E108 &amp; " """ &amp; F108 &amp; """" &amp; CHAR(10) &amp; "#define DEFAULT_" &amp; E108 &amp; " " &amp; I108,IF(C108="S","","ERROR")))))</f>
        <v xml:space="preserve">
// Variable management calls</v>
      </c>
      <c r="B108" s="19" t="str">
        <f t="shared" si="20"/>
        <v xml:space="preserve">  // Variable management calls</v>
      </c>
      <c r="C108" s="20" t="s">
        <v>149</v>
      </c>
      <c r="D108" s="20"/>
      <c r="E108" s="22" t="s">
        <v>371</v>
      </c>
      <c r="F108" s="21"/>
      <c r="G108" s="21"/>
      <c r="H108" s="21"/>
      <c r="I108" s="21"/>
      <c r="J108" s="20" t="str">
        <f t="shared" ref="J108:J110" si="28">IF(OR(C108="P",C108="S"),IF(L108="",1,IF(L108=1,N108,IF(L108=2,N108&amp;" * "&amp;Q108,"ERROR"))),"")</f>
        <v/>
      </c>
    </row>
    <row r="109" spans="1:10" ht="15" customHeight="1" x14ac:dyDescent="0.25">
      <c r="A109" s="17" t="str">
        <f t="shared" si="19"/>
        <v>#define LABEL_VARIABLE_MANAGEMENT "varman"</v>
      </c>
      <c r="B109" s="23" t="str">
        <f t="shared" si="20"/>
        <v/>
      </c>
      <c r="C109" s="1" t="s">
        <v>137</v>
      </c>
      <c r="E109" t="s">
        <v>370</v>
      </c>
      <c r="I109" s="13" t="s">
        <v>374</v>
      </c>
      <c r="J109" s="1" t="str">
        <f t="shared" si="28"/>
        <v/>
      </c>
    </row>
    <row r="110" spans="1:10" ht="15" customHeight="1" x14ac:dyDescent="0.25">
      <c r="A110" s="17" t="str">
        <f t="shared" si="19"/>
        <v>#define VARMAN_SET "set"</v>
      </c>
      <c r="B110" s="23" t="str">
        <f t="shared" si="20"/>
        <v/>
      </c>
      <c r="C110" s="1" t="s">
        <v>137</v>
      </c>
      <c r="E110" t="s">
        <v>372</v>
      </c>
      <c r="I110" s="13" t="s">
        <v>373</v>
      </c>
      <c r="J110" s="1" t="str">
        <f t="shared" si="28"/>
        <v/>
      </c>
    </row>
    <row r="111" spans="1:10" ht="15" customHeight="1" x14ac:dyDescent="0.25">
      <c r="A111" s="17" t="str">
        <f t="shared" ref="A111" si="29">IF(C111="","",IF(C111="C",CHAR(10) &amp; "// " &amp; E111,IF(C111="I","#define " &amp; E111 &amp; " " &amp; I111,IF(C111="P","#define " &amp; E111 &amp; " """ &amp; F111 &amp; """" &amp; CHAR(10) &amp; "#define DEFAULT_" &amp; E111 &amp; " " &amp; I111,IF(C111="S","","ERROR")))))</f>
        <v>#define VARMAN_PRINT "print"</v>
      </c>
      <c r="B111" s="23" t="str">
        <f t="shared" si="20"/>
        <v/>
      </c>
      <c r="C111" s="1" t="s">
        <v>137</v>
      </c>
      <c r="E111" t="s">
        <v>386</v>
      </c>
      <c r="I111" s="13" t="s">
        <v>388</v>
      </c>
    </row>
    <row r="112" spans="1:10" s="22" customFormat="1" ht="15" customHeight="1" x14ac:dyDescent="0.25">
      <c r="A112" s="19" t="str">
        <f t="shared" si="19"/>
        <v xml:space="preserve">
// Run Simulation Calls</v>
      </c>
      <c r="B112" s="19" t="str">
        <f t="shared" si="20"/>
        <v xml:space="preserve">  // Run Simulation Calls</v>
      </c>
      <c r="C112" s="20" t="s">
        <v>149</v>
      </c>
      <c r="D112" s="20"/>
      <c r="E112" s="22" t="s">
        <v>215</v>
      </c>
      <c r="F112" s="21"/>
      <c r="G112" s="21"/>
      <c r="H112" s="21"/>
      <c r="I112" s="21"/>
      <c r="J112" s="20" t="str">
        <f t="shared" si="18"/>
        <v/>
      </c>
    </row>
    <row r="113" spans="1:10" ht="15" customHeight="1" x14ac:dyDescent="0.25">
      <c r="A113" s="17" t="str">
        <f t="shared" si="19"/>
        <v>#define LABEL_RUN_SIMULATION "runsim"</v>
      </c>
      <c r="B113" s="23" t="str">
        <f t="shared" si="20"/>
        <v/>
      </c>
      <c r="C113" s="1" t="s">
        <v>137</v>
      </c>
      <c r="E113" t="s">
        <v>203</v>
      </c>
      <c r="I113" s="13" t="s">
        <v>208</v>
      </c>
      <c r="J113" s="1" t="str">
        <f t="shared" si="18"/>
        <v/>
      </c>
    </row>
    <row r="114" spans="1:10" ht="15" customHeight="1" x14ac:dyDescent="0.25">
      <c r="A114" s="17" t="str">
        <f t="shared" si="19"/>
        <v>#define RUNSIM_SS_INITIALIZE "ss_initialize"</v>
      </c>
      <c r="B114" s="23" t="str">
        <f t="shared" si="20"/>
        <v/>
      </c>
      <c r="C114" s="1" t="s">
        <v>137</v>
      </c>
      <c r="E114" t="s">
        <v>376</v>
      </c>
      <c r="I114" s="13" t="s">
        <v>269</v>
      </c>
      <c r="J114" s="1" t="str">
        <f t="shared" si="18"/>
        <v/>
      </c>
    </row>
    <row r="115" spans="1:10" ht="15" customHeight="1" x14ac:dyDescent="0.25">
      <c r="A115" s="17" t="str">
        <f t="shared" si="19"/>
        <v>#define RUNSIM_SS_ADD_V1_DIFFUSION "ss_add_V1_diffusion"</v>
      </c>
      <c r="B115" s="23" t="str">
        <f t="shared" si="20"/>
        <v/>
      </c>
      <c r="C115" s="1" t="s">
        <v>137</v>
      </c>
      <c r="E115" t="s">
        <v>377</v>
      </c>
      <c r="I115" s="13" t="s">
        <v>270</v>
      </c>
      <c r="J115" s="1" t="str">
        <f t="shared" si="18"/>
        <v/>
      </c>
    </row>
    <row r="116" spans="1:10" ht="15" customHeight="1" x14ac:dyDescent="0.25">
      <c r="A116" s="17" t="str">
        <f t="shared" si="19"/>
        <v>#define RUNSIM_SS_SIMULATE "ss_simulate"</v>
      </c>
      <c r="B116" s="23" t="str">
        <f t="shared" si="20"/>
        <v/>
      </c>
      <c r="C116" s="1" t="s">
        <v>137</v>
      </c>
      <c r="E116" t="s">
        <v>378</v>
      </c>
      <c r="I116" s="13" t="s">
        <v>271</v>
      </c>
      <c r="J116" s="1" t="str">
        <f t="shared" si="18"/>
        <v/>
      </c>
    </row>
    <row r="117" spans="1:10" s="22" customFormat="1" ht="15" customHeight="1" x14ac:dyDescent="0.25">
      <c r="A117" s="19" t="str">
        <f t="shared" si="19"/>
        <v xml:space="preserve">
// Reporting Calls</v>
      </c>
      <c r="B117" s="19" t="str">
        <f t="shared" si="20"/>
        <v xml:space="preserve">  // Reporting Calls</v>
      </c>
      <c r="C117" s="20" t="s">
        <v>149</v>
      </c>
      <c r="D117" s="20"/>
      <c r="E117" s="22" t="s">
        <v>216</v>
      </c>
      <c r="F117" s="21"/>
      <c r="G117" s="21"/>
      <c r="H117" s="21"/>
      <c r="I117" s="21"/>
      <c r="J117" s="20" t="str">
        <f t="shared" si="18"/>
        <v/>
      </c>
    </row>
    <row r="118" spans="1:10" ht="15" customHeight="1" x14ac:dyDescent="0.25">
      <c r="A118" s="17" t="str">
        <f t="shared" si="19"/>
        <v>#define LABEL_REPORTING "report"</v>
      </c>
      <c r="B118" s="23" t="str">
        <f t="shared" si="20"/>
        <v/>
      </c>
      <c r="C118" s="1" t="s">
        <v>137</v>
      </c>
      <c r="E118" t="s">
        <v>204</v>
      </c>
      <c r="I118" s="13" t="s">
        <v>209</v>
      </c>
      <c r="J118" s="1" t="str">
        <f t="shared" si="18"/>
        <v/>
      </c>
    </row>
    <row r="119" spans="1:10" ht="15" customHeight="1" x14ac:dyDescent="0.25">
      <c r="A119" s="17" t="str">
        <f t="shared" si="19"/>
        <v>#define REPORT_SS_PRINT_V1_ACTIVATION "ss_print_V1_activation"</v>
      </c>
      <c r="B119" s="23" t="str">
        <f t="shared" si="20"/>
        <v/>
      </c>
      <c r="C119" s="1" t="s">
        <v>137</v>
      </c>
      <c r="E119" t="s">
        <v>381</v>
      </c>
      <c r="I119" s="13" t="s">
        <v>274</v>
      </c>
      <c r="J119" s="1" t="str">
        <f t="shared" si="18"/>
        <v/>
      </c>
    </row>
    <row r="120" spans="1:10" ht="15" customHeight="1" x14ac:dyDescent="0.25">
      <c r="A120" s="17" t="str">
        <f t="shared" si="19"/>
        <v>#define REPORT_SS_PRINT_V1_ACTIVATION_HORIZONTAL "ss_print_V1_activation_horizontal"</v>
      </c>
      <c r="B120" s="23" t="str">
        <f t="shared" si="20"/>
        <v/>
      </c>
      <c r="C120" s="1" t="s">
        <v>137</v>
      </c>
      <c r="E120" t="s">
        <v>382</v>
      </c>
      <c r="I120" s="13" t="s">
        <v>275</v>
      </c>
      <c r="J120" s="1" t="str">
        <f t="shared" si="18"/>
        <v/>
      </c>
    </row>
    <row r="121" spans="1:10" ht="15" customHeight="1" x14ac:dyDescent="0.25">
      <c r="A121" s="17" t="str">
        <f t="shared" si="19"/>
        <v>#define REPORT_SS_PRINT_V1_EXTERNAL_EXCITATION "ss_print_V1_external_excitation"</v>
      </c>
      <c r="B121" s="23" t="str">
        <f t="shared" si="20"/>
        <v/>
      </c>
      <c r="C121" s="1" t="s">
        <v>137</v>
      </c>
      <c r="E121" t="s">
        <v>383</v>
      </c>
      <c r="I121" s="13" t="s">
        <v>276</v>
      </c>
      <c r="J121" s="1" t="str">
        <f t="shared" ref="J121:J132" si="30">IF(OR(C121="P",C121="S"),IF(L121="",1,IF(L121=1,N121,IF(L121=2,N121&amp;" * "&amp;Q121,"ERROR"))),"")</f>
        <v/>
      </c>
    </row>
    <row r="122" spans="1:10" ht="15" customHeight="1" x14ac:dyDescent="0.25">
      <c r="A122" s="17" t="str">
        <f t="shared" si="19"/>
        <v>#define REPORT_SS_PRINT_MT_ACTIVATION "ss_print_MT_activation"</v>
      </c>
      <c r="B122" s="23" t="str">
        <f t="shared" si="20"/>
        <v/>
      </c>
      <c r="C122" s="1" t="s">
        <v>137</v>
      </c>
      <c r="E122" t="s">
        <v>384</v>
      </c>
      <c r="I122" s="13" t="s">
        <v>277</v>
      </c>
      <c r="J122" s="1" t="str">
        <f t="shared" si="30"/>
        <v/>
      </c>
    </row>
    <row r="123" spans="1:10" ht="15" customHeight="1" x14ac:dyDescent="0.25">
      <c r="A123" s="17" t="str">
        <f t="shared" si="19"/>
        <v>#define REPORT_SS_PRINT_MT_ACTIVATION_HORIZONTAL "ss_print_MT_activation_horizontal"</v>
      </c>
      <c r="B123" s="23" t="str">
        <f t="shared" si="20"/>
        <v/>
      </c>
      <c r="C123" s="1" t="s">
        <v>137</v>
      </c>
      <c r="E123" t="s">
        <v>385</v>
      </c>
      <c r="I123" s="13" t="s">
        <v>278</v>
      </c>
      <c r="J123" s="1" t="str">
        <f t="shared" si="30"/>
        <v/>
      </c>
    </row>
    <row r="124" spans="1:10" s="22" customFormat="1" ht="15" customHeight="1" x14ac:dyDescent="0.25">
      <c r="A124" s="19" t="str">
        <f t="shared" si="19"/>
        <v xml:space="preserve">
// IO Interaction Calls</v>
      </c>
      <c r="B124" s="19" t="str">
        <f t="shared" si="20"/>
        <v xml:space="preserve">  // IO Interaction Calls</v>
      </c>
      <c r="C124" s="20" t="s">
        <v>149</v>
      </c>
      <c r="D124" s="20"/>
      <c r="E124" s="22" t="s">
        <v>219</v>
      </c>
      <c r="F124" s="21"/>
      <c r="G124" s="21"/>
      <c r="H124" s="21"/>
      <c r="I124" s="21"/>
      <c r="J124" s="20" t="str">
        <f t="shared" si="30"/>
        <v/>
      </c>
    </row>
    <row r="125" spans="1:10" ht="15" customHeight="1" x14ac:dyDescent="0.25">
      <c r="A125" s="17" t="str">
        <f t="shared" si="19"/>
        <v>#define LABEL_IO_INTERACTIONS "rescue"</v>
      </c>
      <c r="B125" s="23" t="str">
        <f t="shared" si="20"/>
        <v/>
      </c>
      <c r="C125" s="1" t="s">
        <v>137</v>
      </c>
      <c r="E125" t="s">
        <v>205</v>
      </c>
      <c r="I125" s="13" t="s">
        <v>210</v>
      </c>
      <c r="J125" s="1" t="str">
        <f t="shared" si="30"/>
        <v/>
      </c>
    </row>
    <row r="126" spans="1:10" ht="15" customHeight="1" x14ac:dyDescent="0.25">
      <c r="A126" s="17" t="str">
        <f t="shared" si="19"/>
        <v>#define RESCUE_NPROC "nproc"</v>
      </c>
      <c r="B126" s="23" t="str">
        <f t="shared" si="20"/>
        <v/>
      </c>
      <c r="C126" s="1" t="s">
        <v>137</v>
      </c>
      <c r="E126" t="s">
        <v>389</v>
      </c>
      <c r="I126" s="13" t="s">
        <v>279</v>
      </c>
      <c r="J126" s="1" t="str">
        <f t="shared" si="30"/>
        <v/>
      </c>
    </row>
    <row r="127" spans="1:10" ht="15" customHeight="1" x14ac:dyDescent="0.25">
      <c r="A127" s="17" t="str">
        <f t="shared" ref="A127" si="31">IF(C127="","",IF(C127="C",CHAR(10) &amp; "// " &amp; E127,IF(C127="I","#define " &amp; E127 &amp; " " &amp; I127,IF(C127="P","#define " &amp; E127 &amp; " """ &amp; F127 &amp; """" &amp; CHAR(10) &amp; "#define DEFAULT_" &amp; E127 &amp; " " &amp; I127,IF(C127="S","","ERROR")))))</f>
        <v>#define RESCUE_RETURN "return"</v>
      </c>
      <c r="B127" s="23" t="str">
        <f t="shared" ref="B127" si="32">IF(C127="","",IF(C127="C","  // "&amp;E127,IF(C127="P",IF(D127="E","  Variables.",IF(D127="S","  Variables.","ERROR"))&amp;"SetSetting("&amp;E127&amp;", "&amp;G127&amp;", "&amp;H127&amp;");",IF(C127="S",
IF(L127=1,"  for (int i = 0; i &lt; "&amp;N127&amp;"; i++) {"&amp;CHAR(10)&amp;IF(D127="E","    Variables.",IF(D127="S","    Variables.","ERROR"))&amp;"SetSetting("&amp;M127&amp;" + "&amp;O127&amp;", "&amp;G127&amp;", "&amp;H127&amp;");"&amp;CHAR(10)&amp;"  }",
IF(L127=2,"  for (int i = 0; i &lt; "&amp;N127&amp;"; i++) {"&amp;CHAR(10)&amp;"    for (int j = 0; j &lt; "&amp;Q127&amp;"; j++) {"&amp;CHAR(10)&amp;IF(D127="E","      Variables.",IF(D127="S","      Variables.","ERROR"))&amp;"SetSetting("&amp;M127&amp;" + "&amp;O127&amp;" + "&amp;P127&amp;" + "&amp;R127&amp;", "&amp;G127&amp;", "&amp;H127&amp;");"&amp;CHAR(10)&amp;"    }"&amp;CHAR(10)&amp;"  }","ERROR")),""))))</f>
        <v/>
      </c>
      <c r="C127" s="1" t="s">
        <v>137</v>
      </c>
      <c r="E127" t="s">
        <v>438</v>
      </c>
      <c r="I127" s="13" t="s">
        <v>440</v>
      </c>
    </row>
    <row r="128" spans="1:10" s="41" customFormat="1" ht="15" customHeight="1" x14ac:dyDescent="0.25">
      <c r="A128" s="39"/>
      <c r="B128" s="33" t="str">
        <f t="shared" si="20"/>
        <v/>
      </c>
      <c r="C128" s="40"/>
      <c r="D128" s="40"/>
      <c r="E128" s="41" t="s">
        <v>267</v>
      </c>
      <c r="F128" s="42"/>
      <c r="G128" s="42"/>
      <c r="H128" s="42"/>
      <c r="I128" s="42"/>
      <c r="J128" s="40" t="str">
        <f t="shared" si="30"/>
        <v/>
      </c>
    </row>
    <row r="129" spans="1:11" ht="15" customHeight="1" x14ac:dyDescent="0.25">
      <c r="A129" s="17" t="str">
        <f>IF(C129="","",IF(C129="C",CHAR(10) &amp; "// " &amp; E129,IF(C129="I","#define " &amp; E129 &amp; " " &amp; I129,IF(C129="P","#define " &amp; E129 &amp; " """ &amp; F129 &amp; """" &amp; CHAR(10) &amp; "#define DEFAULT_" &amp; E129 &amp; " " &amp; I129,IF(C129="S","","ERROR")))))</f>
        <v>#define NPROC_SILENT "Nproc_Silent"</v>
      </c>
      <c r="B129" s="23" t="str">
        <f t="shared" si="20"/>
        <v/>
      </c>
      <c r="C129" s="1" t="s">
        <v>137</v>
      </c>
      <c r="E129" t="s">
        <v>220</v>
      </c>
      <c r="I129" s="13" t="s">
        <v>221</v>
      </c>
      <c r="J129" s="1" t="str">
        <f t="shared" si="30"/>
        <v/>
      </c>
    </row>
    <row r="130" spans="1:11" s="26" customFormat="1" ht="15" customHeight="1" x14ac:dyDescent="0.25">
      <c r="A130" s="23" t="str">
        <f>IF(C130="","",IF(C130="C",CHAR(10) &amp; "// " &amp; E130,IF(C130="I","#define " &amp; E130 &amp; " " &amp; I130,IF(C130="P","#define " &amp; E130 &amp; " """ &amp; F130 &amp; """" &amp; CHAR(10) &amp; "#define DEFAULT_" &amp; E130 &amp; " " &amp; I130,IF(C130="S","","ERROR")))))</f>
        <v>#define HASH_SIZE 2097152</v>
      </c>
      <c r="B130" s="23" t="str">
        <f t="shared" si="20"/>
        <v/>
      </c>
      <c r="C130" s="18" t="s">
        <v>137</v>
      </c>
      <c r="D130" s="18"/>
      <c r="E130" s="26" t="s">
        <v>153</v>
      </c>
      <c r="F130" s="25"/>
      <c r="G130" s="25"/>
      <c r="H130" s="25"/>
      <c r="I130" s="25">
        <v>2097152</v>
      </c>
      <c r="J130" s="18" t="str">
        <f t="shared" si="30"/>
        <v/>
      </c>
      <c r="K130" s="26" t="s">
        <v>247</v>
      </c>
    </row>
    <row r="131" spans="1:11" ht="15" customHeight="1" x14ac:dyDescent="0.25">
      <c r="A131" s="17" t="str">
        <f t="shared" ref="A131:A132" si="33">IF(C131="","",IF(C131="C",CHAR(10) &amp; "// " &amp; E131,IF(C131="I","#define " &amp; E131 &amp; " " &amp; I131,IF(C131="P","#define " &amp; E131 &amp; " """ &amp; F131 &amp; """" &amp; CHAR(10) &amp; "#define DEFAULT_" &amp; E131 &amp; " " &amp; I131,IF(C131="S","","ERROR")))))</f>
        <v>#define LABEL_ENVIRONMENT_SETTINGS "setenv"</v>
      </c>
      <c r="B131" s="23" t="str">
        <f t="shared" si="20"/>
        <v/>
      </c>
      <c r="C131" s="1" t="s">
        <v>137</v>
      </c>
      <c r="E131" t="s">
        <v>201</v>
      </c>
      <c r="I131" s="13" t="s">
        <v>206</v>
      </c>
      <c r="J131" s="1" t="str">
        <f t="shared" si="30"/>
        <v/>
      </c>
    </row>
    <row r="132" spans="1:11" ht="15" customHeight="1" x14ac:dyDescent="0.25">
      <c r="A132" s="17" t="str">
        <f t="shared" si="33"/>
        <v>#define LABEL_SIMULATOR_SETTINGS "setsim"</v>
      </c>
      <c r="B132" s="23" t="str">
        <f t="shared" si="20"/>
        <v/>
      </c>
      <c r="C132" s="1" t="s">
        <v>137</v>
      </c>
      <c r="E132" t="s">
        <v>202</v>
      </c>
      <c r="I132" s="13" t="s">
        <v>207</v>
      </c>
      <c r="J132" s="1" t="str">
        <f t="shared" si="30"/>
        <v/>
      </c>
    </row>
    <row r="133" spans="1:11" ht="15" customHeight="1" x14ac:dyDescent="0.25">
      <c r="A133" s="17" t="str">
        <f>IF(C133="","",IF(C133="C",CHAR(10) &amp; "// " &amp; E133,IF(C133="I","#define " &amp; E133 &amp; " " &amp; I133,IF(C133="P","#define " &amp; E133 &amp; " """ &amp; F133 &amp; """" &amp; CHAR(10) &amp; "#define DEFAULT_" &amp; E133 &amp; " " &amp; I133,IF(C133="S","","ERROR")))))</f>
        <v>#define PRINT_ENV "print_env"</v>
      </c>
      <c r="B133" s="23" t="str">
        <f t="shared" si="20"/>
        <v/>
      </c>
      <c r="C133" s="1" t="s">
        <v>137</v>
      </c>
      <c r="E133" t="s">
        <v>217</v>
      </c>
      <c r="I133" s="13" t="s">
        <v>272</v>
      </c>
      <c r="J133" s="1" t="str">
        <f>IF(OR(C133="P",C133="S"),IF(L133="",1,IF(L133=1,N133,IF(L133=2,N133&amp;" * "&amp;Q133,"ERROR"))),"")</f>
        <v/>
      </c>
    </row>
    <row r="134" spans="1:11" ht="15" customHeight="1" x14ac:dyDescent="0.25">
      <c r="A134" s="17" t="str">
        <f>IF(C134="","",IF(C134="C",CHAR(10) &amp; "// " &amp; E134,IF(C134="I","#define " &amp; E134 &amp; " " &amp; I134,IF(C134="P","#define " &amp; E134 &amp; " """ &amp; F134 &amp; """" &amp; CHAR(10) &amp; "#define DEFAULT_" &amp; E134 &amp; " " &amp; I134,IF(C134="S","","ERROR")))))</f>
        <v>#define PRINT_SIM "print_sim"</v>
      </c>
      <c r="B134" s="23" t="str">
        <f t="shared" si="20"/>
        <v/>
      </c>
      <c r="C134" s="1" t="s">
        <v>137</v>
      </c>
      <c r="E134" t="s">
        <v>218</v>
      </c>
      <c r="I134" s="13" t="s">
        <v>273</v>
      </c>
      <c r="J134" s="1" t="str">
        <f>IF(OR(C134="P",C134="S"),IF(L134="",1,IF(L134=1,N134,IF(L134=2,N134&amp;" * "&amp;Q134,"ERROR"))),"")</f>
        <v/>
      </c>
    </row>
    <row r="135" spans="1:11" ht="15" customHeight="1" x14ac:dyDescent="0.25">
      <c r="A135" s="17" t="str">
        <f>IF(C135="","",IF(C135="C",CHAR(10) &amp; "// " &amp; E135,IF(C135="I","#define " &amp; E135 &amp; " " &amp; I135,IF(C135="P","#define " &amp; E135 &amp; " """ &amp; F135 &amp; """" &amp; CHAR(10) &amp; "#define DEFAULT_" &amp; E135 &amp; " " &amp; I135,IF(C135="S","","ERROR")))))</f>
        <v>#define NEURONS_NAME_SIZE 6</v>
      </c>
      <c r="B135" s="23" t="str">
        <f>IF(C135="","",IF(C135="C","  // "&amp;E135,IF(C135="P",IF(D135="E","  Variables.",IF(D135="S","  Variables.","ERROR"))&amp;"SetSetting("&amp;E135&amp;", "&amp;G135&amp;", "&amp;H135&amp;");",IF(C135="S",
IF(L135=1,"  for (int i = 0; i &lt; "&amp;N135&amp;"; i++) {"&amp;CHAR(10)&amp;IF(D135="E","    Variables.",IF(D135="S","    Variables.","ERROR"))&amp;"SetSetting("&amp;M135&amp;" + "&amp;O135&amp;", "&amp;G135&amp;", "&amp;H135&amp;");"&amp;CHAR(10)&amp;"  }",
IF(L135=2,"  for (int i = 0; i &lt; "&amp;N135&amp;"; i++) {"&amp;CHAR(10)&amp;"    for (int j = 0; j &lt; "&amp;Q135&amp;"; j++) {"&amp;CHAR(10)&amp;IF(D135="E","      Variables.",IF(D135="S","      Variables.","ERROR"))&amp;"SetSetting("&amp;M135&amp;" + "&amp;O135&amp;" + "&amp;P135&amp;" + "&amp;R135&amp;", "&amp;G135&amp;", "&amp;H135&amp;");"&amp;CHAR(10)&amp;"    }"&amp;CHAR(10)&amp;"  }","ERROR")),""))))</f>
        <v/>
      </c>
      <c r="C135" s="1" t="s">
        <v>137</v>
      </c>
      <c r="E135" s="28" t="s">
        <v>240</v>
      </c>
      <c r="I135" s="13">
        <v>6</v>
      </c>
      <c r="J135" s="1" t="str">
        <f>IF(OR(C135="P",C135="S"),IF(L135="",1,IF(L135=1,N135,IF(L135=2,N135&amp;" * "&amp;Q135,"ERROR"))),"")</f>
        <v/>
      </c>
      <c r="K135" t="s">
        <v>169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LogManager.Initialize</vt:lpstr>
      <vt:lpstr>InterpreterManager.Initialize</vt:lpstr>
      <vt:lpstr>define.Initialize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Lothar</dc:creator>
  <cp:lastModifiedBy>Lothar</cp:lastModifiedBy>
  <dcterms:created xsi:type="dcterms:W3CDTF">2015-02-14T01:58:55Z</dcterms:created>
  <dcterms:modified xsi:type="dcterms:W3CDTF">2015-04-07T16:25:16Z</dcterms:modified>
</cp:coreProperties>
</file>