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35" yWindow="3135" windowWidth="22995" windowHeight="9525" tabRatio="904"/>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s>
  <functionGroups builtInGroupCount="17"/>
  <calcPr calcId="145621"/>
</workbook>
</file>

<file path=xl/calcChain.xml><?xml version="1.0" encoding="utf-8"?>
<calcChain xmlns="http://schemas.openxmlformats.org/spreadsheetml/2006/main">
  <c r="B15" i="7" l="1"/>
  <c r="B10" i="7" l="1"/>
  <c r="B17" i="7"/>
  <c r="B16" i="7"/>
  <c r="B13" i="7"/>
  <c r="B14" i="7"/>
  <c r="B12" i="7"/>
  <c r="B11" i="7"/>
  <c r="A1" i="3"/>
  <c r="B1" i="3"/>
  <c r="J1" i="3"/>
  <c r="A2" i="3"/>
  <c r="B2" i="3"/>
  <c r="J2" i="3"/>
  <c r="A3" i="3"/>
  <c r="B3" i="3"/>
  <c r="J3" i="3"/>
  <c r="A4" i="3"/>
  <c r="B4" i="3"/>
  <c r="J4" i="3"/>
  <c r="A5" i="3"/>
  <c r="B5" i="3"/>
  <c r="J5" i="3"/>
  <c r="A6" i="3"/>
  <c r="B6" i="3"/>
  <c r="J6" i="3"/>
  <c r="A7" i="3"/>
  <c r="B7" i="3"/>
  <c r="A8" i="3"/>
  <c r="B8" i="3"/>
  <c r="J8" i="3"/>
  <c r="A9" i="3"/>
  <c r="B9" i="3"/>
  <c r="I9" i="3"/>
  <c r="B10" i="3"/>
  <c r="I10" i="3"/>
  <c r="A10" i="3" s="1"/>
  <c r="J10" i="3"/>
  <c r="B11" i="3"/>
  <c r="I11" i="3"/>
  <c r="A11" i="3" s="1"/>
  <c r="J11" i="3"/>
  <c r="B12" i="3"/>
  <c r="J12" i="3"/>
  <c r="B13" i="3"/>
  <c r="B19" i="7"/>
  <c r="B18" i="7"/>
  <c r="I13" i="3"/>
  <c r="A13" i="3" l="1"/>
  <c r="B14" i="3"/>
  <c r="B15" i="3"/>
  <c r="B16" i="3"/>
  <c r="B17" i="3"/>
  <c r="I17" i="3"/>
  <c r="A17" i="3" l="1"/>
  <c r="B18" i="3"/>
  <c r="I18" i="3"/>
  <c r="A18" i="3" l="1"/>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I16" i="3"/>
  <c r="A16" i="3" l="1"/>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I15" i="3"/>
  <c r="I14" i="3"/>
  <c r="I12" i="3"/>
  <c r="A15" i="3" l="1"/>
  <c r="A12" i="3"/>
  <c r="A14" i="3"/>
  <c r="A107" i="3" l="1"/>
  <c r="B107" i="3"/>
  <c r="A106" i="3"/>
  <c r="B106" i="3"/>
  <c r="A127" i="3"/>
  <c r="B127" i="3"/>
  <c r="B105" i="3" l="1"/>
  <c r="A105" i="3"/>
  <c r="B104" i="3"/>
  <c r="A104" i="3"/>
  <c r="B135" i="3" l="1"/>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l="1"/>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l="1"/>
  <c r="A97" i="3"/>
  <c r="A94" i="3"/>
  <c r="A88" i="3"/>
  <c r="A86" i="3"/>
  <c r="A84" i="3"/>
  <c r="A79" i="3"/>
  <c r="A77" i="3"/>
  <c r="A76" i="3"/>
  <c r="A74" i="3"/>
  <c r="A75" i="3"/>
  <c r="A80" i="3"/>
  <c r="A73" i="3"/>
  <c r="A72" i="3"/>
  <c r="A71" i="3"/>
  <c r="A70" i="3"/>
  <c r="A60" i="3"/>
  <c r="A27" i="3"/>
  <c r="A51" i="3"/>
  <c r="A50" i="3"/>
  <c r="A44" i="3"/>
  <c r="A43" i="3"/>
  <c r="A37" i="3"/>
  <c r="A36" i="3"/>
  <c r="A62" i="3" l="1"/>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sharedStrings.xml><?xml version="1.0" encoding="utf-8"?>
<sst xmlns="http://schemas.openxmlformats.org/spreadsheetml/2006/main" count="1301" uniqueCount="508">
  <si>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</si>
  <si>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</si>
  <si>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</si>
  <si>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</si>
  <si>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</si>
  <si>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</si>
  <si>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</si>
  <si>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</si>
  <si>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</si>
  <si>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</si>
  <si>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</si>
  <si>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</si>
  <si>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</si>
  <si>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</si>
  <si>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</si>
  <si>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</si>
  <si>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</si>
  <si>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</si>
  <si>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</si>
  <si>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</si>
  <si>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</si>
  <si>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</si>
  <si>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</si>
  <si>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</si>
  <si>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</si>
  <si>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</si>
  <si>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</si>
  <si>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</si>
  <si>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</si>
  <si>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</si>
  <si>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</si>
  <si>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</si>
  <si>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</si>
  <si>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</si>
  <si>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</si>
  <si>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</si>
  <si>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</si>
  <si>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</si>
  <si>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</si>
  <si>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</si>
  <si>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</si>
  <si>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</si>
  <si>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</si>
  <si>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</si>
  <si>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</si>
  <si>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</si>
  <si>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</si>
  <si>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</si>
  <si>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</si>
  <si>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</si>
  <si>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</si>
  <si>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</si>
  <si>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</si>
  <si>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</si>
  <si>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</si>
  <si>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</si>
  <si>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</si>
  <si>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</si>
  <si>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</si>
  <si>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</si>
  <si>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</si>
  <si>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</si>
  <si>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</si>
  <si>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</si>
  <si>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</si>
  <si>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</si>
  <si>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</si>
  <si>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</si>
  <si>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</si>
  <si>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</si>
  <si>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</si>
  <si>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</si>
  <si>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</si>
  <si>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</si>
  <si>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</si>
  <si>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</si>
  <si>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</si>
  <si>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</si>
  <si>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</si>
  <si>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</si>
  <si>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</si>
  <si>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</si>
  <si>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</si>
  <si>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</si>
  <si>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</si>
  <si>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</si>
  <si>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</si>
  <si>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</si>
  <si>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</si>
  <si>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</si>
  <si>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</si>
  <si>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</si>
  <si>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</si>
  <si>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</si>
  <si>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</si>
  <si>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</si>
  <si>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</si>
  <si>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</si>
  <si>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</si>
  <si>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</si>
  <si>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</si>
  <si>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</si>
  <si>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</si>
  <si>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</si>
  <si>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</si>
  <si>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</si>
  <si>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</si>
  <si>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</si>
  <si>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</si>
  <si>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</si>
  <si>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</si>
  <si>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</si>
  <si>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</si>
  <si>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</si>
  <si>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</si>
  <si>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</si>
  <si>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</si>
  <si>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</si>
  <si>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</si>
  <si>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</si>
  <si>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</si>
  <si>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</si>
  <si>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</si>
  <si>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</si>
  <si>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</si>
  <si>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</si>
  <si>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</si>
  <si>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</si>
  <si>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</si>
  <si>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</si>
  <si>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</si>
  <si>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</si>
  <si>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</si>
  <si>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</si>
  <si>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</si>
  <si>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</si>
  <si>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</si>
  <si>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</si>
  <si>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</si>
  <si>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</si>
  <si>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</si>
  <si>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</si>
  <si>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</si>
  <si>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</si>
  <si>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</si>
  <si>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</si>
  <si>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</si>
  <si>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</si>
  <si>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</si>
  <si>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</si>
  <si>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</si>
  <si>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</si>
  <si>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</si>
  <si>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</si>
  <si>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</si>
  <si>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</si>
  <si>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</si>
  <si>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</si>
  <si>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</si>
  <si>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</si>
  <si>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</si>
  <si>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</si>
  <si>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</si>
  <si>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</si>
  <si>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</si>
  <si>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</si>
  <si>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</si>
  <si>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</si>
  <si>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</si>
  <si>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</si>
  <si>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</si>
  <si>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</si>
  <si>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</si>
  <si>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</si>
  <si>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</si>
  <si>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</si>
  <si>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</si>
  <si>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</si>
  <si>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</si>
  <si>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</si>
  <si>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</si>
  <si>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</si>
  <si>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</si>
  <si>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</si>
  <si>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</si>
  <si>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</si>
  <si>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</si>
  <si>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</si>
  <si>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</si>
  <si>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</si>
  <si>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</si>
  <si>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</si>
  <si>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</si>
  <si>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</si>
  <si>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</si>
  <si>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</si>
  <si>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</si>
  <si>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</si>
  <si>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</si>
  <si>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</si>
  <si>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</si>
  <si>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</si>
  <si>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</si>
  <si>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</si>
  <si>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</si>
  <si>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</si>
  <si>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</si>
  <si>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</si>
  <si>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</si>
  <si>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</si>
  <si>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</si>
  <si>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</si>
  <si>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</si>
  <si>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</si>
  <si>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</si>
  <si>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</si>
  <si>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</si>
  <si>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</si>
  <si>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</si>
  <si>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</si>
  <si>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</si>
  <si>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</si>
  <si>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</si>
  <si>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</si>
  <si>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</si>
  <si>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</si>
  <si>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</si>
  <si>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</si>
  <si>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</si>
  <si>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</si>
  <si>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</si>
  <si>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</si>
  <si>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</si>
  <si>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</si>
  <si>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</si>
  <si>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</si>
  <si>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</si>
  <si>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</si>
  <si>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</si>
  <si>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</si>
  <si>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</si>
  <si>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</si>
  <si>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</si>
  <si>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</si>
  <si>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</si>
  <si>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</si>
  <si>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</si>
  <si>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</si>
  <si>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</si>
  <si>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</si>
  <si>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</si>
  <si>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</si>
  <si>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</si>
  <si>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</si>
  <si>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</si>
  <si>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</si>
  <si>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</si>
  <si>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</si>
  <si>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</si>
  <si>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</si>
  <si>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</si>
  <si>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</si>
  <si>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</si>
  <si>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</si>
  <si>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</si>
  <si>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</si>
  <si>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</si>
  <si>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</si>
  <si>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</si>
  <si>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</si>
  <si>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</si>
  <si>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</si>
  <si>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</si>
  <si>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</si>
  <si>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</si>
  <si>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</si>
  <si>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</si>
  <si>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</si>
  <si>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</si>
  <si>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</si>
  <si>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</si>
  <si>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</si>
  <si>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</si>
  <si>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</si>
  <si>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</si>
  <si>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</si>
  <si>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</si>
  <si>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</si>
  <si>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</si>
  <si>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</si>
  <si>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</si>
  <si>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</si>
  <si>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</si>
  <si>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</si>
  <si>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</si>
  <si>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</si>
  <si>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</si>
  <si>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</si>
  <si>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</si>
  <si>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</si>
  <si>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</si>
  <si>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</si>
  <si>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</si>
  <si>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</si>
  <si>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</si>
  <si>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</si>
  <si>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</si>
  <si>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</si>
  <si>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</si>
  <si>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</si>
  <si>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</si>
  <si>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</si>
  <si>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</si>
  <si>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</si>
  <si>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</si>
  <si>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</si>
  <si>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</si>
  <si>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</si>
  <si>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</si>
  <si>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</si>
  <si>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</si>
  <si>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</si>
  <si>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</si>
  <si>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</si>
  <si>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</si>
  <si>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</si>
  <si>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</si>
  <si>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</si>
  <si>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</si>
  <si>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</si>
  <si>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</si>
  <si>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</si>
  <si>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</si>
  <si>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</si>
  <si>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</si>
  <si>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</si>
  <si>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</si>
  <si>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</si>
  <si>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</si>
  <si>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</si>
  <si>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</si>
  <si>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</si>
  <si>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</si>
  <si>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</si>
  <si>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</si>
  <si>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</si>
  <si>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</si>
  <si>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</si>
  <si>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</si>
  <si>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</si>
  <si>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</si>
  <si>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</si>
  <si>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</si>
  <si>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</si>
  <si>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</si>
  <si>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</si>
  <si>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</si>
  <si>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</si>
  <si>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</si>
  <si>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</si>
  <si>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</si>
  <si>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</si>
  <si>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</si>
  <si>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</si>
  <si>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</si>
  <si>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</si>
  <si>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</si>
  <si>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</si>
  <si>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</si>
  <si>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</si>
  <si>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</si>
  <si>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</si>
  <si>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</si>
  <si>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</si>
  <si>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</si>
  <si>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</si>
  <si>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</si>
  <si>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</si>
  <si>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</si>
  <si>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</si>
  <si>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</si>
  <si>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</si>
  <si>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</si>
  <si>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</si>
  <si>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</si>
  <si>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</si>
  <si>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</si>
  <si>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</si>
  <si>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</si>
  <si>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</si>
  <si>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</si>
  <si>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</si>
  <si>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</si>
  <si>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</si>
  <si>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</si>
  <si>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</si>
  <si>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</si>
  <si>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</si>
  <si>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</si>
  <si>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</si>
  <si>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</si>
  <si>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</si>
  <si>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</si>
  <si>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</si>
  <si>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</si>
  <si>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</si>
  <si>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</si>
  <si>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</si>
  <si>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</si>
  <si>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</si>
  <si>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</si>
  <si>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</si>
  <si>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</si>
  <si>
    <t>LABEL_REDIRECTION_STRING</t>
  </si>
  <si>
    <t>LABEL_REDIRECTION_CHAR</t>
  </si>
  <si>
    <t>"&gt;"</t>
  </si>
  <si>
    <t>'&gt;'</t>
  </si>
  <si>
    <t>DV-008</t>
  </si>
  <si>
    <t>The Log manager is being copied and this should NEVER happen</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</si>
  <si>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</si>
  <si>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</si>
  <si>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</si>
  <si>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</si>
  <si>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</si>
  <si>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</si>
  <si>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</si>
  <si>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</si>
  <si>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</si>
  <si>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</si>
  <si>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</si>
  <si>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</si>
  <si>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</si>
  <si>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</si>
  <si>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</si>
  <si>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</si>
  <si>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</si>
  <si>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</si>
  <si>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</si>
  <si>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</si>
  <si>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</si>
  <si>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</si>
  <si>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DEFAULT_HIDE_END</t>
  </si>
  <si>
    <t>DEFAULT_MAX_NPROC_NESTING</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</si>
  <si>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</si>
  <si>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</si>
  <si>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</si>
  <si>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</si>
  <si>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</si>
  <si>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</si>
  <si>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</si>
  <si>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</si>
  <si>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</si>
  <si>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</si>
  <si>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</si>
  <si>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</si>
  <si>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</si>
  <si>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</si>
  <si>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</si>
  <si>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</si>
  <si>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</si>
  <si>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</si>
  <si>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</si>
  <si>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</si>
  <si>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</si>
  <si>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</si>
  <si>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</si>
  <si>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</si>
  <si>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</si>
  <si>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</si>
  <si>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</si>
  <si>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</si>
  <si>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</si>
  <si>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</si>
  <si>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</si>
  <si>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</si>
  <si>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</si>
  <si>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</si>
  <si>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</si>
  <si>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</si>
  <si>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</si>
  <si>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</si>
  <si>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</si>
  <si>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</si>
  <si>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</si>
  <si>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</si>
  <si>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LogManager.Initialize.cpp</t>
  </si>
  <si>
    <t>Manual_23_Messages_A.tex</t>
  </si>
  <si>
    <t>define.h</t>
  </si>
  <si>
    <t>SettingsManager.Initialize.cpp</t>
  </si>
  <si>
    <t>TimeStamp</t>
  </si>
  <si>
    <t>All</t>
  </si>
  <si>
    <t>Label</t>
  </si>
  <si>
    <t>Value</t>
  </si>
  <si>
    <t>Define</t>
  </si>
  <si>
    <t>Variable</t>
  </si>
  <si>
    <t>Type</t>
  </si>
  <si>
    <t>Size</t>
  </si>
  <si>
    <t>Default</t>
  </si>
  <si>
    <t>MT_LABEL + LABEL_NEURON_SEPARATOR + i</t>
  </si>
  <si>
    <t>InterpreterManager.Initialize.cpp</t>
  </si>
  <si>
    <t>Manual_22_Instructions_A.tex</t>
  </si>
  <si>
    <t>NoDefine</t>
  </si>
  <si>
    <t>Extra</t>
  </si>
  <si>
    <t>"'"</t>
  </si>
  <si>
    <t xml:space="preserve">  for (int i = 0; i &lt; V1_MAX_NEURONS; i++) {
    for (int j = 0; j &lt; V1_MAX_NEURONS; j++) {
      Variables.SetSetting(string("SIM:") + V1_LABEL + string("'") + IIntToString(i) + ":" + V1_LABEL + string("'") + IIntToString(j), Data_double, 1);
    }
  }</t>
  </si>
  <si>
    <t xml:space="preserve">  for (int i = 0; i &lt; V1_MAX_NEURONS; i++) {
    Variables.SetSetting(string("SIM:") + V1_LABEL + string("'") + IIntToString(i), Data_double, 8);
  }</t>
  </si>
  <si>
    <t xml:space="preserve">  for (int i = 0; i &lt; MT_MAX_NEURONS; i++) {
    Variables.SetSetting(string("SIM:") + MT_LABEL + string("'") + IIntToString(i), Data_double, 6);
  }</t>
  </si>
  <si>
    <t>Custom</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</si>
</sst>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73" formatCode="0.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4">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0" fillId="36" borderId="0" xfId="0" applyFill="1" applyAlignment="1">
      <alignment horizontal="center"/>
    </xf>
    <xf numFmtId="0" fontId="0" fillId="36" borderId="0" xfId="0" applyFill="1" applyAlignment="1">
      <alignment horizontal="left"/>
    </xf>
    <xf numFmtId="0" fontId="0" fillId="36" borderId="0" xfId="0" applyFill="1"/>
    <xf numFmtId="0" fontId="0" fillId="36" borderId="0" xfId="0" applyNumberFormat="1" applyFill="1" applyAlignment="1">
      <alignment horizontal="center"/>
    </xf>
    <xf numFmtId="0" fontId="0" fillId="36" borderId="0" xfId="0" applyNumberFormat="1" applyFill="1" applyAlignment="1">
      <alignment horizontal="left"/>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0" borderId="0" xfId="0" applyFill="1" applyAlignment="1">
      <alignment horizontal="left" wrapText="1"/>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0" fontId="0" fillId="0" borderId="10" xfId="0" applyBorder="1" applyAlignment="1">
      <alignment horizontal="center"/>
    </xf>
    <xf numFmtId="22" fontId="0" fillId="39" borderId="10" xfId="0" applyNumberFormat="1" applyFill="1" applyBorder="1" applyAlignment="1">
      <alignment horizontal="center"/>
    </xf>
    <xf numFmtId="22" fontId="0" fillId="0" borderId="0" xfId="0" applyNumberFormat="1" applyAlignment="1">
      <alignment horizontal="center"/>
    </xf>
    <xf numFmtId="173" fontId="0" fillId="0" borderId="0" xfId="0" quotePrefix="1" applyNumberFormat="1" applyFill="1" applyAlignment="1">
      <alignment horizontal="left"/>
    </xf>
    <xf numFmtId="173" fontId="0" fillId="0" borderId="0" xfId="0" applyNumberForma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C10"/>
  <sheetViews>
    <sheetView tabSelected="1" workbookViewId="0">
      <selection activeCell="B3" sqref="B3"/>
    </sheetView>
  </sheetViews>
  <sheetFormatPr defaultRowHeight="15" x14ac:dyDescent="0.25"/>
  <cols>
    <col min="1" max="1" width="2.85546875" customWidth="1"/>
    <col min="2" max="2" width="35.7109375" style="13" customWidth="1"/>
    <col min="3" max="3" width="21.42578125" style="1" customWidth="1"/>
  </cols>
  <sheetData>
    <row r="2" spans="2:3" x14ac:dyDescent="0.25">
      <c r="B2" s="56" t="s">
        <v>484</v>
      </c>
      <c r="C2" s="56" t="s">
        <v>489</v>
      </c>
    </row>
    <row r="3" spans="2:3" x14ac:dyDescent="0.25">
      <c r="B3" s="57" t="s">
        <v>490</v>
      </c>
      <c r="C3" s="59"/>
    </row>
    <row r="4" spans="2:3" x14ac:dyDescent="0.25">
      <c r="B4" s="58" t="s">
        <v>487</v>
      </c>
      <c r="C4" s="60">
        <v>42130.6878125</v>
      </c>
    </row>
    <row r="5" spans="2:3" x14ac:dyDescent="0.25">
      <c r="B5" s="58" t="s">
        <v>485</v>
      </c>
      <c r="C5" s="60">
        <v>42130.687824074077</v>
      </c>
    </row>
    <row r="6" spans="2:3" x14ac:dyDescent="0.25">
      <c r="B6" s="58" t="s">
        <v>499</v>
      </c>
      <c r="C6" s="60">
        <v>42130.687835648147</v>
      </c>
    </row>
    <row r="7" spans="2:3" x14ac:dyDescent="0.25">
      <c r="B7" s="58" t="s">
        <v>488</v>
      </c>
      <c r="C7" s="60">
        <v>42130.689282407409</v>
      </c>
    </row>
    <row r="8" spans="2:3" x14ac:dyDescent="0.25">
      <c r="B8" s="58" t="s">
        <v>500</v>
      </c>
      <c r="C8" s="60">
        <v>42130.687858796293</v>
      </c>
    </row>
    <row r="9" spans="2:3" x14ac:dyDescent="0.25">
      <c r="B9" s="58" t="s">
        <v>486</v>
      </c>
      <c r="C9" s="60">
        <v>42130.687858796293</v>
      </c>
    </row>
    <row r="10" spans="2:3" x14ac:dyDescent="0.25">
      <c r="C10" s="61"/>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86"/>
  <sheetViews>
    <sheetView zoomScaleNormal="100" workbookViewId="0">
      <pane ySplit="1" topLeftCell="A2" activePane="bottomLeft" state="frozen"/>
      <selection pane="bottomLeft"/>
    </sheetView>
  </sheetViews>
  <sheetFormatPr defaultRowHeight="15" customHeight="1" x14ac:dyDescent="0.25"/>
  <cols>
    <col min="1" max="1" width="8.5703125" style="1" customWidth="1"/>
    <col min="2" max="4" width="2.85546875" style="1" customWidth="1"/>
    <col min="5" max="5" width="2.85546875" style="2" customWidth="1"/>
    <col min="6" max="6" width="87.140625" style="13" customWidth="1"/>
    <col min="7" max="7" width="71.42578125" style="13" customWidth="1"/>
  </cols>
  <sheetData>
    <row r="1" spans="1:7" s="9" customFormat="1" ht="15" customHeight="1" x14ac:dyDescent="0.25">
      <c r="A1" s="10" t="s">
        <v>0</v>
      </c>
      <c r="B1" s="10" t="s">
        <v>136</v>
      </c>
      <c r="C1" s="10" t="s">
        <v>137</v>
      </c>
      <c r="D1" s="10" t="s">
        <v>138</v>
      </c>
      <c r="E1" s="11" t="s">
        <v>139</v>
      </c>
      <c r="F1" s="12" t="s">
        <v>140</v>
      </c>
      <c r="G1" s="12"/>
    </row>
    <row r="2" spans="1:7" s="4" customFormat="1" ht="15" customHeight="1" x14ac:dyDescent="0.25">
      <c r="A2" s="5" t="s">
        <v>0</v>
      </c>
      <c r="C2" s="6"/>
      <c r="D2" s="6"/>
      <c r="E2" s="7"/>
      <c r="F2" s="6" t="s">
        <v>135</v>
      </c>
      <c r="G2" s="6"/>
    </row>
    <row r="3" spans="1:7" s="24" customFormat="1" ht="15" customHeight="1" x14ac:dyDescent="0.25">
      <c r="A3" s="16" t="s">
        <v>1</v>
      </c>
      <c r="B3" s="16" t="s">
        <v>2</v>
      </c>
      <c r="C3" s="16" t="s">
        <v>3</v>
      </c>
      <c r="D3" s="16" t="s">
        <v>3</v>
      </c>
      <c r="E3" s="22">
        <v>0</v>
      </c>
      <c r="F3" s="23" t="s">
        <v>4</v>
      </c>
      <c r="G3" s="55" t="s">
        <v>334</v>
      </c>
    </row>
    <row r="4" spans="1:7" s="24" customFormat="1" ht="15" customHeight="1" x14ac:dyDescent="0.25">
      <c r="A4" s="16" t="s">
        <v>5</v>
      </c>
      <c r="B4" s="16" t="s">
        <v>2</v>
      </c>
      <c r="C4" s="16" t="s">
        <v>3</v>
      </c>
      <c r="D4" s="16" t="s">
        <v>3</v>
      </c>
      <c r="E4" s="22">
        <v>0</v>
      </c>
      <c r="F4" s="23" t="s">
        <v>6</v>
      </c>
      <c r="G4" s="23" t="s">
        <v>333</v>
      </c>
    </row>
    <row r="5" spans="1:7" s="24" customFormat="1" ht="15" customHeight="1" x14ac:dyDescent="0.25">
      <c r="A5" s="16" t="s">
        <v>9</v>
      </c>
      <c r="B5" s="16" t="s">
        <v>2</v>
      </c>
      <c r="C5" s="16" t="s">
        <v>3</v>
      </c>
      <c r="D5" s="16" t="s">
        <v>3</v>
      </c>
      <c r="E5" s="22">
        <v>0</v>
      </c>
      <c r="F5" s="23" t="s">
        <v>337</v>
      </c>
      <c r="G5" s="23" t="s">
        <v>335</v>
      </c>
    </row>
    <row r="6" spans="1:7" s="24" customFormat="1" ht="15" customHeight="1" x14ac:dyDescent="0.25">
      <c r="A6" s="16" t="s">
        <v>10</v>
      </c>
      <c r="B6" s="16" t="s">
        <v>3</v>
      </c>
      <c r="C6" s="16" t="s">
        <v>3</v>
      </c>
      <c r="D6" s="16" t="s">
        <v>3</v>
      </c>
      <c r="E6" s="22">
        <v>0</v>
      </c>
      <c r="F6" s="23" t="s">
        <v>338</v>
      </c>
      <c r="G6" s="23" t="s">
        <v>336</v>
      </c>
    </row>
    <row r="7" spans="1:7" s="24" customFormat="1" ht="15" customHeight="1" x14ac:dyDescent="0.25">
      <c r="A7" s="16" t="s">
        <v>258</v>
      </c>
      <c r="B7" s="16" t="s">
        <v>3</v>
      </c>
      <c r="C7" s="16" t="s">
        <v>3</v>
      </c>
      <c r="D7" s="16" t="s">
        <v>3</v>
      </c>
      <c r="E7" s="22">
        <v>0</v>
      </c>
      <c r="F7" s="23" t="s">
        <v>260</v>
      </c>
      <c r="G7" s="23" t="s">
        <v>339</v>
      </c>
    </row>
    <row r="8" spans="1:7" s="24" customFormat="1" ht="15" customHeight="1" x14ac:dyDescent="0.25">
      <c r="A8" s="16" t="s">
        <v>11</v>
      </c>
      <c r="B8" s="16" t="s">
        <v>3</v>
      </c>
      <c r="C8" s="16" t="s">
        <v>3</v>
      </c>
      <c r="D8" s="16" t="s">
        <v>3</v>
      </c>
      <c r="E8" s="22">
        <v>0</v>
      </c>
      <c r="F8" s="23" t="s">
        <v>12</v>
      </c>
      <c r="G8" s="23" t="s">
        <v>340</v>
      </c>
    </row>
    <row r="9" spans="1:7" s="24" customFormat="1" ht="15" customHeight="1" x14ac:dyDescent="0.25">
      <c r="A9" s="16" t="s">
        <v>424</v>
      </c>
      <c r="B9" s="16" t="s">
        <v>3</v>
      </c>
      <c r="C9" s="16" t="s">
        <v>3</v>
      </c>
      <c r="D9" s="16" t="s">
        <v>2</v>
      </c>
      <c r="E9" s="22">
        <v>0</v>
      </c>
      <c r="F9" s="23" t="s">
        <v>425</v>
      </c>
      <c r="G9" s="23"/>
    </row>
    <row r="10" spans="1:7" s="24" customFormat="1" ht="15" customHeight="1" x14ac:dyDescent="0.25">
      <c r="A10" s="16" t="s">
        <v>13</v>
      </c>
      <c r="B10" s="16" t="s">
        <v>3</v>
      </c>
      <c r="C10" s="16" t="s">
        <v>3</v>
      </c>
      <c r="D10" s="16" t="s">
        <v>3</v>
      </c>
      <c r="E10" s="22">
        <v>0</v>
      </c>
      <c r="F10" s="23" t="s">
        <v>341</v>
      </c>
      <c r="G10" s="23" t="s">
        <v>342</v>
      </c>
    </row>
    <row r="11" spans="1:7" s="4" customFormat="1" ht="15" customHeight="1" x14ac:dyDescent="0.25">
      <c r="A11" s="5" t="s">
        <v>0</v>
      </c>
      <c r="C11" s="5"/>
      <c r="D11" s="5"/>
      <c r="E11" s="8"/>
      <c r="F11" s="6" t="s">
        <v>14</v>
      </c>
      <c r="G11" s="6"/>
    </row>
    <row r="12" spans="1:7" s="24" customFormat="1" ht="15" customHeight="1" x14ac:dyDescent="0.25">
      <c r="A12" s="16" t="s">
        <v>15</v>
      </c>
      <c r="B12" s="16" t="s">
        <v>3</v>
      </c>
      <c r="C12" s="16" t="s">
        <v>3</v>
      </c>
      <c r="D12" s="16" t="s">
        <v>2</v>
      </c>
      <c r="E12" s="22">
        <v>0</v>
      </c>
      <c r="F12" s="23" t="s">
        <v>16</v>
      </c>
      <c r="G12" s="23" t="s">
        <v>343</v>
      </c>
    </row>
    <row r="13" spans="1:7" s="24" customFormat="1" ht="15" customHeight="1" x14ac:dyDescent="0.25">
      <c r="A13" s="16" t="s">
        <v>17</v>
      </c>
      <c r="B13" s="16" t="s">
        <v>3</v>
      </c>
      <c r="C13" s="16" t="s">
        <v>3</v>
      </c>
      <c r="D13" s="16" t="s">
        <v>2</v>
      </c>
      <c r="E13" s="22">
        <v>0</v>
      </c>
      <c r="F13" s="23" t="s">
        <v>18</v>
      </c>
      <c r="G13" s="23" t="s">
        <v>344</v>
      </c>
    </row>
    <row r="14" spans="1:7" s="24" customFormat="1" ht="15" customHeight="1" x14ac:dyDescent="0.25">
      <c r="A14" s="16" t="s">
        <v>19</v>
      </c>
      <c r="B14" s="16" t="s">
        <v>3</v>
      </c>
      <c r="C14" s="16" t="s">
        <v>3</v>
      </c>
      <c r="D14" s="16" t="s">
        <v>3</v>
      </c>
      <c r="E14" s="22">
        <v>0</v>
      </c>
      <c r="F14" s="23" t="s">
        <v>20</v>
      </c>
      <c r="G14" s="23" t="s">
        <v>345</v>
      </c>
    </row>
    <row r="15" spans="1:7" s="24" customFormat="1" ht="15" customHeight="1" x14ac:dyDescent="0.25">
      <c r="A15" s="16" t="s">
        <v>21</v>
      </c>
      <c r="B15" s="16" t="s">
        <v>3</v>
      </c>
      <c r="C15" s="16" t="s">
        <v>3</v>
      </c>
      <c r="D15" s="16" t="s">
        <v>2</v>
      </c>
      <c r="E15" s="22">
        <v>0</v>
      </c>
      <c r="F15" s="23" t="s">
        <v>22</v>
      </c>
      <c r="G15" s="23" t="s">
        <v>346</v>
      </c>
    </row>
    <row r="16" spans="1:7" s="24" customFormat="1" ht="15" customHeight="1" x14ac:dyDescent="0.25">
      <c r="A16" s="16" t="s">
        <v>23</v>
      </c>
      <c r="B16" s="16" t="s">
        <v>3</v>
      </c>
      <c r="C16" s="16" t="s">
        <v>3</v>
      </c>
      <c r="D16" s="16" t="s">
        <v>2</v>
      </c>
      <c r="E16" s="22">
        <v>0</v>
      </c>
      <c r="F16" s="23" t="s">
        <v>24</v>
      </c>
      <c r="G16" s="23" t="s">
        <v>347</v>
      </c>
    </row>
    <row r="17" spans="1:7" s="4" customFormat="1" ht="15" customHeight="1" x14ac:dyDescent="0.25">
      <c r="A17" s="5" t="s">
        <v>0</v>
      </c>
      <c r="C17" s="5"/>
      <c r="D17" s="5"/>
      <c r="E17" s="8"/>
      <c r="F17" s="6" t="s">
        <v>25</v>
      </c>
      <c r="G17" s="6"/>
    </row>
    <row r="18" spans="1:7" ht="15" customHeight="1" x14ac:dyDescent="0.25">
      <c r="A18" s="1" t="s">
        <v>26</v>
      </c>
      <c r="B18" s="1" t="s">
        <v>3</v>
      </c>
      <c r="C18" s="1" t="s">
        <v>3</v>
      </c>
      <c r="D18" s="1" t="s">
        <v>3</v>
      </c>
      <c r="E18" s="3">
        <v>0</v>
      </c>
      <c r="F18" s="13" t="s">
        <v>348</v>
      </c>
      <c r="G18" s="13" t="s">
        <v>349</v>
      </c>
    </row>
    <row r="19" spans="1:7" ht="15" customHeight="1" x14ac:dyDescent="0.25">
      <c r="A19" s="1" t="s">
        <v>27</v>
      </c>
      <c r="B19" s="1" t="s">
        <v>3</v>
      </c>
      <c r="C19" s="1" t="s">
        <v>3</v>
      </c>
      <c r="D19" s="1" t="s">
        <v>3</v>
      </c>
      <c r="E19" s="3">
        <v>0</v>
      </c>
      <c r="F19" s="13" t="s">
        <v>350</v>
      </c>
      <c r="G19" s="13" t="s">
        <v>351</v>
      </c>
    </row>
    <row r="20" spans="1:7" ht="15" customHeight="1" x14ac:dyDescent="0.25">
      <c r="A20" s="1" t="s">
        <v>28</v>
      </c>
      <c r="B20" s="1" t="s">
        <v>3</v>
      </c>
      <c r="C20" s="1" t="s">
        <v>3</v>
      </c>
      <c r="D20" s="1" t="s">
        <v>2</v>
      </c>
      <c r="E20" s="3">
        <v>0</v>
      </c>
      <c r="F20" s="13" t="s">
        <v>29</v>
      </c>
      <c r="G20" s="13" t="s">
        <v>352</v>
      </c>
    </row>
    <row r="21" spans="1:7" ht="15" customHeight="1" x14ac:dyDescent="0.25">
      <c r="A21" s="1" t="s">
        <v>30</v>
      </c>
      <c r="B21" s="1" t="s">
        <v>3</v>
      </c>
      <c r="C21" s="1" t="s">
        <v>3</v>
      </c>
      <c r="D21" s="1" t="s">
        <v>3</v>
      </c>
      <c r="E21" s="3">
        <v>0</v>
      </c>
      <c r="F21" s="13" t="s">
        <v>146</v>
      </c>
      <c r="G21" s="13" t="s">
        <v>353</v>
      </c>
    </row>
    <row r="22" spans="1:7" ht="15" customHeight="1" x14ac:dyDescent="0.25">
      <c r="A22" s="1" t="s">
        <v>31</v>
      </c>
      <c r="B22" s="1" t="s">
        <v>3</v>
      </c>
      <c r="C22" s="1" t="s">
        <v>3</v>
      </c>
      <c r="D22" s="1" t="s">
        <v>2</v>
      </c>
      <c r="E22" s="3">
        <v>0</v>
      </c>
      <c r="F22" s="13" t="s">
        <v>32</v>
      </c>
      <c r="G22" s="13" t="s">
        <v>354</v>
      </c>
    </row>
    <row r="23" spans="1:7" ht="15" customHeight="1" x14ac:dyDescent="0.25">
      <c r="A23" s="1" t="s">
        <v>33</v>
      </c>
      <c r="B23" s="1" t="s">
        <v>2</v>
      </c>
      <c r="C23" s="1" t="s">
        <v>3</v>
      </c>
      <c r="D23" s="1" t="s">
        <v>3</v>
      </c>
      <c r="E23" s="3">
        <v>0</v>
      </c>
      <c r="F23" s="13" t="s">
        <v>34</v>
      </c>
      <c r="G23" s="13" t="s">
        <v>355</v>
      </c>
    </row>
    <row r="24" spans="1:7" ht="15" customHeight="1" x14ac:dyDescent="0.25">
      <c r="A24" s="1" t="s">
        <v>35</v>
      </c>
      <c r="B24" s="1" t="s">
        <v>3</v>
      </c>
      <c r="C24" s="1" t="s">
        <v>3</v>
      </c>
      <c r="D24" s="1" t="s">
        <v>2</v>
      </c>
      <c r="E24" s="3">
        <v>0</v>
      </c>
      <c r="F24" s="13" t="s">
        <v>36</v>
      </c>
      <c r="G24" s="13" t="s">
        <v>359</v>
      </c>
    </row>
    <row r="25" spans="1:7" ht="15" customHeight="1" x14ac:dyDescent="0.25">
      <c r="A25" s="1" t="s">
        <v>37</v>
      </c>
      <c r="B25" s="1" t="s">
        <v>3</v>
      </c>
      <c r="C25" s="1" t="s">
        <v>3</v>
      </c>
      <c r="D25" s="1" t="s">
        <v>2</v>
      </c>
      <c r="E25" s="3">
        <v>0</v>
      </c>
      <c r="F25" s="13" t="s">
        <v>356</v>
      </c>
      <c r="G25" s="13" t="s">
        <v>357</v>
      </c>
    </row>
    <row r="26" spans="1:7" ht="15" customHeight="1" x14ac:dyDescent="0.25">
      <c r="A26" s="1" t="s">
        <v>38</v>
      </c>
      <c r="B26" s="1" t="s">
        <v>3</v>
      </c>
      <c r="C26" s="1" t="s">
        <v>3</v>
      </c>
      <c r="D26" s="1" t="s">
        <v>3</v>
      </c>
      <c r="E26" s="3">
        <v>0</v>
      </c>
      <c r="F26" s="13" t="s">
        <v>39</v>
      </c>
      <c r="G26" s="13" t="s">
        <v>358</v>
      </c>
    </row>
    <row r="27" spans="1:7" ht="15" customHeight="1" x14ac:dyDescent="0.25">
      <c r="A27" s="1" t="s">
        <v>40</v>
      </c>
      <c r="B27" s="1" t="s">
        <v>3</v>
      </c>
      <c r="C27" s="1" t="s">
        <v>3</v>
      </c>
      <c r="D27" s="1" t="s">
        <v>2</v>
      </c>
      <c r="E27" s="3">
        <v>0</v>
      </c>
      <c r="F27" s="13" t="s">
        <v>147</v>
      </c>
      <c r="G27" s="13" t="s">
        <v>360</v>
      </c>
    </row>
    <row r="28" spans="1:7" s="4" customFormat="1" ht="15" customHeight="1" x14ac:dyDescent="0.25">
      <c r="A28" s="5" t="s">
        <v>0</v>
      </c>
      <c r="C28" s="5"/>
      <c r="D28" s="5"/>
      <c r="E28" s="8"/>
      <c r="F28" s="6" t="s">
        <v>41</v>
      </c>
      <c r="G28" s="6"/>
    </row>
    <row r="29" spans="1:7" ht="15" customHeight="1" x14ac:dyDescent="0.25">
      <c r="A29" s="1" t="s">
        <v>42</v>
      </c>
      <c r="B29" s="1" t="s">
        <v>3</v>
      </c>
      <c r="C29" s="1" t="s">
        <v>2</v>
      </c>
      <c r="D29" s="1" t="s">
        <v>3</v>
      </c>
      <c r="E29" s="3">
        <v>0</v>
      </c>
      <c r="F29" s="13" t="s">
        <v>43</v>
      </c>
    </row>
    <row r="30" spans="1:7" ht="15" customHeight="1" x14ac:dyDescent="0.25">
      <c r="A30" s="1" t="s">
        <v>44</v>
      </c>
      <c r="B30" s="1" t="s">
        <v>3</v>
      </c>
      <c r="C30" s="1" t="s">
        <v>2</v>
      </c>
      <c r="D30" s="1" t="s">
        <v>3</v>
      </c>
      <c r="E30" s="3">
        <v>0</v>
      </c>
      <c r="F30" s="13" t="s">
        <v>45</v>
      </c>
    </row>
    <row r="31" spans="1:7" ht="15" customHeight="1" x14ac:dyDescent="0.25">
      <c r="A31" s="1" t="s">
        <v>46</v>
      </c>
      <c r="B31" s="1" t="s">
        <v>3</v>
      </c>
      <c r="C31" s="1" t="s">
        <v>2</v>
      </c>
      <c r="D31" s="1" t="s">
        <v>3</v>
      </c>
      <c r="E31" s="3">
        <v>0</v>
      </c>
      <c r="F31" s="13" t="s">
        <v>47</v>
      </c>
    </row>
    <row r="32" spans="1:7" ht="15" customHeight="1" x14ac:dyDescent="0.25">
      <c r="A32" s="1" t="s">
        <v>48</v>
      </c>
      <c r="B32" s="1" t="s">
        <v>3</v>
      </c>
      <c r="C32" s="1" t="s">
        <v>2</v>
      </c>
      <c r="D32" s="1" t="s">
        <v>3</v>
      </c>
      <c r="E32" s="3">
        <v>0</v>
      </c>
      <c r="F32" s="13" t="s">
        <v>241</v>
      </c>
    </row>
    <row r="33" spans="1:7" ht="15" customHeight="1" x14ac:dyDescent="0.25">
      <c r="A33" s="1" t="s">
        <v>49</v>
      </c>
      <c r="B33" s="1" t="s">
        <v>3</v>
      </c>
      <c r="C33" s="1" t="s">
        <v>2</v>
      </c>
      <c r="D33" s="1" t="s">
        <v>3</v>
      </c>
      <c r="E33" s="3">
        <v>0</v>
      </c>
      <c r="F33" s="13" t="s">
        <v>50</v>
      </c>
    </row>
    <row r="34" spans="1:7" ht="15" customHeight="1" x14ac:dyDescent="0.25">
      <c r="A34" s="1" t="s">
        <v>51</v>
      </c>
      <c r="B34" s="1" t="s">
        <v>3</v>
      </c>
      <c r="C34" s="1" t="s">
        <v>2</v>
      </c>
      <c r="D34" s="1" t="s">
        <v>3</v>
      </c>
      <c r="E34" s="3">
        <v>0</v>
      </c>
      <c r="F34" s="13" t="s">
        <v>52</v>
      </c>
    </row>
    <row r="35" spans="1:7" ht="15" customHeight="1" x14ac:dyDescent="0.25">
      <c r="A35" s="1" t="s">
        <v>417</v>
      </c>
      <c r="B35" s="1" t="s">
        <v>3</v>
      </c>
      <c r="C35" s="1" t="s">
        <v>2</v>
      </c>
      <c r="D35" s="1" t="s">
        <v>3</v>
      </c>
      <c r="E35" s="3">
        <v>0</v>
      </c>
      <c r="F35" s="13" t="s">
        <v>418</v>
      </c>
    </row>
    <row r="36" spans="1:7" ht="15" customHeight="1" x14ac:dyDescent="0.25">
      <c r="A36" s="1" t="s">
        <v>53</v>
      </c>
      <c r="B36" s="1" t="s">
        <v>3</v>
      </c>
      <c r="C36" s="1" t="s">
        <v>2</v>
      </c>
      <c r="D36" s="1" t="s">
        <v>3</v>
      </c>
      <c r="E36" s="3">
        <v>0</v>
      </c>
      <c r="F36" s="13" t="s">
        <v>54</v>
      </c>
    </row>
    <row r="37" spans="1:7" ht="15" customHeight="1" x14ac:dyDescent="0.25">
      <c r="A37" s="1" t="s">
        <v>55</v>
      </c>
      <c r="B37" s="1" t="s">
        <v>3</v>
      </c>
      <c r="C37" s="1" t="s">
        <v>2</v>
      </c>
      <c r="D37" s="1" t="s">
        <v>3</v>
      </c>
      <c r="E37" s="3">
        <v>0</v>
      </c>
      <c r="F37" s="13" t="s">
        <v>56</v>
      </c>
    </row>
    <row r="38" spans="1:7" ht="15" customHeight="1" x14ac:dyDescent="0.25">
      <c r="A38" s="1" t="s">
        <v>57</v>
      </c>
      <c r="B38" s="1" t="s">
        <v>3</v>
      </c>
      <c r="C38" s="1" t="s">
        <v>2</v>
      </c>
      <c r="D38" s="1" t="s">
        <v>3</v>
      </c>
      <c r="E38" s="3">
        <v>0</v>
      </c>
      <c r="F38" s="13" t="s">
        <v>58</v>
      </c>
    </row>
    <row r="39" spans="1:7" ht="15" customHeight="1" x14ac:dyDescent="0.25">
      <c r="A39" s="1" t="s">
        <v>59</v>
      </c>
      <c r="B39" s="1" t="s">
        <v>3</v>
      </c>
      <c r="C39" s="1" t="s">
        <v>2</v>
      </c>
      <c r="D39" s="1" t="s">
        <v>3</v>
      </c>
      <c r="E39" s="3">
        <v>0</v>
      </c>
      <c r="F39" s="13" t="s">
        <v>60</v>
      </c>
    </row>
    <row r="40" spans="1:7" ht="15" customHeight="1" x14ac:dyDescent="0.25">
      <c r="A40" s="1" t="s">
        <v>61</v>
      </c>
      <c r="B40" s="1" t="s">
        <v>3</v>
      </c>
      <c r="C40" s="1" t="s">
        <v>2</v>
      </c>
      <c r="D40" s="1" t="s">
        <v>3</v>
      </c>
      <c r="E40" s="3">
        <v>0</v>
      </c>
      <c r="F40" s="13" t="s">
        <v>62</v>
      </c>
    </row>
    <row r="41" spans="1:7" ht="15" customHeight="1" x14ac:dyDescent="0.25">
      <c r="A41" s="1" t="s">
        <v>114</v>
      </c>
      <c r="B41" s="1" t="s">
        <v>3</v>
      </c>
      <c r="C41" s="1" t="s">
        <v>2</v>
      </c>
      <c r="D41" s="1" t="s">
        <v>3</v>
      </c>
      <c r="E41" s="3">
        <v>0</v>
      </c>
      <c r="F41" s="13" t="s">
        <v>115</v>
      </c>
    </row>
    <row r="42" spans="1:7" ht="15" customHeight="1" x14ac:dyDescent="0.25">
      <c r="A42" s="1" t="s">
        <v>116</v>
      </c>
      <c r="B42" s="1" t="s">
        <v>3</v>
      </c>
      <c r="C42" s="1" t="s">
        <v>2</v>
      </c>
      <c r="D42" s="1" t="s">
        <v>3</v>
      </c>
      <c r="E42" s="3">
        <v>0</v>
      </c>
      <c r="F42" s="13" t="s">
        <v>117</v>
      </c>
    </row>
    <row r="43" spans="1:7" ht="15" customHeight="1" x14ac:dyDescent="0.25">
      <c r="A43" s="1" t="s">
        <v>249</v>
      </c>
      <c r="B43" s="1" t="s">
        <v>3</v>
      </c>
      <c r="C43" s="1" t="s">
        <v>2</v>
      </c>
      <c r="D43" s="1" t="s">
        <v>3</v>
      </c>
      <c r="E43" s="3">
        <v>0</v>
      </c>
      <c r="F43" s="13" t="s">
        <v>250</v>
      </c>
    </row>
    <row r="44" spans="1:7" s="4" customFormat="1" ht="15" customHeight="1" x14ac:dyDescent="0.25">
      <c r="A44" s="5" t="s">
        <v>0</v>
      </c>
      <c r="C44" s="5"/>
      <c r="D44" s="5"/>
      <c r="E44" s="8"/>
      <c r="F44" s="6" t="s">
        <v>63</v>
      </c>
      <c r="G44" s="6"/>
    </row>
    <row r="45" spans="1:7" ht="15" customHeight="1" x14ac:dyDescent="0.25">
      <c r="A45" s="1" t="s">
        <v>66</v>
      </c>
      <c r="B45" s="1" t="s">
        <v>3</v>
      </c>
      <c r="C45" s="1" t="s">
        <v>3</v>
      </c>
      <c r="D45" s="1" t="s">
        <v>2</v>
      </c>
      <c r="E45" s="3">
        <v>0</v>
      </c>
      <c r="F45" s="13" t="s">
        <v>67</v>
      </c>
    </row>
    <row r="46" spans="1:7" ht="15" customHeight="1" x14ac:dyDescent="0.25">
      <c r="A46" s="1" t="s">
        <v>272</v>
      </c>
      <c r="B46" s="1" t="s">
        <v>3</v>
      </c>
      <c r="C46" s="1" t="s">
        <v>3</v>
      </c>
      <c r="D46" s="1" t="s">
        <v>2</v>
      </c>
      <c r="E46" s="3">
        <v>0</v>
      </c>
      <c r="F46" s="13" t="s">
        <v>273</v>
      </c>
    </row>
    <row r="47" spans="1:7" s="4" customFormat="1" ht="15" customHeight="1" x14ac:dyDescent="0.25">
      <c r="A47" s="5" t="s">
        <v>0</v>
      </c>
      <c r="C47" s="5"/>
      <c r="D47" s="5"/>
      <c r="E47" s="8"/>
      <c r="F47" s="6" t="s">
        <v>68</v>
      </c>
      <c r="G47" s="6"/>
    </row>
    <row r="48" spans="1:7" ht="15" customHeight="1" x14ac:dyDescent="0.25">
      <c r="A48" s="1" t="s">
        <v>69</v>
      </c>
      <c r="B48" s="1" t="s">
        <v>3</v>
      </c>
      <c r="C48" s="1" t="s">
        <v>3</v>
      </c>
      <c r="D48" s="1" t="s">
        <v>2</v>
      </c>
      <c r="E48" s="3">
        <v>0</v>
      </c>
      <c r="F48" s="13" t="s">
        <v>70</v>
      </c>
    </row>
    <row r="49" spans="1:7" ht="15" customHeight="1" x14ac:dyDescent="0.25">
      <c r="A49" s="1" t="s">
        <v>93</v>
      </c>
      <c r="B49" s="1" t="s">
        <v>3</v>
      </c>
      <c r="C49" s="1" t="s">
        <v>3</v>
      </c>
      <c r="D49" s="1" t="s">
        <v>2</v>
      </c>
      <c r="E49" s="3">
        <v>0</v>
      </c>
      <c r="F49" s="13" t="s">
        <v>94</v>
      </c>
    </row>
    <row r="50" spans="1:7" ht="15" customHeight="1" x14ac:dyDescent="0.25">
      <c r="A50" s="1" t="s">
        <v>95</v>
      </c>
      <c r="B50" s="1" t="s">
        <v>3</v>
      </c>
      <c r="C50" s="1" t="s">
        <v>3</v>
      </c>
      <c r="D50" s="1" t="s">
        <v>2</v>
      </c>
      <c r="E50" s="3">
        <v>0</v>
      </c>
      <c r="F50" s="13" t="s">
        <v>96</v>
      </c>
    </row>
    <row r="51" spans="1:7" ht="15" customHeight="1" x14ac:dyDescent="0.25">
      <c r="A51" s="1" t="s">
        <v>104</v>
      </c>
      <c r="B51" s="1" t="s">
        <v>3</v>
      </c>
      <c r="C51" s="1" t="s">
        <v>3</v>
      </c>
      <c r="D51" s="1" t="s">
        <v>2</v>
      </c>
      <c r="E51" s="3">
        <v>0</v>
      </c>
      <c r="F51" s="13" t="s">
        <v>105</v>
      </c>
    </row>
    <row r="52" spans="1:7" ht="15" customHeight="1" x14ac:dyDescent="0.25">
      <c r="A52" s="1" t="s">
        <v>108</v>
      </c>
      <c r="B52" s="1" t="s">
        <v>3</v>
      </c>
      <c r="C52" s="1" t="s">
        <v>3</v>
      </c>
      <c r="D52" s="1" t="s">
        <v>2</v>
      </c>
      <c r="E52" s="3">
        <v>0</v>
      </c>
      <c r="F52" s="13" t="s">
        <v>109</v>
      </c>
    </row>
    <row r="53" spans="1:7" ht="15" customHeight="1" x14ac:dyDescent="0.25">
      <c r="A53" s="1" t="s">
        <v>110</v>
      </c>
      <c r="B53" s="1" t="s">
        <v>3</v>
      </c>
      <c r="C53" s="1" t="s">
        <v>3</v>
      </c>
      <c r="D53" s="1" t="s">
        <v>2</v>
      </c>
      <c r="E53" s="3">
        <v>0</v>
      </c>
      <c r="F53" s="13" t="s">
        <v>111</v>
      </c>
    </row>
    <row r="54" spans="1:7" ht="15" customHeight="1" x14ac:dyDescent="0.25">
      <c r="A54" s="1" t="s">
        <v>112</v>
      </c>
      <c r="B54" s="1" t="s">
        <v>3</v>
      </c>
      <c r="C54" s="1" t="s">
        <v>3</v>
      </c>
      <c r="D54" s="1" t="s">
        <v>2</v>
      </c>
      <c r="E54" s="3">
        <v>0</v>
      </c>
      <c r="F54" s="13" t="s">
        <v>113</v>
      </c>
    </row>
    <row r="55" spans="1:7" ht="15" customHeight="1" x14ac:dyDescent="0.25">
      <c r="A55" s="1" t="s">
        <v>118</v>
      </c>
      <c r="B55" s="1" t="s">
        <v>3</v>
      </c>
      <c r="C55" s="1" t="s">
        <v>3</v>
      </c>
      <c r="D55" s="1" t="s">
        <v>2</v>
      </c>
      <c r="E55" s="3">
        <v>0</v>
      </c>
      <c r="F55" s="13" t="s">
        <v>119</v>
      </c>
    </row>
    <row r="56" spans="1:7" ht="15" customHeight="1" x14ac:dyDescent="0.25">
      <c r="A56" s="1" t="s">
        <v>142</v>
      </c>
      <c r="B56" s="1" t="s">
        <v>3</v>
      </c>
      <c r="C56" s="1" t="s">
        <v>3</v>
      </c>
      <c r="D56" s="1" t="s">
        <v>2</v>
      </c>
      <c r="E56" s="3">
        <v>0</v>
      </c>
      <c r="F56" s="13" t="s">
        <v>143</v>
      </c>
    </row>
    <row r="57" spans="1:7" ht="15" customHeight="1" x14ac:dyDescent="0.25">
      <c r="A57" s="1" t="s">
        <v>144</v>
      </c>
      <c r="B57" s="1" t="s">
        <v>3</v>
      </c>
      <c r="C57" s="1" t="s">
        <v>3</v>
      </c>
      <c r="D57" s="1" t="s">
        <v>2</v>
      </c>
      <c r="E57" s="3">
        <v>0</v>
      </c>
      <c r="F57" s="13" t="s">
        <v>145</v>
      </c>
    </row>
    <row r="58" spans="1:7" s="4" customFormat="1" ht="15" customHeight="1" x14ac:dyDescent="0.25">
      <c r="A58" s="5" t="s">
        <v>0</v>
      </c>
      <c r="C58" s="5"/>
      <c r="D58" s="5"/>
      <c r="E58" s="8"/>
      <c r="F58" s="6" t="s">
        <v>124</v>
      </c>
      <c r="G58" s="6"/>
    </row>
    <row r="59" spans="1:7" ht="15" customHeight="1" x14ac:dyDescent="0.25">
      <c r="A59" s="1" t="s">
        <v>141</v>
      </c>
      <c r="B59" s="1" t="s">
        <v>3</v>
      </c>
      <c r="C59" s="1" t="s">
        <v>3</v>
      </c>
      <c r="D59" s="1" t="s">
        <v>3</v>
      </c>
      <c r="E59" s="3">
        <v>1</v>
      </c>
      <c r="F59" s="14" t="s">
        <v>243</v>
      </c>
    </row>
    <row r="60" spans="1:7" s="33" customFormat="1" ht="15" customHeight="1" x14ac:dyDescent="0.25">
      <c r="A60" s="31"/>
      <c r="B60" s="31"/>
      <c r="C60" s="31"/>
      <c r="D60" s="31"/>
      <c r="E60" s="34"/>
      <c r="F60" s="35"/>
      <c r="G60" s="32"/>
    </row>
    <row r="61" spans="1:7" s="4" customFormat="1" ht="15" customHeight="1" x14ac:dyDescent="0.25">
      <c r="A61" s="5" t="s">
        <v>0</v>
      </c>
      <c r="C61" s="5"/>
      <c r="D61" s="5"/>
      <c r="E61" s="8"/>
      <c r="F61" s="6" t="s">
        <v>248</v>
      </c>
      <c r="G61" s="6"/>
    </row>
    <row r="62" spans="1:7" ht="15" customHeight="1" x14ac:dyDescent="0.25">
      <c r="A62" s="1" t="s">
        <v>125</v>
      </c>
      <c r="B62" s="1" t="s">
        <v>3</v>
      </c>
      <c r="C62" s="1" t="s">
        <v>3</v>
      </c>
      <c r="D62" s="1" t="s">
        <v>3</v>
      </c>
      <c r="E62" s="3">
        <v>1</v>
      </c>
      <c r="F62" s="13" t="s">
        <v>126</v>
      </c>
    </row>
    <row r="63" spans="1:7" ht="15" customHeight="1" x14ac:dyDescent="0.25">
      <c r="A63" s="1" t="s">
        <v>127</v>
      </c>
      <c r="B63" s="1" t="s">
        <v>3</v>
      </c>
      <c r="C63" s="1" t="s">
        <v>3</v>
      </c>
      <c r="D63" s="1" t="s">
        <v>3</v>
      </c>
      <c r="E63" s="3">
        <v>1</v>
      </c>
      <c r="F63" s="13" t="s">
        <v>128</v>
      </c>
    </row>
    <row r="64" spans="1:7" ht="15" customHeight="1" x14ac:dyDescent="0.25">
      <c r="A64" s="1" t="s">
        <v>129</v>
      </c>
      <c r="B64" s="1" t="s">
        <v>3</v>
      </c>
      <c r="C64" s="1" t="s">
        <v>3</v>
      </c>
      <c r="D64" s="1" t="s">
        <v>3</v>
      </c>
      <c r="E64" s="3">
        <v>1</v>
      </c>
      <c r="F64" s="13" t="s">
        <v>130</v>
      </c>
    </row>
    <row r="65" spans="1:7" ht="15" customHeight="1" x14ac:dyDescent="0.25">
      <c r="A65" s="1" t="s">
        <v>131</v>
      </c>
      <c r="B65" s="1" t="s">
        <v>3</v>
      </c>
      <c r="C65" s="1" t="s">
        <v>3</v>
      </c>
      <c r="D65" s="1" t="s">
        <v>3</v>
      </c>
      <c r="E65" s="3">
        <v>1</v>
      </c>
      <c r="F65" s="13" t="s">
        <v>132</v>
      </c>
    </row>
    <row r="66" spans="1:7" ht="15" customHeight="1" x14ac:dyDescent="0.25">
      <c r="A66" s="1" t="s">
        <v>133</v>
      </c>
      <c r="B66" s="1" t="s">
        <v>3</v>
      </c>
      <c r="C66" s="1" t="s">
        <v>3</v>
      </c>
      <c r="D66" s="1" t="s">
        <v>3</v>
      </c>
      <c r="E66" s="3">
        <v>1</v>
      </c>
      <c r="F66" s="13" t="s">
        <v>134</v>
      </c>
    </row>
    <row r="67" spans="1:7" ht="15" customHeight="1" x14ac:dyDescent="0.25">
      <c r="A67" s="1" t="s">
        <v>106</v>
      </c>
      <c r="B67" s="1" t="s">
        <v>3</v>
      </c>
      <c r="C67" s="1" t="s">
        <v>3</v>
      </c>
      <c r="D67" s="1" t="s">
        <v>2</v>
      </c>
      <c r="E67" s="3">
        <v>0</v>
      </c>
      <c r="F67" s="13" t="s">
        <v>107</v>
      </c>
    </row>
    <row r="68" spans="1:7" s="24" customFormat="1" ht="15" customHeight="1" x14ac:dyDescent="0.25">
      <c r="A68" s="16" t="s">
        <v>102</v>
      </c>
      <c r="B68" s="16" t="s">
        <v>3</v>
      </c>
      <c r="C68" s="16" t="s">
        <v>3</v>
      </c>
      <c r="D68" s="16" t="s">
        <v>2</v>
      </c>
      <c r="E68" s="22">
        <v>0</v>
      </c>
      <c r="F68" s="23" t="s">
        <v>103</v>
      </c>
      <c r="G68" s="23"/>
    </row>
    <row r="69" spans="1:7" s="24" customFormat="1" ht="15" customHeight="1" x14ac:dyDescent="0.25">
      <c r="A69" s="16" t="s">
        <v>85</v>
      </c>
      <c r="B69" s="16" t="s">
        <v>3</v>
      </c>
      <c r="C69" s="16" t="s">
        <v>3</v>
      </c>
      <c r="D69" s="16" t="s">
        <v>2</v>
      </c>
      <c r="E69" s="22">
        <v>0</v>
      </c>
      <c r="F69" s="23" t="s">
        <v>86</v>
      </c>
      <c r="G69" s="23"/>
    </row>
    <row r="70" spans="1:7" s="24" customFormat="1" ht="15" customHeight="1" x14ac:dyDescent="0.25">
      <c r="A70" s="16" t="s">
        <v>87</v>
      </c>
      <c r="B70" s="16" t="s">
        <v>3</v>
      </c>
      <c r="C70" s="16" t="s">
        <v>3</v>
      </c>
      <c r="D70" s="16" t="s">
        <v>2</v>
      </c>
      <c r="E70" s="22">
        <v>0</v>
      </c>
      <c r="F70" s="23" t="s">
        <v>88</v>
      </c>
      <c r="G70" s="23"/>
    </row>
    <row r="71" spans="1:7" s="24" customFormat="1" ht="15" customHeight="1" x14ac:dyDescent="0.25">
      <c r="A71" s="16" t="s">
        <v>89</v>
      </c>
      <c r="B71" s="16" t="s">
        <v>3</v>
      </c>
      <c r="C71" s="16" t="s">
        <v>3</v>
      </c>
      <c r="D71" s="16" t="s">
        <v>2</v>
      </c>
      <c r="E71" s="22">
        <v>0</v>
      </c>
      <c r="F71" s="23" t="s">
        <v>90</v>
      </c>
      <c r="G71" s="23"/>
    </row>
    <row r="72" spans="1:7" s="24" customFormat="1" ht="15" customHeight="1" x14ac:dyDescent="0.25">
      <c r="A72" s="16" t="s">
        <v>91</v>
      </c>
      <c r="B72" s="16" t="s">
        <v>3</v>
      </c>
      <c r="C72" s="16" t="s">
        <v>3</v>
      </c>
      <c r="D72" s="16" t="s">
        <v>2</v>
      </c>
      <c r="E72" s="22">
        <v>0</v>
      </c>
      <c r="F72" s="23" t="s">
        <v>92</v>
      </c>
      <c r="G72" s="23"/>
    </row>
    <row r="73" spans="1:7" s="24" customFormat="1" ht="15" customHeight="1" x14ac:dyDescent="0.25">
      <c r="A73" s="16" t="s">
        <v>75</v>
      </c>
      <c r="B73" s="16" t="s">
        <v>3</v>
      </c>
      <c r="C73" s="16" t="s">
        <v>3</v>
      </c>
      <c r="D73" s="16" t="s">
        <v>2</v>
      </c>
      <c r="E73" s="22">
        <v>0</v>
      </c>
      <c r="F73" s="23" t="s">
        <v>76</v>
      </c>
      <c r="G73" s="23"/>
    </row>
    <row r="74" spans="1:7" s="24" customFormat="1" ht="15" customHeight="1" x14ac:dyDescent="0.25">
      <c r="A74" s="16" t="s">
        <v>77</v>
      </c>
      <c r="B74" s="16" t="s">
        <v>3</v>
      </c>
      <c r="C74" s="16" t="s">
        <v>3</v>
      </c>
      <c r="D74" s="16" t="s">
        <v>2</v>
      </c>
      <c r="E74" s="22">
        <v>0</v>
      </c>
      <c r="F74" s="23" t="s">
        <v>78</v>
      </c>
      <c r="G74" s="23"/>
    </row>
    <row r="75" spans="1:7" s="24" customFormat="1" ht="15" customHeight="1" x14ac:dyDescent="0.25">
      <c r="A75" s="16" t="s">
        <v>79</v>
      </c>
      <c r="B75" s="16" t="s">
        <v>3</v>
      </c>
      <c r="C75" s="16" t="s">
        <v>3</v>
      </c>
      <c r="D75" s="16" t="s">
        <v>2</v>
      </c>
      <c r="E75" s="22">
        <v>0</v>
      </c>
      <c r="F75" s="23" t="s">
        <v>80</v>
      </c>
      <c r="G75" s="23"/>
    </row>
    <row r="76" spans="1:7" s="24" customFormat="1" ht="15" customHeight="1" x14ac:dyDescent="0.25">
      <c r="A76" s="16" t="s">
        <v>100</v>
      </c>
      <c r="B76" s="16" t="s">
        <v>3</v>
      </c>
      <c r="C76" s="16" t="s">
        <v>3</v>
      </c>
      <c r="D76" s="16" t="s">
        <v>2</v>
      </c>
      <c r="E76" s="22">
        <v>0</v>
      </c>
      <c r="F76" s="23" t="s">
        <v>101</v>
      </c>
      <c r="G76" s="23"/>
    </row>
    <row r="77" spans="1:7" s="24" customFormat="1" ht="15" customHeight="1" x14ac:dyDescent="0.25">
      <c r="A77" s="16" t="s">
        <v>71</v>
      </c>
      <c r="B77" s="16" t="s">
        <v>3</v>
      </c>
      <c r="C77" s="16" t="s">
        <v>3</v>
      </c>
      <c r="D77" s="16" t="s">
        <v>2</v>
      </c>
      <c r="E77" s="22">
        <v>0</v>
      </c>
      <c r="F77" s="23" t="s">
        <v>72</v>
      </c>
      <c r="G77" s="23"/>
    </row>
    <row r="78" spans="1:7" s="24" customFormat="1" ht="15" customHeight="1" x14ac:dyDescent="0.25">
      <c r="A78" s="16" t="s">
        <v>83</v>
      </c>
      <c r="B78" s="16" t="s">
        <v>3</v>
      </c>
      <c r="C78" s="16" t="s">
        <v>3</v>
      </c>
      <c r="D78" s="16" t="s">
        <v>2</v>
      </c>
      <c r="E78" s="22">
        <v>0</v>
      </c>
      <c r="F78" s="23" t="s">
        <v>84</v>
      </c>
      <c r="G78" s="23"/>
    </row>
    <row r="79" spans="1:7" s="24" customFormat="1" ht="15" customHeight="1" x14ac:dyDescent="0.25">
      <c r="A79" s="16" t="s">
        <v>120</v>
      </c>
      <c r="B79" s="16" t="s">
        <v>3</v>
      </c>
      <c r="C79" s="16" t="s">
        <v>3</v>
      </c>
      <c r="D79" s="16" t="s">
        <v>2</v>
      </c>
      <c r="E79" s="22">
        <v>0</v>
      </c>
      <c r="F79" s="23" t="s">
        <v>121</v>
      </c>
      <c r="G79" s="23"/>
    </row>
    <row r="80" spans="1:7" s="24" customFormat="1" ht="15" customHeight="1" x14ac:dyDescent="0.25">
      <c r="A80" s="16" t="s">
        <v>122</v>
      </c>
      <c r="B80" s="16" t="s">
        <v>3</v>
      </c>
      <c r="C80" s="16" t="s">
        <v>3</v>
      </c>
      <c r="D80" s="16" t="s">
        <v>2</v>
      </c>
      <c r="E80" s="22">
        <v>0</v>
      </c>
      <c r="F80" s="23" t="s">
        <v>123</v>
      </c>
      <c r="G80" s="23"/>
    </row>
    <row r="81" spans="1:7" s="24" customFormat="1" ht="15" customHeight="1" x14ac:dyDescent="0.25">
      <c r="A81" s="16" t="s">
        <v>73</v>
      </c>
      <c r="B81" s="16" t="s">
        <v>3</v>
      </c>
      <c r="C81" s="16" t="s">
        <v>3</v>
      </c>
      <c r="D81" s="16" t="s">
        <v>2</v>
      </c>
      <c r="E81" s="22">
        <v>0</v>
      </c>
      <c r="F81" s="23" t="s">
        <v>74</v>
      </c>
      <c r="G81" s="23"/>
    </row>
    <row r="82" spans="1:7" s="24" customFormat="1" ht="15" customHeight="1" x14ac:dyDescent="0.25">
      <c r="A82" s="16" t="s">
        <v>81</v>
      </c>
      <c r="B82" s="16" t="s">
        <v>3</v>
      </c>
      <c r="C82" s="16" t="s">
        <v>3</v>
      </c>
      <c r="D82" s="16" t="s">
        <v>2</v>
      </c>
      <c r="E82" s="22">
        <v>0</v>
      </c>
      <c r="F82" s="23" t="s">
        <v>82</v>
      </c>
      <c r="G82" s="23"/>
    </row>
    <row r="83" spans="1:7" s="24" customFormat="1" ht="15" customHeight="1" x14ac:dyDescent="0.25">
      <c r="A83" s="16" t="s">
        <v>97</v>
      </c>
      <c r="B83" s="16" t="s">
        <v>3</v>
      </c>
      <c r="C83" s="16" t="s">
        <v>3</v>
      </c>
      <c r="D83" s="16" t="s">
        <v>2</v>
      </c>
      <c r="E83" s="22">
        <v>0</v>
      </c>
      <c r="F83" s="23" t="s">
        <v>74</v>
      </c>
      <c r="G83" s="23"/>
    </row>
    <row r="84" spans="1:7" s="24" customFormat="1" ht="15" customHeight="1" x14ac:dyDescent="0.25">
      <c r="A84" s="16" t="s">
        <v>98</v>
      </c>
      <c r="B84" s="16" t="s">
        <v>3</v>
      </c>
      <c r="C84" s="16" t="s">
        <v>3</v>
      </c>
      <c r="D84" s="16" t="s">
        <v>2</v>
      </c>
      <c r="E84" s="22">
        <v>0</v>
      </c>
      <c r="F84" s="23" t="s">
        <v>99</v>
      </c>
      <c r="G84" s="23"/>
    </row>
    <row r="85" spans="1:7" s="24" customFormat="1" ht="15" customHeight="1" x14ac:dyDescent="0.25">
      <c r="A85" s="16" t="s">
        <v>64</v>
      </c>
      <c r="B85" s="16" t="s">
        <v>3</v>
      </c>
      <c r="C85" s="16" t="s">
        <v>3</v>
      </c>
      <c r="D85" s="16" t="s">
        <v>2</v>
      </c>
      <c r="E85" s="22">
        <v>0</v>
      </c>
      <c r="F85" s="23" t="s">
        <v>65</v>
      </c>
      <c r="G85" s="23"/>
    </row>
    <row r="86" spans="1:7" s="24" customFormat="1" ht="15" customHeight="1" x14ac:dyDescent="0.25">
      <c r="A86" s="16" t="s">
        <v>7</v>
      </c>
      <c r="B86" s="16" t="s">
        <v>3</v>
      </c>
      <c r="C86" s="16" t="s">
        <v>3</v>
      </c>
      <c r="D86" s="16" t="s">
        <v>3</v>
      </c>
      <c r="E86" s="22">
        <v>0</v>
      </c>
      <c r="F86" s="23" t="s">
        <v>8</v>
      </c>
      <c r="G86" s="23"/>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7"/>
  <sheetViews>
    <sheetView workbookViewId="0">
      <pane ySplit="1" topLeftCell="A2" activePane="bottomLeft" state="frozen"/>
      <selection pane="bottomLeft"/>
    </sheetView>
  </sheetViews>
  <sheetFormatPr defaultRowHeight="15" x14ac:dyDescent="0.25"/>
  <cols>
    <col min="1" max="3" width="50" customWidth="1"/>
    <col min="4" max="4" width="71.42578125" customWidth="1"/>
  </cols>
  <sheetData>
    <row r="1" spans="1:4" s="5" customFormat="1" x14ac:dyDescent="0.25">
      <c r="A1" s="5" t="s">
        <v>435</v>
      </c>
      <c r="B1" s="5" t="s">
        <v>436</v>
      </c>
      <c r="C1" s="5" t="s">
        <v>437</v>
      </c>
      <c r="D1" s="5" t="s">
        <v>140</v>
      </c>
    </row>
    <row r="2" spans="1:4" x14ac:dyDescent="0.25">
      <c r="A2" t="s">
        <v>0</v>
      </c>
      <c r="B2" t="s">
        <v>412</v>
      </c>
      <c r="C2" t="s">
        <v>361</v>
      </c>
    </row>
    <row r="3" spans="1:4" x14ac:dyDescent="0.25">
      <c r="A3" t="s">
        <v>361</v>
      </c>
      <c r="B3" t="s">
        <v>363</v>
      </c>
      <c r="C3" t="s">
        <v>366</v>
      </c>
    </row>
    <row r="4" spans="1:4" x14ac:dyDescent="0.25">
      <c r="A4" t="s">
        <v>361</v>
      </c>
      <c r="B4" t="s">
        <v>375</v>
      </c>
      <c r="C4" t="s">
        <v>376</v>
      </c>
    </row>
    <row r="5" spans="1:4" x14ac:dyDescent="0.25">
      <c r="A5" t="s">
        <v>0</v>
      </c>
      <c r="B5" t="s">
        <v>255</v>
      </c>
      <c r="C5" t="s">
        <v>203</v>
      </c>
    </row>
    <row r="6" spans="1:4" x14ac:dyDescent="0.25">
      <c r="A6" t="s">
        <v>203</v>
      </c>
      <c r="B6" t="s">
        <v>367</v>
      </c>
      <c r="C6" t="s">
        <v>253</v>
      </c>
    </row>
    <row r="7" spans="1:4" x14ac:dyDescent="0.25">
      <c r="A7" t="s">
        <v>203</v>
      </c>
      <c r="B7" t="s">
        <v>368</v>
      </c>
      <c r="C7" t="s">
        <v>253</v>
      </c>
    </row>
    <row r="8" spans="1:4" x14ac:dyDescent="0.25">
      <c r="A8" t="s">
        <v>203</v>
      </c>
      <c r="B8" t="s">
        <v>369</v>
      </c>
      <c r="C8" t="s">
        <v>253</v>
      </c>
    </row>
    <row r="9" spans="1:4" x14ac:dyDescent="0.25">
      <c r="A9" t="s">
        <v>0</v>
      </c>
      <c r="B9" t="s">
        <v>256</v>
      </c>
      <c r="C9" t="s">
        <v>204</v>
      </c>
    </row>
    <row r="10" spans="1:4" x14ac:dyDescent="0.25">
      <c r="A10" t="s">
        <v>204</v>
      </c>
      <c r="B10" t="s">
        <v>370</v>
      </c>
      <c r="C10" t="s">
        <v>254</v>
      </c>
    </row>
    <row r="11" spans="1:4" x14ac:dyDescent="0.25">
      <c r="A11" t="s">
        <v>204</v>
      </c>
      <c r="B11" t="s">
        <v>371</v>
      </c>
      <c r="C11" t="s">
        <v>254</v>
      </c>
    </row>
    <row r="12" spans="1:4" x14ac:dyDescent="0.25">
      <c r="A12" t="s">
        <v>204</v>
      </c>
      <c r="B12" t="s">
        <v>372</v>
      </c>
      <c r="C12" t="s">
        <v>254</v>
      </c>
    </row>
    <row r="13" spans="1:4" x14ac:dyDescent="0.25">
      <c r="A13" t="s">
        <v>204</v>
      </c>
      <c r="B13" t="s">
        <v>373</v>
      </c>
      <c r="C13" t="s">
        <v>254</v>
      </c>
    </row>
    <row r="14" spans="1:4" x14ac:dyDescent="0.25">
      <c r="A14" t="s">
        <v>204</v>
      </c>
      <c r="B14" t="s">
        <v>374</v>
      </c>
      <c r="C14" t="s">
        <v>254</v>
      </c>
    </row>
    <row r="15" spans="1:4" x14ac:dyDescent="0.25">
      <c r="A15" t="s">
        <v>0</v>
      </c>
      <c r="B15" t="s">
        <v>257</v>
      </c>
      <c r="C15" t="s">
        <v>205</v>
      </c>
    </row>
    <row r="16" spans="1:4" x14ac:dyDescent="0.25">
      <c r="A16" t="s">
        <v>205</v>
      </c>
      <c r="B16" t="s">
        <v>378</v>
      </c>
      <c r="C16" t="s">
        <v>274</v>
      </c>
    </row>
    <row r="17" spans="1:3" x14ac:dyDescent="0.25">
      <c r="A17" t="s">
        <v>205</v>
      </c>
      <c r="B17" t="s">
        <v>427</v>
      </c>
      <c r="C17" t="s">
        <v>428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7"/>
  <sheetViews>
    <sheetView workbookViewId="0">
      <pane ySplit="1" topLeftCell="A2" activePane="bottomLeft" state="frozen"/>
      <selection pane="bottomLeft"/>
    </sheetView>
  </sheetViews>
  <sheetFormatPr defaultRowHeight="15" customHeight="1" x14ac:dyDescent="0.25"/>
  <cols>
    <col min="1" max="1" width="50" customWidth="1"/>
    <col min="2" max="2" width="50" style="13" customWidth="1"/>
  </cols>
  <sheetData>
    <row r="1" spans="1:2" s="5" customFormat="1" ht="15" customHeight="1" x14ac:dyDescent="0.25">
      <c r="A1" s="5" t="s">
        <v>491</v>
      </c>
      <c r="B1" s="5" t="s">
        <v>492</v>
      </c>
    </row>
    <row r="2" spans="1:2" s="20" customFormat="1" ht="15" customHeight="1" x14ac:dyDescent="0.25">
      <c r="A2" s="20" t="s">
        <v>0</v>
      </c>
      <c r="B2" s="20" t="s">
        <v>195</v>
      </c>
    </row>
    <row r="3" spans="1:2" s="24" customFormat="1" ht="15" customHeight="1" x14ac:dyDescent="0.25">
      <c r="A3" s="24" t="s">
        <v>311</v>
      </c>
      <c r="B3" s="23" t="s">
        <v>313</v>
      </c>
    </row>
    <row r="4" spans="1:2" s="24" customFormat="1" ht="15" customHeight="1" x14ac:dyDescent="0.25">
      <c r="A4" s="24" t="s">
        <v>312</v>
      </c>
      <c r="B4" s="23" t="s">
        <v>314</v>
      </c>
    </row>
    <row r="5" spans="1:2" s="20" customFormat="1" ht="15" customHeight="1" x14ac:dyDescent="0.25">
      <c r="A5" s="20" t="s">
        <v>0</v>
      </c>
      <c r="B5" s="20" t="s">
        <v>197</v>
      </c>
    </row>
    <row r="6" spans="1:2" s="24" customFormat="1" ht="15" customHeight="1" x14ac:dyDescent="0.25">
      <c r="A6" s="24" t="s">
        <v>198</v>
      </c>
      <c r="B6" s="23" t="s">
        <v>199</v>
      </c>
    </row>
    <row r="7" spans="1:2" s="24" customFormat="1" ht="15" customHeight="1" x14ac:dyDescent="0.25">
      <c r="A7" s="24" t="s">
        <v>225</v>
      </c>
      <c r="B7" s="23" t="s">
        <v>200</v>
      </c>
    </row>
    <row r="8" spans="1:2" ht="15" customHeight="1" x14ac:dyDescent="0.25">
      <c r="A8" t="s">
        <v>211</v>
      </c>
      <c r="B8" s="13" t="s">
        <v>214</v>
      </c>
    </row>
    <row r="9" spans="1:2" ht="15" customHeight="1" x14ac:dyDescent="0.25">
      <c r="A9" t="s">
        <v>212</v>
      </c>
      <c r="B9" s="13" t="s">
        <v>213</v>
      </c>
    </row>
    <row r="10" spans="1:2" ht="15" customHeight="1" x14ac:dyDescent="0.25">
      <c r="A10" t="s">
        <v>413</v>
      </c>
      <c r="B10" s="13" t="s">
        <v>415</v>
      </c>
    </row>
    <row r="11" spans="1:2" ht="15" customHeight="1" x14ac:dyDescent="0.25">
      <c r="A11" t="s">
        <v>414</v>
      </c>
      <c r="B11" s="26" t="s">
        <v>416</v>
      </c>
    </row>
    <row r="12" spans="1:2" ht="15" customHeight="1" x14ac:dyDescent="0.25">
      <c r="A12" t="s">
        <v>430</v>
      </c>
      <c r="B12" s="26" t="s">
        <v>415</v>
      </c>
    </row>
    <row r="13" spans="1:2" ht="15" customHeight="1" x14ac:dyDescent="0.25">
      <c r="A13" t="s">
        <v>431</v>
      </c>
      <c r="B13" s="26" t="s">
        <v>432</v>
      </c>
    </row>
    <row r="14" spans="1:2" ht="15" customHeight="1" x14ac:dyDescent="0.25">
      <c r="A14" t="s">
        <v>445</v>
      </c>
      <c r="B14" s="26" t="s">
        <v>503</v>
      </c>
    </row>
    <row r="15" spans="1:2" s="20" customFormat="1" ht="15" customHeight="1" x14ac:dyDescent="0.25">
      <c r="A15" s="20" t="s">
        <v>0</v>
      </c>
      <c r="B15" s="20" t="s">
        <v>362</v>
      </c>
    </row>
    <row r="16" spans="1:2" ht="15" customHeight="1" x14ac:dyDescent="0.25">
      <c r="A16" t="s">
        <v>361</v>
      </c>
      <c r="B16" s="13" t="s">
        <v>365</v>
      </c>
    </row>
    <row r="17" spans="1:2" ht="15" customHeight="1" x14ac:dyDescent="0.25">
      <c r="A17" t="s">
        <v>363</v>
      </c>
      <c r="B17" s="13" t="s">
        <v>364</v>
      </c>
    </row>
    <row r="18" spans="1:2" ht="15" customHeight="1" x14ac:dyDescent="0.25">
      <c r="A18" t="s">
        <v>375</v>
      </c>
      <c r="B18" s="13" t="s">
        <v>377</v>
      </c>
    </row>
    <row r="19" spans="1:2" s="20" customFormat="1" ht="15" customHeight="1" x14ac:dyDescent="0.25">
      <c r="A19" s="20" t="s">
        <v>0</v>
      </c>
      <c r="B19" s="20" t="s">
        <v>215</v>
      </c>
    </row>
    <row r="20" spans="1:2" ht="15" customHeight="1" x14ac:dyDescent="0.25">
      <c r="A20" t="s">
        <v>203</v>
      </c>
      <c r="B20" s="13" t="s">
        <v>208</v>
      </c>
    </row>
    <row r="21" spans="1:2" ht="15" customHeight="1" x14ac:dyDescent="0.25">
      <c r="A21" t="s">
        <v>367</v>
      </c>
      <c r="B21" s="13" t="s">
        <v>261</v>
      </c>
    </row>
    <row r="22" spans="1:2" ht="15" customHeight="1" x14ac:dyDescent="0.25">
      <c r="A22" t="s">
        <v>368</v>
      </c>
      <c r="B22" s="13" t="s">
        <v>262</v>
      </c>
    </row>
    <row r="23" spans="1:2" ht="15" customHeight="1" x14ac:dyDescent="0.25">
      <c r="A23" t="s">
        <v>369</v>
      </c>
      <c r="B23" s="13" t="s">
        <v>263</v>
      </c>
    </row>
    <row r="24" spans="1:2" s="20" customFormat="1" ht="15" customHeight="1" x14ac:dyDescent="0.25">
      <c r="A24" s="20" t="s">
        <v>0</v>
      </c>
      <c r="B24" s="20" t="s">
        <v>216</v>
      </c>
    </row>
    <row r="25" spans="1:2" ht="15" customHeight="1" x14ac:dyDescent="0.25">
      <c r="A25" t="s">
        <v>204</v>
      </c>
      <c r="B25" s="13" t="s">
        <v>209</v>
      </c>
    </row>
    <row r="26" spans="1:2" ht="15" customHeight="1" x14ac:dyDescent="0.25">
      <c r="A26" t="s">
        <v>370</v>
      </c>
      <c r="B26" s="13" t="s">
        <v>266</v>
      </c>
    </row>
    <row r="27" spans="1:2" ht="15" customHeight="1" x14ac:dyDescent="0.25">
      <c r="A27" t="s">
        <v>371</v>
      </c>
      <c r="B27" s="13" t="s">
        <v>267</v>
      </c>
    </row>
    <row r="28" spans="1:2" ht="15" customHeight="1" x14ac:dyDescent="0.25">
      <c r="A28" t="s">
        <v>372</v>
      </c>
      <c r="B28" s="13" t="s">
        <v>268</v>
      </c>
    </row>
    <row r="29" spans="1:2" ht="15" customHeight="1" x14ac:dyDescent="0.25">
      <c r="A29" t="s">
        <v>373</v>
      </c>
      <c r="B29" s="13" t="s">
        <v>269</v>
      </c>
    </row>
    <row r="30" spans="1:2" ht="15" customHeight="1" x14ac:dyDescent="0.25">
      <c r="A30" t="s">
        <v>374</v>
      </c>
      <c r="B30" s="13" t="s">
        <v>270</v>
      </c>
    </row>
    <row r="31" spans="1:2" s="20" customFormat="1" ht="15" customHeight="1" x14ac:dyDescent="0.25">
      <c r="A31" s="20" t="s">
        <v>0</v>
      </c>
      <c r="B31" s="20" t="s">
        <v>219</v>
      </c>
    </row>
    <row r="32" spans="1:2" ht="15" customHeight="1" x14ac:dyDescent="0.25">
      <c r="A32" t="s">
        <v>205</v>
      </c>
      <c r="B32" s="13" t="s">
        <v>210</v>
      </c>
    </row>
    <row r="33" spans="1:4" ht="15" customHeight="1" x14ac:dyDescent="0.25">
      <c r="A33" t="s">
        <v>378</v>
      </c>
      <c r="B33" s="13" t="s">
        <v>271</v>
      </c>
    </row>
    <row r="34" spans="1:4" ht="15" customHeight="1" x14ac:dyDescent="0.25">
      <c r="A34" t="s">
        <v>427</v>
      </c>
      <c r="B34" s="13" t="s">
        <v>429</v>
      </c>
    </row>
    <row r="35" spans="1:4" s="20" customFormat="1" ht="15" customHeight="1" x14ac:dyDescent="0.25">
      <c r="A35" s="20" t="s">
        <v>0</v>
      </c>
      <c r="B35" s="20" t="s">
        <v>465</v>
      </c>
    </row>
    <row r="36" spans="1:4" s="24" customFormat="1" ht="15" customHeight="1" x14ac:dyDescent="0.25">
      <c r="A36" s="29" t="s">
        <v>236</v>
      </c>
      <c r="B36" s="23" t="s">
        <v>237</v>
      </c>
    </row>
    <row r="37" spans="1:4" ht="15" customHeight="1" x14ac:dyDescent="0.25">
      <c r="A37" s="25" t="s">
        <v>279</v>
      </c>
      <c r="B37" s="13" t="s">
        <v>280</v>
      </c>
    </row>
    <row r="38" spans="1:4" s="24" customFormat="1" ht="15" customHeight="1" x14ac:dyDescent="0.25">
      <c r="A38" s="24" t="s">
        <v>189</v>
      </c>
      <c r="B38" s="23" t="s">
        <v>223</v>
      </c>
    </row>
    <row r="39" spans="1:4" ht="15" customHeight="1" x14ac:dyDescent="0.25">
      <c r="A39" s="25" t="s">
        <v>176</v>
      </c>
      <c r="B39" s="13" t="s">
        <v>222</v>
      </c>
    </row>
    <row r="40" spans="1:4" s="20" customFormat="1" ht="15" customHeight="1" x14ac:dyDescent="0.25">
      <c r="A40" s="20" t="s">
        <v>0</v>
      </c>
      <c r="B40" s="27" t="s">
        <v>466</v>
      </c>
    </row>
    <row r="41" spans="1:4" s="24" customFormat="1" ht="15" customHeight="1" x14ac:dyDescent="0.25">
      <c r="A41" s="29" t="s">
        <v>238</v>
      </c>
      <c r="B41" s="23" t="s">
        <v>239</v>
      </c>
      <c r="C41" s="23"/>
      <c r="D41" s="23"/>
    </row>
    <row r="42" spans="1:4" ht="15" customHeight="1" x14ac:dyDescent="0.25">
      <c r="A42" t="s">
        <v>194</v>
      </c>
      <c r="B42" s="13" t="s">
        <v>224</v>
      </c>
      <c r="C42" s="13"/>
      <c r="D42" s="13"/>
    </row>
    <row r="43" spans="1:4" ht="15" customHeight="1" x14ac:dyDescent="0.25">
      <c r="A43" t="s">
        <v>293</v>
      </c>
      <c r="B43" s="13" t="s">
        <v>294</v>
      </c>
      <c r="C43" s="13"/>
      <c r="D43" s="13"/>
    </row>
    <row r="44" spans="1:4" s="20" customFormat="1" x14ac:dyDescent="0.25">
      <c r="A44" s="20" t="s">
        <v>0</v>
      </c>
      <c r="B44" s="20" t="s">
        <v>470</v>
      </c>
    </row>
    <row r="45" spans="1:4" ht="15" customHeight="1" x14ac:dyDescent="0.25">
      <c r="A45" t="s">
        <v>298</v>
      </c>
      <c r="B45" s="13" t="s">
        <v>299</v>
      </c>
      <c r="C45" s="13"/>
      <c r="D45" s="13"/>
    </row>
    <row r="46" spans="1:4" s="20" customFormat="1" ht="15" customHeight="1" x14ac:dyDescent="0.25">
      <c r="A46" s="20" t="s">
        <v>0</v>
      </c>
      <c r="B46" s="19" t="s">
        <v>472</v>
      </c>
    </row>
    <row r="47" spans="1:4" ht="15" customHeight="1" x14ac:dyDescent="0.25">
      <c r="A47" s="24" t="s">
        <v>227</v>
      </c>
      <c r="B47" s="23" t="s">
        <v>228</v>
      </c>
      <c r="C47" s="23"/>
      <c r="D47" s="2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3"/>
  <sheetViews>
    <sheetView workbookViewId="0">
      <pane ySplit="1" topLeftCell="A2" activePane="bottomLeft" state="frozen"/>
      <selection pane="bottomLeft" activeCell="A15" sqref="A15"/>
    </sheetView>
  </sheetViews>
  <sheetFormatPr defaultRowHeight="15" x14ac:dyDescent="0.25"/>
  <cols>
    <col min="1" max="2" width="50" customWidth="1"/>
  </cols>
  <sheetData>
    <row r="1" spans="1:2" s="5" customFormat="1" x14ac:dyDescent="0.25">
      <c r="A1" s="5" t="s">
        <v>493</v>
      </c>
      <c r="B1" s="5" t="s">
        <v>492</v>
      </c>
    </row>
    <row r="2" spans="1:2" s="20" customFormat="1" ht="15" customHeight="1" x14ac:dyDescent="0.25">
      <c r="A2" s="20" t="s">
        <v>0</v>
      </c>
      <c r="B2" s="20" t="s">
        <v>148</v>
      </c>
    </row>
    <row r="3" spans="1:2" s="24" customFormat="1" ht="15" customHeight="1" x14ac:dyDescent="0.25">
      <c r="A3" s="24" t="s">
        <v>150</v>
      </c>
      <c r="B3" s="28" t="s">
        <v>159</v>
      </c>
    </row>
    <row r="4" spans="1:2" s="20" customFormat="1" ht="15" customHeight="1" x14ac:dyDescent="0.25">
      <c r="A4" s="20" t="s">
        <v>0</v>
      </c>
      <c r="B4" s="20" t="s">
        <v>151</v>
      </c>
    </row>
    <row r="5" spans="1:2" s="24" customFormat="1" ht="15" customHeight="1" x14ac:dyDescent="0.25">
      <c r="A5" s="24" t="s">
        <v>165</v>
      </c>
      <c r="B5" s="23">
        <v>611057</v>
      </c>
    </row>
    <row r="6" spans="1:2" s="24" customFormat="1" ht="15" customHeight="1" x14ac:dyDescent="0.25">
      <c r="A6" s="24" t="s">
        <v>166</v>
      </c>
      <c r="B6" s="23">
        <v>286421</v>
      </c>
    </row>
    <row r="7" spans="1:2" s="24" customFormat="1" ht="15" customHeight="1" x14ac:dyDescent="0.25">
      <c r="A7" s="24" t="s">
        <v>152</v>
      </c>
      <c r="B7" s="23">
        <v>126989</v>
      </c>
    </row>
    <row r="8" spans="1:2" s="24" customFormat="1" ht="15" customHeight="1" x14ac:dyDescent="0.25">
      <c r="A8" s="24" t="s">
        <v>329</v>
      </c>
      <c r="B8" s="23">
        <v>1.5</v>
      </c>
    </row>
    <row r="9" spans="1:2" s="20" customFormat="1" ht="15" customHeight="1" x14ac:dyDescent="0.25">
      <c r="A9" s="20" t="s">
        <v>0</v>
      </c>
      <c r="B9" s="20" t="s">
        <v>322</v>
      </c>
    </row>
    <row r="10" spans="1:2" s="24" customFormat="1" ht="15" customHeight="1" x14ac:dyDescent="0.25">
      <c r="A10" s="24" t="s">
        <v>321</v>
      </c>
      <c r="B10" s="23">
        <f>B21+B23</f>
        <v>610</v>
      </c>
    </row>
    <row r="11" spans="1:2" s="24" customFormat="1" ht="15" customHeight="1" x14ac:dyDescent="0.25">
      <c r="A11" s="24" t="s">
        <v>318</v>
      </c>
      <c r="B11" s="23">
        <f>COUNTA(IM.Initialize!A:A)-COUNTIF(IM.Initialize!A:A,"#")-1</f>
        <v>12</v>
      </c>
    </row>
    <row r="12" spans="1:2" s="24" customFormat="1" ht="15" customHeight="1" x14ac:dyDescent="0.25">
      <c r="A12" s="24" t="s">
        <v>319</v>
      </c>
      <c r="B12" s="23">
        <f>COUNTA(LM.Initialize!A:A)-COUNTIF(LM.Initialize!A:A,"#")</f>
        <v>76</v>
      </c>
    </row>
    <row r="13" spans="1:2" s="24" customFormat="1" ht="15" customHeight="1" x14ac:dyDescent="0.25">
      <c r="A13" s="24" t="s">
        <v>320</v>
      </c>
      <c r="B13" s="23">
        <f>COUNTIF(def.env.var!C:C,"Data_int")+COUNTIF(def.V1.var!C:C,"Data_int")+COUNTIF(def.MT.var!C:C,"Data_int")+COUNTIF(def.lin.var!C:C,"Data_int")+COUNTIF(def.sim.var!C:C,"Data_int")</f>
        <v>2</v>
      </c>
    </row>
    <row r="14" spans="1:2" s="24" customFormat="1" ht="15" customHeight="1" x14ac:dyDescent="0.25">
      <c r="A14" s="24" t="s">
        <v>324</v>
      </c>
      <c r="B14" s="23">
        <f>COUNTIF(def.env.var!C:C,"Data_float")+COUNTIF(def.V1.var!C:C,"Data_float")+COUNTIF(def.MT.var!C:C,"Data_float")+COUNTIF(def.lin.var!C:C,"Data_float")+COUNTIF(def.sim.var!C:C,"Data_float")</f>
        <v>0</v>
      </c>
    </row>
    <row r="15" spans="1:2" s="24" customFormat="1" ht="15" customHeight="1" x14ac:dyDescent="0.25">
      <c r="A15" s="24" t="s">
        <v>323</v>
      </c>
      <c r="B15" s="23">
        <f>COUNTIF(def.env.var!C:C,"Data_double")+COUNTIF(def.V1.var!C:C,"Data_double")+COUNTIF(def.MT.var!C:C,"Data_double")+COUNTIF(def.lin.var!C:C,"Data_double")+COUNTIF(def.sim.var!C:C,"Data_double")+B21*B21</f>
        <v>360022</v>
      </c>
    </row>
    <row r="16" spans="1:2" s="24" customFormat="1" ht="15" customHeight="1" x14ac:dyDescent="0.25">
      <c r="A16" s="24" t="s">
        <v>325</v>
      </c>
      <c r="B16" s="23">
        <f>COUNTIF(def.env.var!C:C,"Data_string")+COUNTIF(def.V1.var!C:C,"Data_string")+COUNTIF(def.MT.var!C:C,"Data_string")+COUNTIF(def.lin.var!C:C,"Data_string")+COUNTIF(def.sim.var!C:C,"Data_string")</f>
        <v>10</v>
      </c>
    </row>
    <row r="17" spans="1:4" s="24" customFormat="1" ht="15" customHeight="1" x14ac:dyDescent="0.25">
      <c r="A17" s="24" t="s">
        <v>326</v>
      </c>
      <c r="B17" s="23">
        <f>COUNTIF(def.env.var!C:C,"Data_bool")+COUNTIF(def.V1.var!C:C,"Data_bool")+COUNTIF(def.MT.var!C:C,"Data_bool")+COUNTIF(def.lin.var!C:C,"Data_bool")+COUNTIF(def.sim.var!C:C,"Data_bool")</f>
        <v>2</v>
      </c>
    </row>
    <row r="18" spans="1:4" s="24" customFormat="1" ht="15" customHeight="1" x14ac:dyDescent="0.25">
      <c r="A18" s="24" t="s">
        <v>328</v>
      </c>
      <c r="B18" s="23" t="str">
        <f>CONCATENATEDELIMETER(A13:A17," + ")</f>
        <v>SETTINGS_MANAGER_INT_HASH_SIZE + SETTINGS_MANAGER_FLOAT_HASH_SIZE + SETTINGS_MANAGER_DOUBLE_HASH_SIZE + SETTINGS_MANAGER_STRING_HASH_SIZE + SETTINGS_MANAGER_BOOL_HASH_SIZE</v>
      </c>
    </row>
    <row r="19" spans="1:4" s="24" customFormat="1" ht="15" customHeight="1" x14ac:dyDescent="0.25">
      <c r="A19" s="24" t="s">
        <v>327</v>
      </c>
      <c r="B19" s="23" t="str">
        <f>CONCATENATEDELIMETER(A13:A17," + ")</f>
        <v>SETTINGS_MANAGER_INT_HASH_SIZE + SETTINGS_MANAGER_FLOAT_HASH_SIZE + SETTINGS_MANAGER_DOUBLE_HASH_SIZE + SETTINGS_MANAGER_STRING_HASH_SIZE + SETTINGS_MANAGER_BOOL_HASH_SIZE</v>
      </c>
    </row>
    <row r="20" spans="1:4" s="20" customFormat="1" x14ac:dyDescent="0.25">
      <c r="A20" s="20" t="s">
        <v>0</v>
      </c>
      <c r="B20" s="20" t="s">
        <v>465</v>
      </c>
    </row>
    <row r="21" spans="1:4" ht="15" customHeight="1" x14ac:dyDescent="0.25">
      <c r="A21" s="25" t="s">
        <v>482</v>
      </c>
      <c r="B21" s="13">
        <v>600</v>
      </c>
    </row>
    <row r="22" spans="1:4" s="20" customFormat="1" x14ac:dyDescent="0.25">
      <c r="A22" s="20" t="s">
        <v>0</v>
      </c>
      <c r="B22" s="20" t="s">
        <v>466</v>
      </c>
    </row>
    <row r="23" spans="1:4" ht="15" customHeight="1" x14ac:dyDescent="0.25">
      <c r="A23" t="s">
        <v>483</v>
      </c>
      <c r="B23" s="13">
        <v>10</v>
      </c>
      <c r="C23" s="13"/>
      <c r="D23" s="1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4"/>
  <sheetViews>
    <sheetView workbookViewId="0">
      <pane ySplit="1" topLeftCell="A2" activePane="bottomLeft" state="frozen"/>
      <selection pane="bottomLeft" activeCell="F1" sqref="F1"/>
    </sheetView>
  </sheetViews>
  <sheetFormatPr defaultRowHeight="15" x14ac:dyDescent="0.25"/>
  <cols>
    <col min="1" max="3" width="50" customWidth="1"/>
    <col min="4" max="4" width="9.140625" customWidth="1"/>
  </cols>
  <sheetData>
    <row r="1" spans="1:6" s="5" customFormat="1" x14ac:dyDescent="0.25">
      <c r="A1" s="5" t="s">
        <v>494</v>
      </c>
      <c r="B1" s="5" t="s">
        <v>493</v>
      </c>
      <c r="C1" s="5" t="s">
        <v>495</v>
      </c>
      <c r="D1" s="5" t="s">
        <v>496</v>
      </c>
      <c r="E1" s="5" t="s">
        <v>502</v>
      </c>
      <c r="F1" s="5" t="s">
        <v>507</v>
      </c>
    </row>
    <row r="2" spans="1:6" ht="15" customHeight="1" x14ac:dyDescent="0.25">
      <c r="A2" s="13" t="s">
        <v>408</v>
      </c>
      <c r="B2" s="25" t="s">
        <v>251</v>
      </c>
      <c r="C2" s="13" t="s">
        <v>164</v>
      </c>
      <c r="D2" s="13">
        <v>1</v>
      </c>
      <c r="E2" s="13"/>
    </row>
    <row r="3" spans="1:6" ht="15" customHeight="1" x14ac:dyDescent="0.25">
      <c r="A3" s="13" t="s">
        <v>421</v>
      </c>
      <c r="B3" s="25" t="s">
        <v>422</v>
      </c>
      <c r="C3" s="13" t="s">
        <v>242</v>
      </c>
      <c r="D3" s="13">
        <v>1</v>
      </c>
      <c r="E3" s="13"/>
    </row>
    <row r="4" spans="1:6" ht="15" customHeight="1" x14ac:dyDescent="0.25">
      <c r="A4" s="13" t="s">
        <v>434</v>
      </c>
      <c r="B4" s="25" t="s">
        <v>433</v>
      </c>
      <c r="C4" s="13" t="s">
        <v>164</v>
      </c>
      <c r="D4" s="13">
        <v>1</v>
      </c>
      <c r="E4" s="1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7"/>
  <sheetViews>
    <sheetView workbookViewId="0">
      <pane ySplit="1" topLeftCell="A2" activePane="bottomLeft" state="frozen"/>
      <selection pane="bottomLeft" sqref="A1:XFD1"/>
    </sheetView>
  </sheetViews>
  <sheetFormatPr defaultRowHeight="15" x14ac:dyDescent="0.25"/>
  <cols>
    <col min="1" max="2" width="50" customWidth="1"/>
  </cols>
  <sheetData>
    <row r="1" spans="1:2" s="5" customFormat="1" x14ac:dyDescent="0.25">
      <c r="A1" s="5" t="s">
        <v>493</v>
      </c>
      <c r="B1" s="5" t="s">
        <v>497</v>
      </c>
    </row>
    <row r="2" spans="1:2" ht="15" customHeight="1" x14ac:dyDescent="0.25">
      <c r="A2" t="s">
        <v>155</v>
      </c>
      <c r="B2" s="26" t="s">
        <v>157</v>
      </c>
    </row>
    <row r="3" spans="1:2" ht="15" customHeight="1" x14ac:dyDescent="0.25">
      <c r="A3" t="s">
        <v>156</v>
      </c>
      <c r="B3" s="26" t="s">
        <v>158</v>
      </c>
    </row>
    <row r="4" spans="1:2" ht="15" customHeight="1" x14ac:dyDescent="0.25">
      <c r="A4" t="s">
        <v>426</v>
      </c>
      <c r="B4" s="26" t="s">
        <v>158</v>
      </c>
    </row>
    <row r="5" spans="1:2" ht="15" customHeight="1" x14ac:dyDescent="0.25">
      <c r="A5" s="25" t="s">
        <v>441</v>
      </c>
      <c r="B5" s="26" t="s">
        <v>158</v>
      </c>
    </row>
    <row r="6" spans="1:2" ht="15" customHeight="1" x14ac:dyDescent="0.25">
      <c r="A6" s="25" t="s">
        <v>442</v>
      </c>
      <c r="B6" s="26">
        <v>10</v>
      </c>
    </row>
    <row r="7" spans="1:2" ht="15" customHeight="1" x14ac:dyDescent="0.25">
      <c r="A7" s="25" t="s">
        <v>443</v>
      </c>
      <c r="B7" s="26" t="s">
        <v>158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26"/>
  <sheetViews>
    <sheetView workbookViewId="0">
      <pane ySplit="1" topLeftCell="A2" activePane="bottomLeft" state="frozen"/>
      <selection pane="bottomLeft" activeCell="F1" sqref="F1"/>
    </sheetView>
  </sheetViews>
  <sheetFormatPr defaultRowHeight="15" x14ac:dyDescent="0.25"/>
  <cols>
    <col min="1" max="3" width="50" customWidth="1"/>
  </cols>
  <sheetData>
    <row r="1" spans="1:6" s="5" customFormat="1" x14ac:dyDescent="0.25">
      <c r="A1" s="5" t="s">
        <v>494</v>
      </c>
      <c r="B1" s="5" t="s">
        <v>493</v>
      </c>
      <c r="C1" s="5" t="s">
        <v>495</v>
      </c>
      <c r="D1" s="5" t="s">
        <v>496</v>
      </c>
      <c r="E1" s="5" t="s">
        <v>502</v>
      </c>
      <c r="F1" s="5" t="s">
        <v>507</v>
      </c>
    </row>
    <row r="2" spans="1:6" ht="15" customHeight="1" x14ac:dyDescent="0.25">
      <c r="A2" s="13" t="s">
        <v>438</v>
      </c>
      <c r="B2" s="25" t="s">
        <v>446</v>
      </c>
      <c r="C2" s="13" t="s">
        <v>179</v>
      </c>
      <c r="D2" s="13">
        <v>8</v>
      </c>
      <c r="E2" s="13" t="s">
        <v>501</v>
      </c>
      <c r="F2" s="15" t="s">
        <v>505</v>
      </c>
    </row>
    <row r="3" spans="1:6" ht="15" customHeight="1" x14ac:dyDescent="0.25">
      <c r="A3" s="13" t="s">
        <v>407</v>
      </c>
      <c r="B3" s="25" t="s">
        <v>308</v>
      </c>
      <c r="C3" s="13" t="s">
        <v>171</v>
      </c>
      <c r="D3" s="13">
        <v>1</v>
      </c>
    </row>
    <row r="4" spans="1:6" ht="15" customHeight="1" x14ac:dyDescent="0.25">
      <c r="A4" s="13" t="s">
        <v>406</v>
      </c>
      <c r="B4" s="25" t="s">
        <v>170</v>
      </c>
      <c r="C4" s="13" t="s">
        <v>171</v>
      </c>
      <c r="D4" s="13">
        <v>1</v>
      </c>
    </row>
    <row r="5" spans="1:6" ht="15" customHeight="1" x14ac:dyDescent="0.25">
      <c r="A5" s="13" t="s">
        <v>405</v>
      </c>
      <c r="B5" s="25" t="s">
        <v>173</v>
      </c>
      <c r="C5" s="13" t="s">
        <v>171</v>
      </c>
      <c r="D5" s="13">
        <v>1</v>
      </c>
    </row>
    <row r="6" spans="1:6" ht="15" customHeight="1" x14ac:dyDescent="0.25">
      <c r="A6" s="13" t="s">
        <v>404</v>
      </c>
      <c r="B6" s="25" t="s">
        <v>233</v>
      </c>
      <c r="C6" s="13" t="s">
        <v>171</v>
      </c>
      <c r="D6" s="13">
        <v>1</v>
      </c>
    </row>
    <row r="7" spans="1:6" s="46" customFormat="1" ht="15" customHeight="1" x14ac:dyDescent="0.25">
      <c r="A7" s="47" t="s">
        <v>0</v>
      </c>
      <c r="B7" s="48" t="s">
        <v>278</v>
      </c>
      <c r="C7" s="47"/>
      <c r="D7" s="47"/>
    </row>
    <row r="8" spans="1:6" s="20" customFormat="1" ht="15" customHeight="1" x14ac:dyDescent="0.25">
      <c r="A8" s="19" t="s">
        <v>0</v>
      </c>
      <c r="B8" s="27" t="s">
        <v>284</v>
      </c>
      <c r="C8" s="19"/>
      <c r="D8" s="19"/>
    </row>
    <row r="9" spans="1:6" ht="15" customHeight="1" x14ac:dyDescent="0.25">
      <c r="A9" s="13" t="s">
        <v>403</v>
      </c>
      <c r="B9" s="25" t="s">
        <v>315</v>
      </c>
      <c r="C9" s="13" t="s">
        <v>179</v>
      </c>
      <c r="D9" s="13">
        <v>1</v>
      </c>
    </row>
    <row r="10" spans="1:6" ht="15" customHeight="1" x14ac:dyDescent="0.25">
      <c r="A10" s="13" t="s">
        <v>402</v>
      </c>
      <c r="B10" s="25" t="s">
        <v>316</v>
      </c>
      <c r="C10" s="13" t="s">
        <v>179</v>
      </c>
      <c r="D10" s="13">
        <v>1</v>
      </c>
    </row>
    <row r="11" spans="1:6" ht="15" customHeight="1" x14ac:dyDescent="0.25">
      <c r="A11" s="13" t="s">
        <v>401</v>
      </c>
      <c r="B11" s="25" t="s">
        <v>317</v>
      </c>
      <c r="C11" s="13" t="s">
        <v>179</v>
      </c>
      <c r="D11" s="13">
        <v>1</v>
      </c>
    </row>
    <row r="12" spans="1:6" s="46" customFormat="1" ht="15" customHeight="1" x14ac:dyDescent="0.25">
      <c r="A12" s="47" t="s">
        <v>0</v>
      </c>
      <c r="B12" s="48" t="s">
        <v>282</v>
      </c>
      <c r="C12" s="47"/>
      <c r="D12" s="47"/>
    </row>
    <row r="13" spans="1:6" s="20" customFormat="1" ht="15" customHeight="1" x14ac:dyDescent="0.25">
      <c r="A13" s="19" t="s">
        <v>0</v>
      </c>
      <c r="B13" s="27" t="s">
        <v>283</v>
      </c>
      <c r="C13" s="19"/>
      <c r="D13" s="19"/>
    </row>
    <row r="14" spans="1:6" ht="15" customHeight="1" x14ac:dyDescent="0.25">
      <c r="A14" s="13" t="s">
        <v>400</v>
      </c>
      <c r="B14" s="25" t="s">
        <v>178</v>
      </c>
      <c r="C14" s="13" t="s">
        <v>179</v>
      </c>
      <c r="D14" s="13">
        <v>1</v>
      </c>
    </row>
    <row r="15" spans="1:6" ht="15" customHeight="1" x14ac:dyDescent="0.25">
      <c r="A15" s="13" t="s">
        <v>399</v>
      </c>
      <c r="B15" s="25" t="s">
        <v>180</v>
      </c>
      <c r="C15" s="13" t="s">
        <v>179</v>
      </c>
      <c r="D15" s="13">
        <v>1</v>
      </c>
    </row>
    <row r="16" spans="1:6" ht="15" customHeight="1" x14ac:dyDescent="0.25">
      <c r="A16" s="13" t="s">
        <v>398</v>
      </c>
      <c r="B16" s="25" t="s">
        <v>181</v>
      </c>
      <c r="C16" s="13" t="s">
        <v>179</v>
      </c>
      <c r="D16" s="13">
        <v>1</v>
      </c>
    </row>
    <row r="17" spans="1:4" ht="15" customHeight="1" x14ac:dyDescent="0.25">
      <c r="A17" s="13" t="s">
        <v>397</v>
      </c>
      <c r="B17" s="25" t="s">
        <v>331</v>
      </c>
      <c r="C17" s="13" t="s">
        <v>179</v>
      </c>
      <c r="D17" s="13">
        <v>1</v>
      </c>
    </row>
    <row r="18" spans="1:4" s="46" customFormat="1" ht="15" customHeight="1" x14ac:dyDescent="0.25">
      <c r="A18" s="47" t="s">
        <v>0</v>
      </c>
      <c r="B18" s="46" t="s">
        <v>444</v>
      </c>
      <c r="C18" s="47"/>
      <c r="D18" s="47"/>
    </row>
    <row r="19" spans="1:4" s="20" customFormat="1" ht="15" customHeight="1" x14ac:dyDescent="0.25">
      <c r="A19" s="19" t="s">
        <v>0</v>
      </c>
      <c r="B19" s="20" t="s">
        <v>286</v>
      </c>
      <c r="C19" s="19"/>
      <c r="D19" s="19"/>
    </row>
    <row r="20" spans="1:4" ht="15" customHeight="1" x14ac:dyDescent="0.25">
      <c r="A20" t="s">
        <v>396</v>
      </c>
      <c r="B20" t="s">
        <v>182</v>
      </c>
      <c r="C20" s="13" t="s">
        <v>179</v>
      </c>
      <c r="D20" s="13">
        <v>1</v>
      </c>
    </row>
    <row r="21" spans="1:4" ht="15" customHeight="1" x14ac:dyDescent="0.25">
      <c r="A21" t="s">
        <v>395</v>
      </c>
      <c r="B21" t="s">
        <v>183</v>
      </c>
      <c r="C21" s="13" t="s">
        <v>179</v>
      </c>
      <c r="D21" s="13">
        <v>1</v>
      </c>
    </row>
    <row r="22" spans="1:4" ht="15" customHeight="1" x14ac:dyDescent="0.25">
      <c r="A22" t="s">
        <v>394</v>
      </c>
      <c r="B22" t="s">
        <v>184</v>
      </c>
      <c r="C22" s="13" t="s">
        <v>179</v>
      </c>
      <c r="D22" s="13">
        <v>1</v>
      </c>
    </row>
    <row r="23" spans="1:4" ht="15" customHeight="1" x14ac:dyDescent="0.25">
      <c r="A23" t="s">
        <v>393</v>
      </c>
      <c r="B23" t="s">
        <v>185</v>
      </c>
      <c r="C23" s="13" t="s">
        <v>179</v>
      </c>
      <c r="D23" s="13">
        <v>1</v>
      </c>
    </row>
    <row r="24" spans="1:4" ht="15" customHeight="1" x14ac:dyDescent="0.25">
      <c r="A24" t="s">
        <v>392</v>
      </c>
      <c r="B24" t="s">
        <v>186</v>
      </c>
      <c r="C24" s="13" t="s">
        <v>179</v>
      </c>
      <c r="D24" s="13">
        <v>1</v>
      </c>
    </row>
    <row r="25" spans="1:4" ht="15" customHeight="1" x14ac:dyDescent="0.25">
      <c r="A25" t="s">
        <v>391</v>
      </c>
      <c r="B25" t="s">
        <v>187</v>
      </c>
      <c r="C25" s="13" t="s">
        <v>179</v>
      </c>
      <c r="D25" s="13">
        <v>1</v>
      </c>
    </row>
    <row r="26" spans="1:4" ht="15" customHeight="1" x14ac:dyDescent="0.25">
      <c r="A26" t="s">
        <v>390</v>
      </c>
      <c r="B26" t="s">
        <v>188</v>
      </c>
      <c r="C26" s="13" t="s">
        <v>242</v>
      </c>
      <c r="D26" s="13">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19"/>
  <sheetViews>
    <sheetView workbookViewId="0">
      <pane ySplit="1" topLeftCell="A2" activePane="bottomLeft" state="frozen"/>
      <selection pane="bottomLeft" sqref="A1:XFD1"/>
    </sheetView>
  </sheetViews>
  <sheetFormatPr defaultRowHeight="15" x14ac:dyDescent="0.25"/>
  <cols>
    <col min="1" max="2" width="50" customWidth="1"/>
  </cols>
  <sheetData>
    <row r="1" spans="1:2" s="5" customFormat="1" x14ac:dyDescent="0.25">
      <c r="A1" s="5" t="s">
        <v>493</v>
      </c>
      <c r="B1" s="5" t="s">
        <v>497</v>
      </c>
    </row>
    <row r="2" spans="1:2" ht="15" customHeight="1" x14ac:dyDescent="0.25">
      <c r="A2" s="25" t="s">
        <v>447</v>
      </c>
      <c r="B2" s="13" t="s">
        <v>172</v>
      </c>
    </row>
    <row r="3" spans="1:2" ht="15" customHeight="1" x14ac:dyDescent="0.25">
      <c r="A3" s="25" t="s">
        <v>448</v>
      </c>
      <c r="B3" s="13" t="s">
        <v>172</v>
      </c>
    </row>
    <row r="4" spans="1:2" ht="15" customHeight="1" x14ac:dyDescent="0.25">
      <c r="A4" s="25" t="s">
        <v>449</v>
      </c>
      <c r="B4" s="13" t="s">
        <v>172</v>
      </c>
    </row>
    <row r="5" spans="1:2" ht="15" customHeight="1" x14ac:dyDescent="0.25">
      <c r="A5" s="25" t="s">
        <v>450</v>
      </c>
      <c r="B5" s="13" t="s">
        <v>172</v>
      </c>
    </row>
    <row r="6" spans="1:2" ht="15" customHeight="1" x14ac:dyDescent="0.25">
      <c r="A6" s="25" t="s">
        <v>451</v>
      </c>
      <c r="B6" s="13">
        <v>1</v>
      </c>
    </row>
    <row r="7" spans="1:2" ht="15" customHeight="1" x14ac:dyDescent="0.25">
      <c r="A7" s="25" t="s">
        <v>452</v>
      </c>
      <c r="B7" s="13">
        <v>5</v>
      </c>
    </row>
    <row r="8" spans="1:2" ht="15" customHeight="1" x14ac:dyDescent="0.25">
      <c r="A8" s="25" t="s">
        <v>453</v>
      </c>
      <c r="B8" s="13">
        <v>0.17</v>
      </c>
    </row>
    <row r="9" spans="1:2" ht="15" customHeight="1" x14ac:dyDescent="0.25">
      <c r="A9" s="25" t="s">
        <v>454</v>
      </c>
      <c r="B9" s="13">
        <v>-0.1</v>
      </c>
    </row>
    <row r="10" spans="1:2" ht="15" customHeight="1" x14ac:dyDescent="0.25">
      <c r="A10" s="25" t="s">
        <v>455</v>
      </c>
      <c r="B10" s="13">
        <v>0.2</v>
      </c>
    </row>
    <row r="11" spans="1:2" ht="15" customHeight="1" x14ac:dyDescent="0.25">
      <c r="A11" s="25" t="s">
        <v>456</v>
      </c>
      <c r="B11" s="13">
        <v>-0.8</v>
      </c>
    </row>
    <row r="12" spans="1:2" ht="15" customHeight="1" x14ac:dyDescent="0.25">
      <c r="A12" s="25" t="s">
        <v>457</v>
      </c>
      <c r="B12" s="13">
        <v>100</v>
      </c>
    </row>
    <row r="13" spans="1:2" ht="15" customHeight="1" x14ac:dyDescent="0.25">
      <c r="A13" t="s">
        <v>458</v>
      </c>
      <c r="B13" s="13">
        <v>0</v>
      </c>
    </row>
    <row r="14" spans="1:2" ht="15" customHeight="1" x14ac:dyDescent="0.25">
      <c r="A14" t="s">
        <v>459</v>
      </c>
      <c r="B14" s="13">
        <v>0</v>
      </c>
    </row>
    <row r="15" spans="1:2" ht="15" customHeight="1" x14ac:dyDescent="0.25">
      <c r="A15" t="s">
        <v>460</v>
      </c>
      <c r="B15" s="13">
        <v>0</v>
      </c>
    </row>
    <row r="16" spans="1:2" ht="15" customHeight="1" x14ac:dyDescent="0.25">
      <c r="A16" t="s">
        <v>461</v>
      </c>
      <c r="B16" s="13">
        <v>0</v>
      </c>
    </row>
    <row r="17" spans="1:2" ht="15" customHeight="1" x14ac:dyDescent="0.25">
      <c r="A17" t="s">
        <v>462</v>
      </c>
      <c r="B17" s="13">
        <v>0</v>
      </c>
    </row>
    <row r="18" spans="1:2" ht="15" customHeight="1" x14ac:dyDescent="0.25">
      <c r="A18" t="s">
        <v>463</v>
      </c>
      <c r="B18" s="13">
        <v>0</v>
      </c>
    </row>
    <row r="19" spans="1:2" ht="15" customHeight="1" x14ac:dyDescent="0.25">
      <c r="A19" t="s">
        <v>464</v>
      </c>
      <c r="B19" s="13">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9"/>
  <sheetViews>
    <sheetView workbookViewId="0">
      <pane ySplit="1" topLeftCell="A2" activePane="bottomLeft" state="frozen"/>
      <selection pane="bottomLeft"/>
    </sheetView>
  </sheetViews>
  <sheetFormatPr defaultRowHeight="15" x14ac:dyDescent="0.25"/>
  <cols>
    <col min="1" max="3" width="50" customWidth="1"/>
  </cols>
  <sheetData>
    <row r="1" spans="1:6" s="5" customFormat="1" x14ac:dyDescent="0.25">
      <c r="A1" s="5" t="s">
        <v>494</v>
      </c>
      <c r="B1" s="5" t="s">
        <v>493</v>
      </c>
      <c r="C1" s="5" t="s">
        <v>495</v>
      </c>
      <c r="D1" s="5" t="s">
        <v>496</v>
      </c>
      <c r="E1" s="5" t="s">
        <v>502</v>
      </c>
      <c r="F1" s="5" t="s">
        <v>507</v>
      </c>
    </row>
    <row r="2" spans="1:6" ht="15" customHeight="1" x14ac:dyDescent="0.25">
      <c r="A2" s="13" t="s">
        <v>439</v>
      </c>
      <c r="B2" s="25" t="s">
        <v>498</v>
      </c>
      <c r="C2" s="13" t="s">
        <v>179</v>
      </c>
      <c r="D2" s="13">
        <v>6</v>
      </c>
      <c r="E2" s="13" t="s">
        <v>501</v>
      </c>
      <c r="F2" s="15" t="s">
        <v>506</v>
      </c>
    </row>
    <row r="3" spans="1:6" ht="15" customHeight="1" x14ac:dyDescent="0.25">
      <c r="A3" s="13" t="s">
        <v>389</v>
      </c>
      <c r="B3" s="25" t="s">
        <v>310</v>
      </c>
      <c r="C3" s="13" t="s">
        <v>171</v>
      </c>
      <c r="D3" s="13">
        <v>1</v>
      </c>
    </row>
    <row r="4" spans="1:6" ht="15" customHeight="1" x14ac:dyDescent="0.25">
      <c r="A4" s="13" t="s">
        <v>388</v>
      </c>
      <c r="B4" t="s">
        <v>192</v>
      </c>
      <c r="C4" s="13" t="s">
        <v>171</v>
      </c>
      <c r="D4" s="13">
        <v>1</v>
      </c>
    </row>
    <row r="5" spans="1:6" ht="15" customHeight="1" x14ac:dyDescent="0.25">
      <c r="A5" s="13" t="s">
        <v>387</v>
      </c>
      <c r="B5" t="s">
        <v>193</v>
      </c>
      <c r="C5" s="13" t="s">
        <v>171</v>
      </c>
      <c r="D5" s="13">
        <v>1</v>
      </c>
    </row>
    <row r="6" spans="1:6" s="46" customFormat="1" ht="15" customHeight="1" x14ac:dyDescent="0.25">
      <c r="A6" s="46" t="s">
        <v>0</v>
      </c>
      <c r="B6" s="46" t="s">
        <v>291</v>
      </c>
      <c r="C6" s="47"/>
      <c r="D6" s="47"/>
    </row>
    <row r="7" spans="1:6" s="20" customFormat="1" ht="15" customHeight="1" x14ac:dyDescent="0.25">
      <c r="A7" s="20" t="s">
        <v>0</v>
      </c>
      <c r="B7" s="20" t="s">
        <v>289</v>
      </c>
      <c r="C7" s="19"/>
      <c r="D7" s="19"/>
    </row>
    <row r="8" spans="1:6" s="46" customFormat="1" ht="15" customHeight="1" x14ac:dyDescent="0.25">
      <c r="A8" s="46" t="s">
        <v>0</v>
      </c>
      <c r="B8" s="46" t="s">
        <v>292</v>
      </c>
      <c r="C8" s="47"/>
      <c r="D8" s="47"/>
    </row>
    <row r="9" spans="1:6" s="20" customFormat="1" ht="15" customHeight="1" x14ac:dyDescent="0.25">
      <c r="A9" s="20" t="s">
        <v>0</v>
      </c>
      <c r="B9" s="20" t="s">
        <v>295</v>
      </c>
      <c r="C9" s="19"/>
      <c r="D9" s="1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4"/>
  <sheetViews>
    <sheetView workbookViewId="0">
      <pane ySplit="1" topLeftCell="A2" activePane="bottomLeft" state="frozen"/>
      <selection pane="bottomLeft" sqref="A1:XFD1"/>
    </sheetView>
  </sheetViews>
  <sheetFormatPr defaultRowHeight="15" x14ac:dyDescent="0.25"/>
  <cols>
    <col min="1" max="2" width="50" customWidth="1"/>
  </cols>
  <sheetData>
    <row r="1" spans="1:2" s="5" customFormat="1" x14ac:dyDescent="0.25">
      <c r="A1" s="5" t="s">
        <v>493</v>
      </c>
      <c r="B1" s="5" t="s">
        <v>497</v>
      </c>
    </row>
    <row r="2" spans="1:2" ht="15" customHeight="1" x14ac:dyDescent="0.25">
      <c r="A2" s="25" t="s">
        <v>467</v>
      </c>
      <c r="B2" s="13" t="s">
        <v>172</v>
      </c>
    </row>
    <row r="3" spans="1:2" ht="15" customHeight="1" x14ac:dyDescent="0.25">
      <c r="A3" t="s">
        <v>468</v>
      </c>
      <c r="B3" s="13" t="s">
        <v>172</v>
      </c>
    </row>
    <row r="4" spans="1:2" ht="15" customHeight="1" x14ac:dyDescent="0.25">
      <c r="A4" t="s">
        <v>469</v>
      </c>
      <c r="B4" s="13" t="s">
        <v>172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20"/>
  <sheetViews>
    <sheetView workbookViewId="0">
      <pane ySplit="1" topLeftCell="A2" activePane="bottomLeft" state="frozen"/>
      <selection pane="bottomLeft"/>
    </sheetView>
  </sheetViews>
  <sheetFormatPr defaultRowHeight="15" x14ac:dyDescent="0.25"/>
  <cols>
    <col min="1" max="3" width="50" customWidth="1"/>
  </cols>
  <sheetData>
    <row r="1" spans="1:6" s="5" customFormat="1" x14ac:dyDescent="0.25">
      <c r="A1" s="5" t="s">
        <v>494</v>
      </c>
      <c r="B1" s="5" t="s">
        <v>493</v>
      </c>
      <c r="C1" s="5" t="s">
        <v>495</v>
      </c>
      <c r="D1" s="5" t="s">
        <v>496</v>
      </c>
      <c r="E1" s="5" t="s">
        <v>502</v>
      </c>
      <c r="F1" s="5" t="s">
        <v>507</v>
      </c>
    </row>
    <row r="2" spans="1:6" s="46" customFormat="1" ht="15" customHeight="1" x14ac:dyDescent="0.25">
      <c r="A2" s="47" t="s">
        <v>0</v>
      </c>
      <c r="B2" s="46" t="s">
        <v>297</v>
      </c>
      <c r="C2" s="47"/>
      <c r="D2" s="47"/>
    </row>
    <row r="3" spans="1:6" ht="15" customHeight="1" x14ac:dyDescent="0.25">
      <c r="A3" s="13" t="s">
        <v>440</v>
      </c>
      <c r="B3" s="25" t="s">
        <v>471</v>
      </c>
      <c r="C3" s="13" t="s">
        <v>179</v>
      </c>
      <c r="D3" s="13">
        <v>1</v>
      </c>
      <c r="E3" s="13" t="s">
        <v>501</v>
      </c>
      <c r="F3" s="15" t="s">
        <v>504</v>
      </c>
    </row>
    <row r="4" spans="1:6" s="24" customFormat="1" ht="15" customHeight="1" x14ac:dyDescent="0.25">
      <c r="A4" s="23" t="s">
        <v>386</v>
      </c>
      <c r="B4" s="24" t="s">
        <v>306</v>
      </c>
      <c r="C4" s="23" t="s">
        <v>171</v>
      </c>
      <c r="D4" s="23">
        <v>1</v>
      </c>
    </row>
    <row r="5" spans="1:6" s="20" customFormat="1" ht="15" customHeight="1" x14ac:dyDescent="0.25">
      <c r="A5" s="19" t="s">
        <v>0</v>
      </c>
      <c r="B5" s="20" t="s">
        <v>300</v>
      </c>
      <c r="C5" s="19"/>
      <c r="D5" s="19"/>
    </row>
    <row r="6" spans="1:6" s="24" customFormat="1" ht="15" customHeight="1" x14ac:dyDescent="0.25">
      <c r="A6" s="23" t="s">
        <v>385</v>
      </c>
      <c r="B6" s="24" t="s">
        <v>302</v>
      </c>
      <c r="C6" s="23" t="s">
        <v>171</v>
      </c>
      <c r="D6" s="23">
        <v>1</v>
      </c>
    </row>
    <row r="7" spans="1:6" ht="15" customHeight="1" x14ac:dyDescent="0.25">
      <c r="A7" s="13" t="s">
        <v>384</v>
      </c>
      <c r="B7" s="24" t="s">
        <v>303</v>
      </c>
      <c r="C7" s="13" t="s">
        <v>179</v>
      </c>
      <c r="D7" s="13">
        <v>1</v>
      </c>
    </row>
    <row r="8" spans="1:6" s="46" customFormat="1" ht="15" customHeight="1" x14ac:dyDescent="0.25">
      <c r="A8" s="47" t="s">
        <v>0</v>
      </c>
      <c r="B8" s="46" t="s">
        <v>304</v>
      </c>
      <c r="C8" s="47"/>
      <c r="D8" s="47"/>
    </row>
    <row r="9" spans="1:6" s="24" customFormat="1" ht="15" customHeight="1" x14ac:dyDescent="0.25">
      <c r="A9" s="23" t="s">
        <v>383</v>
      </c>
      <c r="B9" s="24" t="s">
        <v>226</v>
      </c>
      <c r="C9" s="23" t="s">
        <v>171</v>
      </c>
      <c r="D9" s="23">
        <v>1</v>
      </c>
    </row>
    <row r="10" spans="1:6" s="20" customFormat="1" ht="15" customHeight="1" x14ac:dyDescent="0.25">
      <c r="A10" s="19" t="s">
        <v>0</v>
      </c>
      <c r="B10" s="20" t="s">
        <v>305</v>
      </c>
      <c r="C10" s="19"/>
      <c r="D10" s="19"/>
    </row>
    <row r="11" spans="1:6" s="24" customFormat="1" ht="15" customHeight="1" x14ac:dyDescent="0.25">
      <c r="A11" s="23" t="s">
        <v>382</v>
      </c>
      <c r="B11" s="24" t="s">
        <v>229</v>
      </c>
      <c r="C11" s="23" t="s">
        <v>179</v>
      </c>
      <c r="D11" s="23">
        <v>1</v>
      </c>
    </row>
    <row r="12" spans="1:6" s="24" customFormat="1" ht="15" customHeight="1" x14ac:dyDescent="0.25">
      <c r="A12" s="23" t="s">
        <v>381</v>
      </c>
      <c r="B12" s="24" t="s">
        <v>230</v>
      </c>
      <c r="C12" s="23" t="s">
        <v>179</v>
      </c>
      <c r="D12" s="23">
        <v>1</v>
      </c>
    </row>
    <row r="13" spans="1:6" s="24" customFormat="1" ht="15" customHeight="1" x14ac:dyDescent="0.25">
      <c r="A13" s="23" t="s">
        <v>380</v>
      </c>
      <c r="B13" s="24" t="s">
        <v>231</v>
      </c>
      <c r="C13" s="23" t="s">
        <v>179</v>
      </c>
      <c r="D13" s="23">
        <v>1</v>
      </c>
    </row>
    <row r="14" spans="1:6" s="24" customFormat="1" ht="15" customHeight="1" x14ac:dyDescent="0.25">
      <c r="A14" s="23" t="s">
        <v>379</v>
      </c>
      <c r="B14" s="24" t="s">
        <v>232</v>
      </c>
      <c r="C14" s="23" t="s">
        <v>179</v>
      </c>
      <c r="D14" s="23">
        <v>1</v>
      </c>
    </row>
    <row r="17" spans="1:10" s="24" customFormat="1" ht="15" customHeight="1" x14ac:dyDescent="0.25">
      <c r="A17" s="21"/>
      <c r="B17" s="21"/>
      <c r="C17" s="16"/>
      <c r="D17" s="16"/>
      <c r="F17" s="23"/>
      <c r="G17" s="23"/>
      <c r="H17" s="23"/>
      <c r="I17" s="23"/>
      <c r="J17" s="16"/>
    </row>
    <row r="18" spans="1:10" s="24" customFormat="1" ht="15" customHeight="1" x14ac:dyDescent="0.25">
      <c r="A18" s="21"/>
      <c r="B18" s="21"/>
      <c r="C18" s="16"/>
      <c r="D18" s="16"/>
      <c r="F18" s="23"/>
      <c r="G18" s="23"/>
      <c r="H18" s="23"/>
      <c r="I18" s="23"/>
      <c r="J18" s="16"/>
    </row>
    <row r="19" spans="1:10" s="24" customFormat="1" ht="15" customHeight="1" x14ac:dyDescent="0.25">
      <c r="A19" s="21"/>
      <c r="B19" s="21"/>
      <c r="C19" s="16"/>
      <c r="D19" s="16"/>
      <c r="F19" s="23"/>
      <c r="G19" s="23"/>
      <c r="H19" s="23"/>
      <c r="I19" s="51"/>
      <c r="J19" s="52"/>
    </row>
    <row r="20" spans="1:10" s="24" customFormat="1" ht="15" customHeight="1" x14ac:dyDescent="0.25">
      <c r="A20" s="21"/>
      <c r="B20" s="21"/>
      <c r="C20" s="16"/>
      <c r="D20" s="16"/>
      <c r="F20" s="23"/>
      <c r="G20" s="23"/>
      <c r="H20" s="23"/>
      <c r="I20" s="53"/>
      <c r="J20" s="5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9"/>
  <sheetViews>
    <sheetView workbookViewId="0">
      <pane ySplit="1" topLeftCell="A2" activePane="bottomLeft" state="frozen"/>
      <selection pane="bottomLeft"/>
    </sheetView>
  </sheetViews>
  <sheetFormatPr defaultRowHeight="15" x14ac:dyDescent="0.25"/>
  <cols>
    <col min="1" max="2" width="50" customWidth="1"/>
  </cols>
  <sheetData>
    <row r="1" spans="1:2" s="5" customFormat="1" x14ac:dyDescent="0.25">
      <c r="A1" s="5" t="s">
        <v>493</v>
      </c>
      <c r="B1" s="5" t="s">
        <v>497</v>
      </c>
    </row>
    <row r="2" spans="1:2" s="24" customFormat="1" ht="15" customHeight="1" x14ac:dyDescent="0.25">
      <c r="A2" s="24" t="s">
        <v>473</v>
      </c>
      <c r="B2" s="23" t="s">
        <v>172</v>
      </c>
    </row>
    <row r="3" spans="1:2" s="24" customFormat="1" ht="15" customHeight="1" x14ac:dyDescent="0.25">
      <c r="A3" s="24" t="s">
        <v>474</v>
      </c>
      <c r="B3" s="23" t="s">
        <v>172</v>
      </c>
    </row>
    <row r="4" spans="1:2" ht="15" customHeight="1" x14ac:dyDescent="0.25">
      <c r="A4" s="24" t="s">
        <v>475</v>
      </c>
      <c r="B4" s="13">
        <v>0</v>
      </c>
    </row>
    <row r="5" spans="1:2" s="24" customFormat="1" ht="15" customHeight="1" x14ac:dyDescent="0.25">
      <c r="A5" s="24" t="s">
        <v>476</v>
      </c>
      <c r="B5" s="23" t="s">
        <v>172</v>
      </c>
    </row>
    <row r="6" spans="1:2" s="24" customFormat="1" ht="15" customHeight="1" x14ac:dyDescent="0.25">
      <c r="A6" s="24" t="s">
        <v>477</v>
      </c>
      <c r="B6" s="23">
        <v>46</v>
      </c>
    </row>
    <row r="7" spans="1:2" s="24" customFormat="1" ht="15" customHeight="1" x14ac:dyDescent="0.25">
      <c r="A7" s="24" t="s">
        <v>478</v>
      </c>
      <c r="B7" s="23">
        <v>1</v>
      </c>
    </row>
    <row r="8" spans="1:2" s="24" customFormat="1" ht="15" customHeight="1" x14ac:dyDescent="0.25">
      <c r="A8" s="24" t="s">
        <v>479</v>
      </c>
      <c r="B8" s="62">
        <v>0.66666666666666596</v>
      </c>
    </row>
    <row r="9" spans="1:2" s="24" customFormat="1" ht="15" customHeight="1" x14ac:dyDescent="0.25">
      <c r="A9" s="24" t="s">
        <v>480</v>
      </c>
      <c r="B9" s="63">
        <v>5.33648681640625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2"/>
  <sheetViews>
    <sheetView workbookViewId="0">
      <pane ySplit="1" topLeftCell="A2" activePane="bottomLeft" state="frozen"/>
      <selection pane="bottomLeft" activeCell="F2" sqref="F2"/>
    </sheetView>
  </sheetViews>
  <sheetFormatPr defaultRowHeight="15" x14ac:dyDescent="0.25"/>
  <cols>
    <col min="1" max="3" width="50" customWidth="1"/>
  </cols>
  <sheetData>
    <row r="1" spans="1:6" s="5" customFormat="1" x14ac:dyDescent="0.25">
      <c r="A1" s="5" t="s">
        <v>494</v>
      </c>
      <c r="B1" s="5" t="s">
        <v>493</v>
      </c>
      <c r="C1" s="5" t="s">
        <v>495</v>
      </c>
      <c r="D1" s="5" t="s">
        <v>496</v>
      </c>
      <c r="E1" s="5" t="s">
        <v>502</v>
      </c>
      <c r="F1" s="5" t="s">
        <v>507</v>
      </c>
    </row>
    <row r="2" spans="1:6" ht="15" customHeight="1" x14ac:dyDescent="0.25">
      <c r="A2" s="13" t="s">
        <v>409</v>
      </c>
      <c r="B2" s="24" t="s">
        <v>196</v>
      </c>
      <c r="C2" s="13" t="s">
        <v>179</v>
      </c>
      <c r="D2" s="1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2"/>
  <sheetViews>
    <sheetView workbookViewId="0">
      <pane ySplit="1" topLeftCell="A2" activePane="bottomLeft" state="frozen"/>
      <selection pane="bottomLeft"/>
    </sheetView>
  </sheetViews>
  <sheetFormatPr defaultRowHeight="15" x14ac:dyDescent="0.25"/>
  <cols>
    <col min="1" max="2" width="50" customWidth="1"/>
  </cols>
  <sheetData>
    <row r="1" spans="1:2" s="5" customFormat="1" x14ac:dyDescent="0.25">
      <c r="A1" s="5" t="s">
        <v>493</v>
      </c>
      <c r="B1" s="5" t="s">
        <v>497</v>
      </c>
    </row>
    <row r="2" spans="1:2" ht="15" customHeight="1" x14ac:dyDescent="0.25">
      <c r="A2" s="24" t="s">
        <v>481</v>
      </c>
      <c r="B2" s="13">
        <v>5.0000000000000001E-3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35"/>
  <sheetViews>
    <sheetView workbookViewId="0">
      <pane ySplit="1" topLeftCell="A77" activePane="bottomLeft" state="frozen"/>
      <selection pane="bottomLeft" activeCell="B82" sqref="B82"/>
    </sheetView>
  </sheetViews>
  <sheetFormatPr defaultRowHeight="15" customHeight="1" x14ac:dyDescent="0.25"/>
  <cols>
    <col min="1" max="2" width="2.85546875" style="15" customWidth="1"/>
    <col min="3" max="4" width="2.85546875" style="1" customWidth="1"/>
    <col min="5" max="5" width="57.140625" customWidth="1"/>
    <col min="6" max="6" width="34.28515625" style="13" bestFit="1" customWidth="1"/>
    <col min="7" max="7" width="12.28515625" style="13" bestFit="1" customWidth="1"/>
    <col min="8" max="8" width="12.28515625" style="13" customWidth="1"/>
    <col min="9" max="9" width="34.7109375" style="13" bestFit="1" customWidth="1"/>
    <col min="10" max="10" width="2.85546875" style="1" customWidth="1"/>
  </cols>
  <sheetData>
    <row r="1" spans="1:11" s="20" customFormat="1" ht="15" customHeight="1" x14ac:dyDescent="0.25">
      <c r="A1" s="17" t="str">
        <f t="shared" ref="A1:A12" si="0">IF(C1="","",IF(C1="C",CHAR(10) &amp; "// " &amp; E1,IF(C1="I","#define " &amp; E1 &amp; " " &amp; I1,IF(C1="P","#define " &amp; E1 &amp; " """ &amp; F1 &amp; """" &amp; CHAR(10) &amp; "#define DEFAULT_" &amp; E1 &amp; " " &amp; I1,IF(C1="S","","ERROR")))))</f>
        <v xml:space="preserve">
// Math</v>
      </c>
      <c r="B1" s="17" t="str">
        <f t="shared" ref="B1:B2" si="1">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18" t="s">
        <v>149</v>
      </c>
      <c r="D1" s="18"/>
      <c r="E1" s="20" t="s">
        <v>148</v>
      </c>
      <c r="F1" s="19"/>
      <c r="G1" s="19"/>
      <c r="H1" s="19"/>
      <c r="I1" s="19"/>
      <c r="J1" s="18" t="str">
        <f t="shared" ref="J1:J6" si="2">IF(OR(C1="P",C1="S"),IF(L1="",1,IF(L1=1,N1,IF(L1=2,N1&amp;" * "&amp;Q1,"ERROR"))),"")</f>
        <v/>
      </c>
    </row>
    <row r="2" spans="1:11" s="24" customFormat="1" ht="15" customHeight="1" x14ac:dyDescent="0.25">
      <c r="A2" s="21" t="str">
        <f t="shared" si="0"/>
        <v>#define PI 3.1415926535</v>
      </c>
      <c r="B2" s="21" t="str">
        <f t="shared" si="1"/>
        <v/>
      </c>
      <c r="C2" s="16" t="s">
        <v>137</v>
      </c>
      <c r="D2" s="16"/>
      <c r="E2" s="24" t="s">
        <v>150</v>
      </c>
      <c r="F2" s="23"/>
      <c r="G2" s="23"/>
      <c r="H2" s="23"/>
      <c r="I2" s="28" t="s">
        <v>159</v>
      </c>
      <c r="J2" s="49" t="str">
        <f t="shared" si="2"/>
        <v/>
      </c>
      <c r="K2" s="24" t="s">
        <v>154</v>
      </c>
    </row>
    <row r="3" spans="1:11" s="20" customFormat="1" ht="15" customHeight="1" x14ac:dyDescent="0.25">
      <c r="A3" s="17" t="str">
        <f t="shared" si="0"/>
        <v xml:space="preserve">
// HashTable</v>
      </c>
      <c r="B3" s="17" t="str">
        <f t="shared" ref="B3:B67" si="3">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18" t="s">
        <v>149</v>
      </c>
      <c r="D3" s="18"/>
      <c r="E3" s="20" t="s">
        <v>151</v>
      </c>
      <c r="F3" s="19"/>
      <c r="G3" s="19"/>
      <c r="H3" s="19"/>
      <c r="I3" s="19"/>
      <c r="J3" s="18" t="str">
        <f t="shared" si="2"/>
        <v/>
      </c>
    </row>
    <row r="4" spans="1:11" s="24" customFormat="1" ht="15" customHeight="1" x14ac:dyDescent="0.25">
      <c r="A4" s="21" t="str">
        <f t="shared" si="0"/>
        <v>#define HASH_A 611057</v>
      </c>
      <c r="B4" s="21" t="str">
        <f t="shared" si="3"/>
        <v/>
      </c>
      <c r="C4" s="16" t="s">
        <v>137</v>
      </c>
      <c r="D4" s="16"/>
      <c r="E4" s="24" t="s">
        <v>165</v>
      </c>
      <c r="F4" s="23"/>
      <c r="G4" s="23"/>
      <c r="H4" s="23"/>
      <c r="I4" s="23">
        <v>611057</v>
      </c>
      <c r="J4" s="16" t="str">
        <f t="shared" si="2"/>
        <v/>
      </c>
      <c r="K4" s="24" t="s">
        <v>244</v>
      </c>
    </row>
    <row r="5" spans="1:11" s="24" customFormat="1" ht="15" customHeight="1" x14ac:dyDescent="0.25">
      <c r="A5" s="21" t="str">
        <f t="shared" si="0"/>
        <v>#define HASH_B 286421</v>
      </c>
      <c r="B5" s="21" t="str">
        <f t="shared" si="3"/>
        <v/>
      </c>
      <c r="C5" s="16" t="s">
        <v>137</v>
      </c>
      <c r="D5" s="16"/>
      <c r="E5" s="24" t="s">
        <v>166</v>
      </c>
      <c r="F5" s="23"/>
      <c r="G5" s="23"/>
      <c r="H5" s="23"/>
      <c r="I5" s="23">
        <v>286421</v>
      </c>
      <c r="J5" s="16" t="str">
        <f t="shared" si="2"/>
        <v/>
      </c>
      <c r="K5" s="24" t="s">
        <v>245</v>
      </c>
    </row>
    <row r="6" spans="1:11" s="24" customFormat="1" ht="15" customHeight="1" x14ac:dyDescent="0.25">
      <c r="A6" s="21" t="str">
        <f t="shared" si="0"/>
        <v>#define HASH_C 126989</v>
      </c>
      <c r="B6" s="21" t="str">
        <f t="shared" si="3"/>
        <v/>
      </c>
      <c r="C6" s="16" t="s">
        <v>137</v>
      </c>
      <c r="D6" s="16"/>
      <c r="E6" s="24" t="s">
        <v>152</v>
      </c>
      <c r="F6" s="23"/>
      <c r="G6" s="23"/>
      <c r="H6" s="23"/>
      <c r="I6" s="23">
        <v>126989</v>
      </c>
      <c r="J6" s="16" t="str">
        <f t="shared" si="2"/>
        <v/>
      </c>
      <c r="K6" s="24" t="s">
        <v>246</v>
      </c>
    </row>
    <row r="7" spans="1:11" s="24" customFormat="1" ht="15" customHeight="1" x14ac:dyDescent="0.25">
      <c r="A7" s="21" t="str">
        <f t="shared" si="0"/>
        <v>#define HASH_CAPACITY_MULTIPLICATOR 1.5</v>
      </c>
      <c r="B7" s="21" t="str">
        <f t="shared" si="3"/>
        <v/>
      </c>
      <c r="C7" s="16" t="s">
        <v>137</v>
      </c>
      <c r="D7" s="16"/>
      <c r="E7" s="24" t="s">
        <v>329</v>
      </c>
      <c r="F7" s="23"/>
      <c r="G7" s="23"/>
      <c r="H7" s="23"/>
      <c r="I7" s="23">
        <v>1.5</v>
      </c>
      <c r="J7" s="16"/>
    </row>
    <row r="8" spans="1:11" s="20" customFormat="1" ht="15" customHeight="1" x14ac:dyDescent="0.25">
      <c r="A8" s="17" t="str">
        <f t="shared" si="0"/>
        <v xml:space="preserve">
// HashTables Sizes</v>
      </c>
      <c r="B8" s="17" t="str">
        <f t="shared" si="3"/>
        <v xml:space="preserve">  // HashTables Sizes</v>
      </c>
      <c r="C8" s="18" t="s">
        <v>149</v>
      </c>
      <c r="D8" s="18"/>
      <c r="E8" s="20" t="s">
        <v>322</v>
      </c>
      <c r="F8" s="19"/>
      <c r="G8" s="19"/>
      <c r="H8" s="19"/>
      <c r="I8" s="19"/>
      <c r="J8" s="18" t="str">
        <f>IF(OR(C8="P",C8="S"),IF(L8="",1,IF(L8=1,N8,IF(L8=2,N8&amp;" * "&amp;Q8,"ERROR"))),"")</f>
        <v/>
      </c>
    </row>
    <row r="9" spans="1:11" s="24" customFormat="1" ht="15" customHeight="1" x14ac:dyDescent="0.25">
      <c r="A9" s="21" t="str">
        <f t="shared" si="0"/>
        <v>#define MAX_LINKING_NEURONS MAX_V1_NEURONS + MAX_MT_NEURONS</v>
      </c>
      <c r="B9" s="21" t="str">
        <f t="shared" si="3"/>
        <v/>
      </c>
      <c r="C9" s="16" t="s">
        <v>137</v>
      </c>
      <c r="D9" s="16"/>
      <c r="E9" s="24" t="s">
        <v>321</v>
      </c>
      <c r="F9" s="23"/>
      <c r="G9" s="23"/>
      <c r="H9" s="23"/>
      <c r="I9" s="23" t="str">
        <f>E30&amp;" + "&amp;E63</f>
        <v>MAX_V1_NEURONS + MAX_MT_NEURONS</v>
      </c>
      <c r="J9" s="16"/>
    </row>
    <row r="10" spans="1:11" s="24" customFormat="1" ht="15" customHeight="1" x14ac:dyDescent="0.25">
      <c r="A10" s="21" t="str">
        <f t="shared" si="0"/>
        <v>#define INTERPRETER_MANAGER_COMMANDS_HASH_SIZE 12</v>
      </c>
      <c r="B10" s="21" t="str">
        <f t="shared" si="3"/>
        <v/>
      </c>
      <c r="C10" s="16" t="s">
        <v>137</v>
      </c>
      <c r="D10" s="16"/>
      <c r="E10" s="24" t="s">
        <v>318</v>
      </c>
      <c r="F10" s="23"/>
      <c r="G10" s="23"/>
      <c r="H10" s="23"/>
      <c r="I10" s="23">
        <f>COUNTA(IM.Initialize!A:A)-COUNTIF(IM.Initialize!A:A,"#")-1</f>
        <v>12</v>
      </c>
      <c r="J10" s="16" t="str">
        <f>IF(OR(C10="P",C10="S"),IF(L10="",1,IF(L10=1,N10,IF(L10=2,N10&amp;" * "&amp;Q10,"ERROR"))),"")</f>
        <v/>
      </c>
    </row>
    <row r="11" spans="1:11" s="24" customFormat="1" ht="15" customHeight="1" x14ac:dyDescent="0.25">
      <c r="A11" s="21" t="str">
        <f t="shared" si="0"/>
        <v>#define LOG_MANAGER_MESSAGES_HASH_SIZE 76</v>
      </c>
      <c r="B11" s="21" t="str">
        <f t="shared" si="3"/>
        <v/>
      </c>
      <c r="C11" s="16" t="s">
        <v>137</v>
      </c>
      <c r="D11" s="16"/>
      <c r="E11" s="24" t="s">
        <v>319</v>
      </c>
      <c r="F11" s="23"/>
      <c r="G11" s="23"/>
      <c r="H11" s="23"/>
      <c r="I11" s="23">
        <f>COUNTA(LM.Initialize!A:A)-COUNTIF(LM.Initialize!A:A,"#")</f>
        <v>76</v>
      </c>
      <c r="J11" s="16" t="str">
        <f>IF(OR(C11="P",C11="S"),IF(L11="",1,IF(L11=1,N11,IF(L11=2,N11&amp;" * "&amp;Q11,"ERROR"))),"")</f>
        <v/>
      </c>
    </row>
    <row r="12" spans="1:11" s="24" customFormat="1" ht="15" customHeight="1" x14ac:dyDescent="0.25">
      <c r="A12" s="21" t="str">
        <f t="shared" si="0"/>
        <v>#define SETTINGS_MANAGER_INT_HASH_SIZE 2</v>
      </c>
      <c r="B12" s="21" t="str">
        <f t="shared" si="3"/>
        <v/>
      </c>
      <c r="C12" s="16" t="s">
        <v>137</v>
      </c>
      <c r="D12" s="16"/>
      <c r="E12" s="24" t="s">
        <v>320</v>
      </c>
      <c r="F12" s="23"/>
      <c r="G12" s="23"/>
      <c r="H12" s="23"/>
      <c r="I12" s="23" t="str">
        <f>SUMIFS(J:J,G:G,"=Data_int",C:C,"=P")&amp;CONCATENATEIFS(C1:C515,"S",G1:G515,"Data_int",J1:J515)</f>
        <v>2</v>
      </c>
      <c r="J12" s="16" t="str">
        <f>IF(OR(C12="P",C12="S"),IF(L12="",1,IF(L12=1,N12,IF(L12=2,N12&amp;" * "&amp;Q12,"ERROR"))),"")</f>
        <v/>
      </c>
    </row>
    <row r="13" spans="1:11" s="24" customFormat="1" ht="15" customHeight="1" x14ac:dyDescent="0.25">
      <c r="A13" s="21" t="str">
        <f t="shared" ref="A13:A18" si="4">IF(C13="","",IF(C13="C",CHAR(10) &amp; "// " &amp; E13,IF(C13="I","#define " &amp; E13 &amp; " " &amp; I13,IF(C13="P","#define " &amp; E13 &amp; " """ &amp; F13 &amp; """" &amp; CHAR(10) &amp; "#define DEFAULT_" &amp; E13 &amp; " " &amp; I13,IF(C13="S","","ERROR")))))</f>
        <v>#define SETTINGS_MANAGER_FLOAT_HASH_SIZE 0</v>
      </c>
      <c r="B13" s="21" t="str">
        <f t="shared" si="3"/>
        <v/>
      </c>
      <c r="C13" s="16" t="s">
        <v>137</v>
      </c>
      <c r="D13" s="16"/>
      <c r="E13" s="24" t="s">
        <v>324</v>
      </c>
      <c r="F13" s="23"/>
      <c r="G13" s="23"/>
      <c r="H13" s="23"/>
      <c r="I13" s="23" t="str">
        <f>SUMIFS(J:J,G:G,"=Data_float",C:C,"=P")&amp;CONCATENATEIFS(C1:C515,"S",G1:G515,"Data_float",J1:J515)</f>
        <v>0</v>
      </c>
      <c r="J13" s="16"/>
    </row>
    <row r="14" spans="1:11" s="24" customFormat="1" ht="15" customHeight="1" x14ac:dyDescent="0.25">
      <c r="A14" s="21" t="str">
        <f t="shared" si="4"/>
        <v>#define SETTINGS_MANAGER_DOUBLE_HASH_SIZE 19 + MAX_V1_NEURONS + MAX_MT_NEURONS + MAX_V1_NEURONS * MAX_V1_NEURONS</v>
      </c>
      <c r="B14" s="21" t="str">
        <f t="shared" si="3"/>
        <v/>
      </c>
      <c r="C14" s="16" t="s">
        <v>137</v>
      </c>
      <c r="D14" s="16"/>
      <c r="E14" s="24" t="s">
        <v>323</v>
      </c>
      <c r="F14" s="23"/>
      <c r="G14" s="23"/>
      <c r="H14" s="23"/>
      <c r="I14" s="23" t="str">
        <f>SUMIFS(J:J,G:G,"=Data_double",C:C,"=P")&amp;CONCATENATEIFS(C1:C515,"S",G1:G515,"Data_double",J1:J515)</f>
        <v>19 + MAX_V1_NEURONS + MAX_MT_NEURONS + MAX_V1_NEURONS * MAX_V1_NEURONS</v>
      </c>
      <c r="J14" s="16"/>
    </row>
    <row r="15" spans="1:11" s="24" customFormat="1" ht="15" customHeight="1" x14ac:dyDescent="0.25">
      <c r="A15" s="21" t="str">
        <f t="shared" si="4"/>
        <v>#define SETTINGS_MANAGER_STRING_HASH_SIZE 10</v>
      </c>
      <c r="B15" s="21" t="str">
        <f t="shared" si="3"/>
        <v/>
      </c>
      <c r="C15" s="16" t="s">
        <v>137</v>
      </c>
      <c r="D15" s="16"/>
      <c r="E15" s="24" t="s">
        <v>325</v>
      </c>
      <c r="F15" s="23"/>
      <c r="G15" s="23"/>
      <c r="H15" s="23"/>
      <c r="I15" s="23" t="str">
        <f>SUMIFS(J:J,G:G,"=Data_string",C:C,"=P")&amp;CONCATENATEIFS(C1:C515,"S",G1:G515,"Data_string",J1:J515)</f>
        <v>10</v>
      </c>
      <c r="J15" s="16"/>
    </row>
    <row r="16" spans="1:11" s="24" customFormat="1" ht="15" customHeight="1" x14ac:dyDescent="0.25">
      <c r="A16" s="21" t="str">
        <f t="shared" si="4"/>
        <v>#define SETTINGS_MANAGER_BOOL_HASH_SIZE 2</v>
      </c>
      <c r="B16" s="21" t="str">
        <f t="shared" si="3"/>
        <v/>
      </c>
      <c r="C16" s="16" t="s">
        <v>137</v>
      </c>
      <c r="D16" s="16"/>
      <c r="E16" s="24" t="s">
        <v>326</v>
      </c>
      <c r="F16" s="23"/>
      <c r="G16" s="23"/>
      <c r="H16" s="23"/>
      <c r="I16" s="23" t="str">
        <f>SUMIFS(J:J,G:G,"=Data_bool",C:C,"=P")&amp;CONCATENATEIFS(C1:C515,"S",G1:G515,"Data_bool",J1:J515)</f>
        <v>2</v>
      </c>
      <c r="J16" s="16"/>
    </row>
    <row r="17" spans="1:15" s="24" customFormat="1" ht="15" customHeight="1" x14ac:dyDescent="0.25">
      <c r="A17" s="21" t="str">
        <f t="shared" ref="A17" si="5">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21" t="str">
        <f t="shared" si="3"/>
        <v/>
      </c>
      <c r="C17" s="16" t="s">
        <v>137</v>
      </c>
      <c r="D17" s="16"/>
      <c r="E17" s="24" t="s">
        <v>328</v>
      </c>
      <c r="F17" s="23"/>
      <c r="G17" s="23"/>
      <c r="H17" s="23"/>
      <c r="I17" s="23" t="str">
        <f>CONCATENATEDELIMETER(E12:E16," + ")</f>
        <v>SETTINGS_MANAGER_INT_HASH_SIZE + SETTINGS_MANAGER_FLOAT_HASH_SIZE + SETTINGS_MANAGER_DOUBLE_HASH_SIZE + SETTINGS_MANAGER_STRING_HASH_SIZE + SETTINGS_MANAGER_BOOL_HASH_SIZE</v>
      </c>
      <c r="J17" s="16"/>
    </row>
    <row r="18" spans="1:15" s="24" customFormat="1" ht="15" customHeight="1" x14ac:dyDescent="0.25">
      <c r="A18" s="21" t="str">
        <f t="shared" si="4"/>
        <v>#define SETTINGS_MANAGER_SETTINGSIZE_HASH_SIZE SETTINGS_MANAGER_INT_HASH_SIZE + SETTINGS_MANAGER_FLOAT_HASH_SIZE + SETTINGS_MANAGER_DOUBLE_HASH_SIZE + SETTINGS_MANAGER_STRING_HASH_SIZE + SETTINGS_MANAGER_BOOL_HASH_SIZE</v>
      </c>
      <c r="B18" s="21" t="str">
        <f t="shared" si="3"/>
        <v/>
      </c>
      <c r="C18" s="16" t="s">
        <v>137</v>
      </c>
      <c r="D18" s="16"/>
      <c r="E18" s="24" t="s">
        <v>327</v>
      </c>
      <c r="F18" s="23"/>
      <c r="G18" s="23"/>
      <c r="H18" s="23"/>
      <c r="I18" s="23" t="str">
        <f>CONCATENATEDELIMETER(E12:E16," + ")</f>
        <v>SETTINGS_MANAGER_INT_HASH_SIZE + SETTINGS_MANAGER_FLOAT_HASH_SIZE + SETTINGS_MANAGER_DOUBLE_HASH_SIZE + SETTINGS_MANAGER_STRING_HASH_SIZE + SETTINGS_MANAGER_BOOL_HASH_SIZE</v>
      </c>
      <c r="J18" s="16"/>
    </row>
    <row r="19" spans="1:15" s="20" customFormat="1" ht="15" customHeight="1" x14ac:dyDescent="0.25">
      <c r="A19" s="17" t="str">
        <f t="shared" ref="A19:A24" si="6">IF(C19="","",IF(C19="C",CHAR(10) &amp; "// " &amp; E19,IF(C19="I","#define " &amp; E19 &amp; " " &amp; I19,IF(C19="P","#define " &amp; E19 &amp; " """ &amp; F19 &amp; """" &amp; CHAR(10) &amp; "#define DEFAULT_" &amp; E19 &amp; " " &amp; I19,IF(C19="S","","ERROR")))))</f>
        <v xml:space="preserve">
// Default Log Verbose Behavior</v>
      </c>
      <c r="B19" s="17" t="str">
        <f t="shared" si="3"/>
        <v xml:space="preserve">  // Default Log Verbose Behavior</v>
      </c>
      <c r="C19" s="18" t="s">
        <v>149</v>
      </c>
      <c r="D19" s="18"/>
      <c r="E19" s="20" t="s">
        <v>275</v>
      </c>
      <c r="F19" s="19"/>
      <c r="G19" s="19"/>
      <c r="H19" s="19"/>
      <c r="I19" s="19"/>
      <c r="J19" s="18" t="str">
        <f t="shared" ref="J19:J52" si="7">IF(OR(C19="P",C19="S"),IF(L19="",1,IF(L19=1,N19,IF(L19=2,N19&amp;" * "&amp;Q19,"ERROR"))),"")</f>
        <v/>
      </c>
    </row>
    <row r="20" spans="1:15" ht="15" customHeight="1" x14ac:dyDescent="0.25">
      <c r="A20" s="15" t="str">
        <f t="shared" si="6"/>
        <v>#define DEFAULT_MESSAGES true</v>
      </c>
      <c r="B20" s="21" t="str">
        <f t="shared" si="3"/>
        <v/>
      </c>
      <c r="C20" s="1" t="s">
        <v>137</v>
      </c>
      <c r="E20" t="s">
        <v>155</v>
      </c>
      <c r="I20" s="26" t="s">
        <v>157</v>
      </c>
      <c r="J20" s="50" t="str">
        <f t="shared" si="7"/>
        <v/>
      </c>
      <c r="K20" t="s">
        <v>161</v>
      </c>
    </row>
    <row r="21" spans="1:15" ht="15" customHeight="1" x14ac:dyDescent="0.25">
      <c r="A21" s="15" t="str">
        <f t="shared" si="6"/>
        <v>#define DEFAULT_SILENT_OUTPUT false</v>
      </c>
      <c r="B21" s="21" t="str">
        <f t="shared" si="3"/>
        <v/>
      </c>
      <c r="C21" s="1" t="s">
        <v>137</v>
      </c>
      <c r="E21" t="s">
        <v>156</v>
      </c>
      <c r="I21" s="26" t="s">
        <v>158</v>
      </c>
      <c r="J21" s="50" t="str">
        <f t="shared" si="7"/>
        <v/>
      </c>
      <c r="K21" t="s">
        <v>162</v>
      </c>
    </row>
    <row r="22" spans="1:15" ht="15" customHeight="1" x14ac:dyDescent="0.25">
      <c r="A22" s="15" t="str">
        <f t="shared" ref="A22" si="8">IF(C22="","",IF(C22="C",CHAR(10) &amp; "// " &amp; E22,IF(C22="I","#define " &amp; E22 &amp; " " &amp; I22,IF(C22="P","#define " &amp; E22 &amp; " """ &amp; F22 &amp; """" &amp; CHAR(10) &amp; "#define DEFAULT_" &amp; E22 &amp; " " &amp; I22,IF(C22="S","","ERROR")))))</f>
        <v>#define DEFAULT_FULL_SILENT_OUTPUT false</v>
      </c>
      <c r="B22" s="21" t="str">
        <f t="shared" ref="B22" si="9">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137</v>
      </c>
      <c r="E22" t="s">
        <v>426</v>
      </c>
      <c r="I22" s="26" t="s">
        <v>158</v>
      </c>
      <c r="J22" s="50" t="str">
        <f t="shared" ref="J22" si="10">IF(OR(C22="P",C22="S"),IF(L22="",1,IF(L22=1,N22,IF(L22=2,N22&amp;" * "&amp;Q22,"ERROR"))),"")</f>
        <v/>
      </c>
    </row>
    <row r="23" spans="1:15" s="20" customFormat="1" ht="15" customHeight="1" x14ac:dyDescent="0.25">
      <c r="A23" s="17" t="str">
        <f t="shared" si="6"/>
        <v xml:space="preserve">
// Environment Variables</v>
      </c>
      <c r="B23" s="17" t="str">
        <f t="shared" si="3"/>
        <v xml:space="preserve">  // Environment Variables</v>
      </c>
      <c r="C23" s="18" t="s">
        <v>149</v>
      </c>
      <c r="D23" s="18"/>
      <c r="E23" s="20" t="s">
        <v>160</v>
      </c>
      <c r="F23" s="19"/>
      <c r="G23" s="19"/>
      <c r="H23" s="19"/>
      <c r="I23" s="19"/>
      <c r="J23" s="18" t="str">
        <f t="shared" si="7"/>
        <v/>
      </c>
    </row>
    <row r="24" spans="1:15" ht="15" customHeight="1" x14ac:dyDescent="0.25">
      <c r="A24" s="15" t="str">
        <f t="shared" si="6"/>
        <v>#define HIDE_END "ENV:hide_end"
#define DEFAULT_HIDE_END false</v>
      </c>
      <c r="B24" s="21" t="str">
        <f t="shared" si="3"/>
        <v xml:space="preserve">  Variables.SetSetting(HIDE_END, Data_bool, 1);</v>
      </c>
      <c r="C24" s="1" t="s">
        <v>163</v>
      </c>
      <c r="D24" s="1" t="s">
        <v>235</v>
      </c>
      <c r="E24" s="25" t="s">
        <v>251</v>
      </c>
      <c r="F24" s="13" t="s">
        <v>408</v>
      </c>
      <c r="G24" s="13" t="s">
        <v>164</v>
      </c>
      <c r="H24" s="13">
        <v>1</v>
      </c>
      <c r="I24" s="26" t="s">
        <v>158</v>
      </c>
      <c r="J24" s="50">
        <f t="shared" si="7"/>
        <v>1</v>
      </c>
      <c r="K24" s="13" t="s">
        <v>252</v>
      </c>
    </row>
    <row r="25" spans="1:15" ht="15" customHeight="1" x14ac:dyDescent="0.25">
      <c r="A25" s="15" t="str">
        <f t="shared" ref="A25:A26" si="11">IF(C25="","",IF(C25="C",CHAR(10) &amp; "// " &amp; E25,IF(C25="I","#define " &amp; E25 &amp; " " &amp; I25,IF(C25="P","#define " &amp; E25 &amp; " """ &amp; F25 &amp; """" &amp; CHAR(10) &amp; "#define DEFAULT_" &amp; E25 &amp; " " &amp; I25,IF(C25="S","","ERROR")))))</f>
        <v>#define MAX_NPROC_NESTING "ENV:max_nproc_nesting"
#define DEFAULT_MAX_NPROC_NESTING 10</v>
      </c>
      <c r="B25" s="21" t="str">
        <f t="shared" ref="B25:B26" si="12">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Data_int, 1);</v>
      </c>
      <c r="C25" s="1" t="s">
        <v>163</v>
      </c>
      <c r="D25" s="1" t="s">
        <v>235</v>
      </c>
      <c r="E25" s="25" t="s">
        <v>422</v>
      </c>
      <c r="F25" s="13" t="s">
        <v>421</v>
      </c>
      <c r="G25" s="13" t="s">
        <v>242</v>
      </c>
      <c r="H25" s="13">
        <v>1</v>
      </c>
      <c r="I25" s="26">
        <v>10</v>
      </c>
      <c r="J25" s="50">
        <f t="shared" si="7"/>
        <v>1</v>
      </c>
      <c r="K25" s="13" t="s">
        <v>423</v>
      </c>
    </row>
    <row r="26" spans="1:15" ht="15" customHeight="1" x14ac:dyDescent="0.25">
      <c r="A26" s="15" t="str">
        <f t="shared" si="11"/>
        <v>#define SHOW_ELAPSED_TIME "ENV:show_elapsed_time"
#define DEFAULT_SHOW_ELAPSED_TIME false</v>
      </c>
      <c r="B26" s="21" t="str">
        <f t="shared" si="12"/>
        <v xml:space="preserve">  Variables.SetSetting(SHOW_ELAPSED_TIME, Data_bool, 1);</v>
      </c>
      <c r="C26" s="1" t="s">
        <v>163</v>
      </c>
      <c r="D26" s="1" t="s">
        <v>235</v>
      </c>
      <c r="E26" s="25" t="s">
        <v>433</v>
      </c>
      <c r="F26" s="13" t="s">
        <v>434</v>
      </c>
      <c r="G26" s="13" t="s">
        <v>164</v>
      </c>
      <c r="H26" s="13">
        <v>1</v>
      </c>
      <c r="I26" s="26" t="s">
        <v>158</v>
      </c>
      <c r="J26" s="50">
        <f t="shared" si="7"/>
        <v>1</v>
      </c>
      <c r="K26" s="13"/>
    </row>
    <row r="27" spans="1:15" s="42" customFormat="1" ht="15" customHeight="1" x14ac:dyDescent="0.25">
      <c r="A27" s="40" t="str">
        <f t="shared" ref="A27:A59" si="13">IF(C27="","",IF(C27="C",CHAR(10) &amp; "// " &amp; E27,IF(C27="I","#define " &amp; E27 &amp; " " &amp; I27,IF(C27="P","#define " &amp; E27 &amp; " """ &amp; F27 &amp; """" &amp; CHAR(10) &amp; "#define DEFAULT_" &amp; E27 &amp; " " &amp; I27,IF(C27="S","","ERROR")))))</f>
        <v xml:space="preserve">
// V1 Neuron Settings</v>
      </c>
      <c r="B27" s="40" t="str">
        <f t="shared" si="3"/>
        <v xml:space="preserve">  // V1 Neuron Settings</v>
      </c>
      <c r="C27" s="41" t="s">
        <v>149</v>
      </c>
      <c r="D27" s="41"/>
      <c r="E27" s="42" t="s">
        <v>287</v>
      </c>
      <c r="F27" s="43"/>
      <c r="G27" s="43"/>
      <c r="H27" s="43"/>
      <c r="I27" s="43"/>
      <c r="J27" s="41" t="str">
        <f t="shared" si="7"/>
        <v/>
      </c>
    </row>
    <row r="28" spans="1:15" s="20" customFormat="1" ht="15" customHeight="1" x14ac:dyDescent="0.25">
      <c r="A28" s="17" t="str">
        <f t="shared" si="13"/>
        <v xml:space="preserve">
// V1 Neuron Parameters</v>
      </c>
      <c r="B28" s="17" t="str">
        <f t="shared" si="3"/>
        <v xml:space="preserve">  // V1 Neuron Parameters</v>
      </c>
      <c r="C28" s="18" t="s">
        <v>149</v>
      </c>
      <c r="D28" s="18"/>
      <c r="E28" s="20" t="s">
        <v>167</v>
      </c>
      <c r="F28" s="19"/>
      <c r="G28" s="19"/>
      <c r="H28" s="19"/>
      <c r="I28" s="19"/>
      <c r="J28" s="18" t="str">
        <f t="shared" si="7"/>
        <v/>
      </c>
    </row>
    <row r="29" spans="1:15" s="24" customFormat="1" ht="15" customHeight="1" x14ac:dyDescent="0.25">
      <c r="A29" s="21" t="str">
        <f t="shared" si="13"/>
        <v>#define V1_LABEL "V1"</v>
      </c>
      <c r="B29" s="21" t="str">
        <f t="shared" si="3"/>
        <v/>
      </c>
      <c r="C29" s="16" t="s">
        <v>137</v>
      </c>
      <c r="D29" s="16"/>
      <c r="E29" s="29" t="s">
        <v>236</v>
      </c>
      <c r="F29" s="23"/>
      <c r="G29" s="23"/>
      <c r="H29" s="23"/>
      <c r="I29" s="23" t="s">
        <v>237</v>
      </c>
      <c r="J29" s="16" t="str">
        <f t="shared" si="7"/>
        <v/>
      </c>
    </row>
    <row r="30" spans="1:15" ht="15" customHeight="1" x14ac:dyDescent="0.25">
      <c r="A30" s="15" t="str">
        <f t="shared" si="13"/>
        <v>#define MAX_V1_NEURONS 600</v>
      </c>
      <c r="B30" s="21" t="str">
        <f t="shared" si="3"/>
        <v/>
      </c>
      <c r="C30" s="1" t="s">
        <v>137</v>
      </c>
      <c r="E30" s="25" t="s">
        <v>168</v>
      </c>
      <c r="I30" s="13">
        <v>600</v>
      </c>
      <c r="J30" s="1" t="str">
        <f t="shared" si="7"/>
        <v/>
      </c>
      <c r="K30" t="s">
        <v>277</v>
      </c>
    </row>
    <row r="31" spans="1:15" ht="15" customHeight="1" x14ac:dyDescent="0.25">
      <c r="A31" s="15" t="str">
        <f t="shared" si="13"/>
        <v/>
      </c>
      <c r="B31" s="21" t="str">
        <f t="shared" si="3"/>
        <v xml:space="preserve">  for (int i = 0; i &lt; MAX_V1_NEURONS; i++) {
    Variables.SetSetting(string("SIM:") + V1_LABEL + string("'") + IIntToString(i), Data_double, 8);
  }</v>
      </c>
      <c r="C31" s="1" t="s">
        <v>234</v>
      </c>
      <c r="D31" s="1" t="s">
        <v>234</v>
      </c>
      <c r="E31" s="25"/>
      <c r="G31" s="13" t="s">
        <v>179</v>
      </c>
      <c r="H31" s="13">
        <v>8</v>
      </c>
      <c r="J31" s="1" t="str">
        <f t="shared" si="7"/>
        <v>MAX_V1_NEURONS</v>
      </c>
      <c r="L31">
        <v>1</v>
      </c>
      <c r="M31" t="s">
        <v>410</v>
      </c>
      <c r="N31" t="s">
        <v>168</v>
      </c>
      <c r="O31" t="s">
        <v>419</v>
      </c>
    </row>
    <row r="32" spans="1:15" ht="15" customHeight="1" x14ac:dyDescent="0.25">
      <c r="A32" s="15" t="str">
        <f t="shared" si="13"/>
        <v>#define V1_FIRST_CALCULATION "SIM:V1_first_calculation"
#define DEFAULT_V1_FIRST_CALCULATION "none"</v>
      </c>
      <c r="B32" s="21" t="str">
        <f t="shared" si="3"/>
        <v xml:space="preserve">  Variables.SetSetting(V1_FIRST_CALCULATION, Data_string, 1);</v>
      </c>
      <c r="C32" s="1" t="s">
        <v>163</v>
      </c>
      <c r="D32" s="1" t="s">
        <v>234</v>
      </c>
      <c r="E32" s="25" t="s">
        <v>308</v>
      </c>
      <c r="F32" s="13" t="s">
        <v>407</v>
      </c>
      <c r="G32" s="13" t="s">
        <v>171</v>
      </c>
      <c r="H32" s="13">
        <v>1</v>
      </c>
      <c r="I32" s="13" t="s">
        <v>172</v>
      </c>
      <c r="J32" s="1">
        <f t="shared" si="7"/>
        <v>1</v>
      </c>
      <c r="K32" t="s">
        <v>309</v>
      </c>
    </row>
    <row r="33" spans="1:11" ht="15" customHeight="1" x14ac:dyDescent="0.25">
      <c r="A33" s="15" t="str">
        <f t="shared" si="13"/>
        <v>#define V1_ACTIVATION_METHOD "SIM:V1_act_method"
#define DEFAULT_V1_ACTIVATION_METHOD "none"</v>
      </c>
      <c r="B33" s="21" t="str">
        <f t="shared" si="3"/>
        <v xml:space="preserve">  Variables.SetSetting(V1_ACTIVATION_METHOD, Data_string, 1);</v>
      </c>
      <c r="C33" s="1" t="s">
        <v>163</v>
      </c>
      <c r="D33" s="1" t="s">
        <v>234</v>
      </c>
      <c r="E33" s="25" t="s">
        <v>170</v>
      </c>
      <c r="F33" s="13" t="s">
        <v>406</v>
      </c>
      <c r="G33" s="13" t="s">
        <v>171</v>
      </c>
      <c r="H33" s="13">
        <v>1</v>
      </c>
      <c r="I33" s="13" t="s">
        <v>172</v>
      </c>
      <c r="J33" s="1">
        <f t="shared" si="7"/>
        <v>1</v>
      </c>
      <c r="K33" t="s">
        <v>175</v>
      </c>
    </row>
    <row r="34" spans="1:11" ht="15" customHeight="1" x14ac:dyDescent="0.25">
      <c r="A34" s="15" t="str">
        <f t="shared" si="13"/>
        <v>#define V1_DACTIVATION_METHOD "SIM:V1_dac_method"
#define DEFAULT_V1_DACTIVATION_METHOD "none"</v>
      </c>
      <c r="B34" s="21" t="str">
        <f t="shared" si="3"/>
        <v xml:space="preserve">  Variables.SetSetting(V1_DACTIVATION_METHOD, Data_string, 1);</v>
      </c>
      <c r="C34" s="1" t="s">
        <v>163</v>
      </c>
      <c r="D34" s="1" t="s">
        <v>234</v>
      </c>
      <c r="E34" s="25" t="s">
        <v>173</v>
      </c>
      <c r="F34" s="13" t="s">
        <v>405</v>
      </c>
      <c r="G34" s="13" t="s">
        <v>171</v>
      </c>
      <c r="H34" s="13">
        <v>1</v>
      </c>
      <c r="I34" s="13" t="s">
        <v>172</v>
      </c>
      <c r="J34" s="1">
        <f t="shared" si="7"/>
        <v>1</v>
      </c>
      <c r="K34" t="s">
        <v>174</v>
      </c>
    </row>
    <row r="35" spans="1:11" ht="15" customHeight="1" x14ac:dyDescent="0.25">
      <c r="A35" s="15" t="str">
        <f t="shared" si="13"/>
        <v>#define V1_EXTERNAL_EXCITATION_METHOD "SIM:V1_external_excitation_method"
#define DEFAULT_V1_EXTERNAL_EXCITATION_METHOD "none"</v>
      </c>
      <c r="B35" s="21" t="str">
        <f t="shared" si="3"/>
        <v xml:space="preserve">  Variables.SetSetting(V1_EXTERNAL_EXCITATION_METHOD, Data_string, 1);</v>
      </c>
      <c r="C35" s="1" t="s">
        <v>163</v>
      </c>
      <c r="D35" s="1" t="s">
        <v>234</v>
      </c>
      <c r="E35" s="25" t="s">
        <v>233</v>
      </c>
      <c r="F35" s="13" t="s">
        <v>404</v>
      </c>
      <c r="G35" s="13" t="s">
        <v>171</v>
      </c>
      <c r="H35" s="13">
        <v>1</v>
      </c>
      <c r="I35" s="13" t="s">
        <v>172</v>
      </c>
      <c r="J35" s="1">
        <f t="shared" si="7"/>
        <v>1</v>
      </c>
    </row>
    <row r="36" spans="1:11" s="46" customFormat="1" ht="15" customHeight="1" x14ac:dyDescent="0.25">
      <c r="A36" s="44" t="str">
        <f t="shared" si="13"/>
        <v xml:space="preserve">
// V1 Activation Methods</v>
      </c>
      <c r="B36" s="44" t="str">
        <f t="shared" si="3"/>
        <v xml:space="preserve">  // V1 Activation Methods</v>
      </c>
      <c r="C36" s="45" t="s">
        <v>149</v>
      </c>
      <c r="D36" s="45"/>
      <c r="E36" s="48" t="s">
        <v>278</v>
      </c>
      <c r="F36" s="47"/>
      <c r="G36" s="47"/>
      <c r="H36" s="47"/>
      <c r="I36" s="47"/>
      <c r="J36" s="45" t="str">
        <f t="shared" si="7"/>
        <v/>
      </c>
    </row>
    <row r="37" spans="1:11" ht="15" customHeight="1" x14ac:dyDescent="0.25">
      <c r="A37" s="15" t="str">
        <f t="shared" si="13"/>
        <v>#define V1_A001 "V1_A001"</v>
      </c>
      <c r="B37" s="21" t="str">
        <f t="shared" si="3"/>
        <v/>
      </c>
      <c r="C37" s="1" t="s">
        <v>137</v>
      </c>
      <c r="E37" s="25" t="s">
        <v>279</v>
      </c>
      <c r="I37" s="13" t="s">
        <v>280</v>
      </c>
      <c r="J37" s="1" t="str">
        <f t="shared" si="7"/>
        <v/>
      </c>
      <c r="K37" t="s">
        <v>281</v>
      </c>
    </row>
    <row r="38" spans="1:11" s="20" customFormat="1" ht="15" customHeight="1" x14ac:dyDescent="0.25">
      <c r="A38" s="17" t="str">
        <f t="shared" si="13"/>
        <v xml:space="preserve">
// V1_A001 Method Parameters</v>
      </c>
      <c r="B38" s="17" t="str">
        <f t="shared" si="3"/>
        <v xml:space="preserve">  // V1_A001 Method Parameters</v>
      </c>
      <c r="C38" s="18" t="s">
        <v>149</v>
      </c>
      <c r="D38" s="18"/>
      <c r="E38" s="27" t="s">
        <v>284</v>
      </c>
      <c r="F38" s="19"/>
      <c r="G38" s="19"/>
      <c r="H38" s="19"/>
      <c r="I38" s="19"/>
      <c r="J38" s="18" t="str">
        <f t="shared" si="7"/>
        <v/>
      </c>
    </row>
    <row r="39" spans="1:11" ht="15" customHeight="1" x14ac:dyDescent="0.25">
      <c r="A39" s="15" t="str">
        <f t="shared" si="13"/>
        <v>#define V1_A001_NL_MAX "SIM:V1_A001_nl_max"
#define DEFAULT_V1_A001_NL_MAX 1</v>
      </c>
      <c r="B39" s="21" t="str">
        <f t="shared" si="3"/>
        <v xml:space="preserve">  Variables.SetSetting(V1_A001_NL_MAX, Data_double, 1);</v>
      </c>
      <c r="C39" s="1" t="s">
        <v>163</v>
      </c>
      <c r="D39" s="1" t="s">
        <v>234</v>
      </c>
      <c r="E39" s="25" t="s">
        <v>315</v>
      </c>
      <c r="F39" s="13" t="s">
        <v>403</v>
      </c>
      <c r="G39" s="13" t="s">
        <v>179</v>
      </c>
      <c r="H39" s="13">
        <v>1</v>
      </c>
      <c r="I39" s="13">
        <v>1</v>
      </c>
      <c r="J39" s="1">
        <f t="shared" si="7"/>
        <v>1</v>
      </c>
    </row>
    <row r="40" spans="1:11" ht="15" customHeight="1" x14ac:dyDescent="0.25">
      <c r="A40" s="15" t="str">
        <f t="shared" si="13"/>
        <v>#define V1_A001_NL_A "SIM:V1_A001_nl_a"
#define DEFAULT_V1_A001_NL_A 5</v>
      </c>
      <c r="B40" s="21" t="str">
        <f t="shared" si="3"/>
        <v xml:space="preserve">  Variables.SetSetting(V1_A001_NL_A, Data_double, 1);</v>
      </c>
      <c r="C40" s="1" t="s">
        <v>163</v>
      </c>
      <c r="D40" s="1" t="s">
        <v>234</v>
      </c>
      <c r="E40" s="25" t="s">
        <v>316</v>
      </c>
      <c r="F40" s="13" t="s">
        <v>402</v>
      </c>
      <c r="G40" s="13" t="s">
        <v>179</v>
      </c>
      <c r="H40" s="13">
        <v>1</v>
      </c>
      <c r="I40" s="13">
        <v>5</v>
      </c>
      <c r="J40" s="1">
        <f t="shared" si="7"/>
        <v>1</v>
      </c>
    </row>
    <row r="41" spans="1:11" ht="15" customHeight="1" x14ac:dyDescent="0.25">
      <c r="A41" s="15" t="str">
        <f t="shared" si="13"/>
        <v>#define V1_A001_NL_B "SIM:V1_A001_nl_b"
#define DEFAULT_V1_A001_NL_B 0.17</v>
      </c>
      <c r="B41" s="21" t="str">
        <f t="shared" si="3"/>
        <v xml:space="preserve">  Variables.SetSetting(V1_A001_NL_B, Data_double, 1);</v>
      </c>
      <c r="C41" s="1" t="s">
        <v>163</v>
      </c>
      <c r="D41" s="1" t="s">
        <v>234</v>
      </c>
      <c r="E41" s="25" t="s">
        <v>317</v>
      </c>
      <c r="F41" s="13" t="s">
        <v>401</v>
      </c>
      <c r="G41" s="13" t="s">
        <v>179</v>
      </c>
      <c r="H41" s="13">
        <v>1</v>
      </c>
      <c r="I41" s="13">
        <v>0.17</v>
      </c>
      <c r="J41" s="1">
        <f t="shared" si="7"/>
        <v>1</v>
      </c>
    </row>
    <row r="42" spans="1:11" s="20" customFormat="1" ht="15" customHeight="1" x14ac:dyDescent="0.25">
      <c r="A42" s="17" t="str">
        <f t="shared" si="13"/>
        <v xml:space="preserve">
// None</v>
      </c>
      <c r="B42" s="17" t="str">
        <f t="shared" si="3"/>
        <v xml:space="preserve">  // None</v>
      </c>
      <c r="C42" s="18" t="s">
        <v>149</v>
      </c>
      <c r="D42" s="18"/>
      <c r="E42" s="27" t="s">
        <v>290</v>
      </c>
      <c r="F42" s="19"/>
      <c r="G42" s="19"/>
      <c r="H42" s="19"/>
      <c r="I42" s="19"/>
      <c r="J42" s="18" t="str">
        <f t="shared" si="7"/>
        <v/>
      </c>
    </row>
    <row r="43" spans="1:11" s="46" customFormat="1" ht="15" customHeight="1" x14ac:dyDescent="0.25">
      <c r="A43" s="44" t="str">
        <f t="shared" si="13"/>
        <v xml:space="preserve">
// V1 Derivate Activation Methods</v>
      </c>
      <c r="B43" s="44" t="str">
        <f t="shared" si="3"/>
        <v xml:space="preserve">  // V1 Derivate Activation Methods</v>
      </c>
      <c r="C43" s="45" t="s">
        <v>149</v>
      </c>
      <c r="D43" s="45"/>
      <c r="E43" s="48" t="s">
        <v>282</v>
      </c>
      <c r="F43" s="47"/>
      <c r="G43" s="47"/>
      <c r="H43" s="47"/>
      <c r="I43" s="47"/>
      <c r="J43" s="45" t="str">
        <f t="shared" si="7"/>
        <v/>
      </c>
    </row>
    <row r="44" spans="1:11" ht="15" customHeight="1" x14ac:dyDescent="0.25">
      <c r="A44" s="15" t="str">
        <f t="shared" si="13"/>
        <v>#define V1_D001 "V1_D001"</v>
      </c>
      <c r="B44" s="21" t="str">
        <f t="shared" si="3"/>
        <v/>
      </c>
      <c r="C44" s="1" t="s">
        <v>137</v>
      </c>
      <c r="E44" s="25" t="s">
        <v>176</v>
      </c>
      <c r="I44" s="13" t="s">
        <v>222</v>
      </c>
      <c r="J44" s="1" t="str">
        <f t="shared" si="7"/>
        <v/>
      </c>
      <c r="K44" t="s">
        <v>177</v>
      </c>
    </row>
    <row r="45" spans="1:11" s="20" customFormat="1" ht="15" customHeight="1" x14ac:dyDescent="0.25">
      <c r="A45" s="17" t="str">
        <f t="shared" si="13"/>
        <v xml:space="preserve">
// V1_D001 Method Parameters</v>
      </c>
      <c r="B45" s="17" t="str">
        <f t="shared" si="3"/>
        <v xml:space="preserve">  // V1_D001 Method Parameters</v>
      </c>
      <c r="C45" s="18" t="s">
        <v>149</v>
      </c>
      <c r="D45" s="18"/>
      <c r="E45" s="27" t="s">
        <v>283</v>
      </c>
      <c r="F45" s="19"/>
      <c r="G45" s="19"/>
      <c r="H45" s="19"/>
      <c r="I45" s="19"/>
      <c r="J45" s="18" t="str">
        <f t="shared" si="7"/>
        <v/>
      </c>
    </row>
    <row r="46" spans="1:11" ht="15" customHeight="1" x14ac:dyDescent="0.25">
      <c r="A46" s="15" t="str">
        <f t="shared" si="13"/>
        <v>#define V1_D001_CONDUCTANCE_LEAK "SIM:V1_D001_conductance_leak"
#define DEFAULT_V1_D001_CONDUCTANCE_LEAK -0.1</v>
      </c>
      <c r="B46" s="21" t="str">
        <f t="shared" si="3"/>
        <v xml:space="preserve">  Variables.SetSetting(V1_D001_CONDUCTANCE_LEAK, Data_double, 1);</v>
      </c>
      <c r="C46" s="1" t="s">
        <v>163</v>
      </c>
      <c r="D46" s="1" t="s">
        <v>234</v>
      </c>
      <c r="E46" s="25" t="s">
        <v>178</v>
      </c>
      <c r="F46" s="13" t="s">
        <v>400</v>
      </c>
      <c r="G46" s="13" t="s">
        <v>179</v>
      </c>
      <c r="H46" s="13">
        <v>1</v>
      </c>
      <c r="I46" s="13">
        <v>-0.1</v>
      </c>
      <c r="J46" s="1">
        <f t="shared" si="7"/>
        <v>1</v>
      </c>
    </row>
    <row r="47" spans="1:11" ht="15" customHeight="1" x14ac:dyDescent="0.25">
      <c r="A47" s="15" t="str">
        <f t="shared" si="13"/>
        <v>#define V1_D001_EXCITATORY_FACTOR "SIM:V1_D001_excitatory_factor"
#define DEFAULT_V1_D001_EXCITATORY_FACTOR 0.2</v>
      </c>
      <c r="B47" s="21" t="str">
        <f t="shared" si="3"/>
        <v xml:space="preserve">  Variables.SetSetting(V1_D001_EXCITATORY_FACTOR, Data_double, 1);</v>
      </c>
      <c r="C47" s="1" t="s">
        <v>163</v>
      </c>
      <c r="D47" s="1" t="s">
        <v>234</v>
      </c>
      <c r="E47" s="25" t="s">
        <v>180</v>
      </c>
      <c r="F47" s="13" t="s">
        <v>399</v>
      </c>
      <c r="G47" s="13" t="s">
        <v>179</v>
      </c>
      <c r="H47" s="13">
        <v>1</v>
      </c>
      <c r="I47" s="13">
        <v>0.2</v>
      </c>
      <c r="J47" s="1">
        <f t="shared" si="7"/>
        <v>1</v>
      </c>
    </row>
    <row r="48" spans="1:11" ht="15" customHeight="1" x14ac:dyDescent="0.25">
      <c r="A48" s="15" t="str">
        <f t="shared" si="13"/>
        <v>#define V1_D001_INHIBITION_FACTOR "SIM:V1_D001_inhibition_factor"
#define DEFAULT_V1_D001_INHIBITION_FACTOR -0.8</v>
      </c>
      <c r="B48" s="21" t="str">
        <f t="shared" si="3"/>
        <v xml:space="preserve">  Variables.SetSetting(V1_D001_INHIBITION_FACTOR, Data_double, 1);</v>
      </c>
      <c r="C48" s="1" t="s">
        <v>163</v>
      </c>
      <c r="D48" s="1" t="s">
        <v>234</v>
      </c>
      <c r="E48" s="25" t="s">
        <v>181</v>
      </c>
      <c r="F48" s="13" t="s">
        <v>398</v>
      </c>
      <c r="G48" s="13" t="s">
        <v>179</v>
      </c>
      <c r="H48" s="13">
        <v>1</v>
      </c>
      <c r="I48" s="13">
        <v>-0.8</v>
      </c>
      <c r="J48" s="1">
        <f t="shared" si="7"/>
        <v>1</v>
      </c>
    </row>
    <row r="49" spans="1:15" ht="15" customHeight="1" x14ac:dyDescent="0.25">
      <c r="A49" s="15" t="str">
        <f t="shared" ref="A49" si="14">IF(C49="","",IF(C49="C",CHAR(10) &amp; "// " &amp; E49,IF(C49="I","#define " &amp; E49 &amp; " " &amp; I49,IF(C49="P","#define " &amp; E49 &amp; " """ &amp; F49 &amp; """" &amp; CHAR(10) &amp; "#define DEFAULT_" &amp; E49 &amp; " " &amp; I49,IF(C49="S","","ERROR")))))</f>
        <v>#define V1_D001_WEIGHT_FACTOR "SIM:V1_D001_weight_factor"
#define DEFAULT_V1_D001_WEIGHT_FACTOR 100</v>
      </c>
      <c r="B49" s="21" t="str">
        <f t="shared" si="3"/>
        <v xml:space="preserve">  Variables.SetSetting(V1_D001_WEIGHT_FACTOR, Data_double, 1);</v>
      </c>
      <c r="C49" s="1" t="s">
        <v>163</v>
      </c>
      <c r="D49" s="1" t="s">
        <v>234</v>
      </c>
      <c r="E49" s="25" t="s">
        <v>331</v>
      </c>
      <c r="F49" s="13" t="s">
        <v>397</v>
      </c>
      <c r="G49" s="13" t="s">
        <v>179</v>
      </c>
      <c r="H49" s="13">
        <v>1</v>
      </c>
      <c r="I49" s="13">
        <v>100</v>
      </c>
      <c r="J49" s="1">
        <f t="shared" si="7"/>
        <v>1</v>
      </c>
    </row>
    <row r="50" spans="1:15" s="46" customFormat="1" ht="15" customHeight="1" x14ac:dyDescent="0.25">
      <c r="A50" s="44" t="str">
        <f t="shared" si="13"/>
        <v xml:space="preserve">
// V1 Diffusion Imput Methods</v>
      </c>
      <c r="B50" s="44" t="str">
        <f t="shared" si="3"/>
        <v xml:space="preserve">  // V1 Diffusion Imput Methods</v>
      </c>
      <c r="C50" s="45" t="s">
        <v>149</v>
      </c>
      <c r="D50" s="45"/>
      <c r="E50" s="46" t="s">
        <v>285</v>
      </c>
      <c r="F50" s="47"/>
      <c r="G50" s="47"/>
      <c r="H50" s="47"/>
      <c r="I50" s="47"/>
      <c r="J50" s="45" t="str">
        <f t="shared" si="7"/>
        <v/>
      </c>
    </row>
    <row r="51" spans="1:15" s="24" customFormat="1" ht="15" customHeight="1" x14ac:dyDescent="0.25">
      <c r="A51" s="21" t="str">
        <f t="shared" si="13"/>
        <v>#define V1_F001 "V1_F001"</v>
      </c>
      <c r="B51" s="21" t="str">
        <f t="shared" si="3"/>
        <v/>
      </c>
      <c r="C51" s="16" t="s">
        <v>137</v>
      </c>
      <c r="D51" s="16"/>
      <c r="E51" s="24" t="s">
        <v>189</v>
      </c>
      <c r="F51" s="23"/>
      <c r="G51" s="23"/>
      <c r="H51" s="23"/>
      <c r="I51" s="23" t="s">
        <v>223</v>
      </c>
      <c r="J51" s="16" t="str">
        <f t="shared" si="7"/>
        <v/>
      </c>
    </row>
    <row r="52" spans="1:15" s="20" customFormat="1" ht="15" customHeight="1" x14ac:dyDescent="0.25">
      <c r="A52" s="17" t="str">
        <f t="shared" si="13"/>
        <v xml:space="preserve">
// V1_F001 Method Parameters</v>
      </c>
      <c r="B52" s="17" t="str">
        <f t="shared" si="3"/>
        <v xml:space="preserve">  // V1_F001 Method Parameters</v>
      </c>
      <c r="C52" s="18" t="s">
        <v>149</v>
      </c>
      <c r="D52" s="18"/>
      <c r="E52" s="20" t="s">
        <v>286</v>
      </c>
      <c r="F52" s="19"/>
      <c r="G52" s="19"/>
      <c r="H52" s="19"/>
      <c r="I52" s="19"/>
      <c r="J52" s="18" t="str">
        <f t="shared" si="7"/>
        <v/>
      </c>
    </row>
    <row r="53" spans="1:15" ht="15" customHeight="1" x14ac:dyDescent="0.25">
      <c r="A53" s="15" t="str">
        <f t="shared" si="13"/>
        <v>#define V1_F001_A "SIM:V1_F001_a"
#define DEFAULT_V1_F001_A 0</v>
      </c>
      <c r="B53" s="21" t="str">
        <f t="shared" si="3"/>
        <v xml:space="preserve">  Variables.SetSetting(V1_F001_A, Data_double, 1);</v>
      </c>
      <c r="C53" s="1" t="s">
        <v>163</v>
      </c>
      <c r="D53" s="1" t="s">
        <v>234</v>
      </c>
      <c r="E53" t="s">
        <v>182</v>
      </c>
      <c r="F53" t="s">
        <v>396</v>
      </c>
      <c r="G53" s="13" t="s">
        <v>179</v>
      </c>
      <c r="H53" s="13">
        <v>1</v>
      </c>
      <c r="I53" s="13">
        <v>0</v>
      </c>
      <c r="J53" s="1">
        <f t="shared" ref="J53:J84" si="15">IF(OR(C53="P",C53="S"),IF(L53="",1,IF(L53=1,N53,IF(L53=2,N53&amp;" * "&amp;Q53,"ERROR"))),"")</f>
        <v>1</v>
      </c>
    </row>
    <row r="54" spans="1:15" ht="15" customHeight="1" x14ac:dyDescent="0.25">
      <c r="A54" s="15" t="str">
        <f t="shared" si="13"/>
        <v>#define V1_F001_B "SIM:V1_F001_b"
#define DEFAULT_V1_F001_B 0</v>
      </c>
      <c r="B54" s="21" t="str">
        <f t="shared" si="3"/>
        <v xml:space="preserve">  Variables.SetSetting(V1_F001_B, Data_double, 1);</v>
      </c>
      <c r="C54" s="1" t="s">
        <v>163</v>
      </c>
      <c r="D54" s="1" t="s">
        <v>234</v>
      </c>
      <c r="E54" t="s">
        <v>183</v>
      </c>
      <c r="F54" t="s">
        <v>395</v>
      </c>
      <c r="G54" s="13" t="s">
        <v>179</v>
      </c>
      <c r="H54" s="13">
        <v>1</v>
      </c>
      <c r="I54" s="13">
        <v>0</v>
      </c>
      <c r="J54" s="1">
        <f t="shared" si="15"/>
        <v>1</v>
      </c>
    </row>
    <row r="55" spans="1:15" ht="15" customHeight="1" x14ac:dyDescent="0.25">
      <c r="A55" s="15" t="str">
        <f t="shared" si="13"/>
        <v>#define V1_F001_ORIENTATION "SIM:V1_F001_orientation"
#define DEFAULT_V1_F001_ORIENTATION 0</v>
      </c>
      <c r="B55" s="21" t="str">
        <f t="shared" si="3"/>
        <v xml:space="preserve">  Variables.SetSetting(V1_F001_ORIENTATION, Data_double, 1);</v>
      </c>
      <c r="C55" s="1" t="s">
        <v>163</v>
      </c>
      <c r="D55" s="1" t="s">
        <v>234</v>
      </c>
      <c r="E55" t="s">
        <v>184</v>
      </c>
      <c r="F55" t="s">
        <v>394</v>
      </c>
      <c r="G55" s="13" t="s">
        <v>179</v>
      </c>
      <c r="H55" s="13">
        <v>1</v>
      </c>
      <c r="I55" s="13">
        <v>0</v>
      </c>
      <c r="J55" s="1">
        <f t="shared" si="15"/>
        <v>1</v>
      </c>
    </row>
    <row r="56" spans="1:15" ht="15" customHeight="1" x14ac:dyDescent="0.25">
      <c r="A56" s="15" t="str">
        <f t="shared" si="13"/>
        <v>#define V1_F001_SPATIAL_FREQUENCY "SIM:V1_F001_spatial_frequency"
#define DEFAULT_V1_F001_SPATIAL_FREQUENCY 0</v>
      </c>
      <c r="B56" s="21" t="str">
        <f t="shared" si="3"/>
        <v xml:space="preserve">  Variables.SetSetting(V1_F001_SPATIAL_FREQUENCY, Data_double, 1);</v>
      </c>
      <c r="C56" s="1" t="s">
        <v>163</v>
      </c>
      <c r="D56" s="1" t="s">
        <v>234</v>
      </c>
      <c r="E56" t="s">
        <v>185</v>
      </c>
      <c r="F56" t="s">
        <v>393</v>
      </c>
      <c r="G56" s="13" t="s">
        <v>179</v>
      </c>
      <c r="H56" s="13">
        <v>1</v>
      </c>
      <c r="I56" s="13">
        <v>0</v>
      </c>
      <c r="J56" s="1">
        <f t="shared" si="15"/>
        <v>1</v>
      </c>
    </row>
    <row r="57" spans="1:15" ht="15" customHeight="1" x14ac:dyDescent="0.25">
      <c r="A57" s="15" t="str">
        <f t="shared" si="13"/>
        <v>#define V1_F001_TEMPORAL_FREQUENCY "SIM:V1_F001_temporal_frequency"
#define DEFAULT_V1_F001_TEMPORAL_FREQUENCY 0</v>
      </c>
      <c r="B57" s="21" t="str">
        <f t="shared" si="3"/>
        <v xml:space="preserve">  Variables.SetSetting(V1_F001_TEMPORAL_FREQUENCY, Data_double, 1);</v>
      </c>
      <c r="C57" s="1" t="s">
        <v>163</v>
      </c>
      <c r="D57" s="1" t="s">
        <v>234</v>
      </c>
      <c r="E57" t="s">
        <v>186</v>
      </c>
      <c r="F57" t="s">
        <v>392</v>
      </c>
      <c r="G57" s="13" t="s">
        <v>179</v>
      </c>
      <c r="H57" s="13">
        <v>1</v>
      </c>
      <c r="I57" s="13">
        <v>0</v>
      </c>
      <c r="J57" s="1">
        <f t="shared" si="15"/>
        <v>1</v>
      </c>
    </row>
    <row r="58" spans="1:15" ht="15" customHeight="1" x14ac:dyDescent="0.25">
      <c r="A58" s="15" t="str">
        <f t="shared" si="13"/>
        <v>#define V1_F001_MAGNITUDE "SIM:V1_F001_magnitude"
#define DEFAULT_V1_F001_MAGNITUDE 0</v>
      </c>
      <c r="B58" s="21" t="str">
        <f t="shared" si="3"/>
        <v xml:space="preserve">  Variables.SetSetting(V1_F001_MAGNITUDE, Data_double, 1);</v>
      </c>
      <c r="C58" s="1" t="s">
        <v>163</v>
      </c>
      <c r="D58" s="1" t="s">
        <v>234</v>
      </c>
      <c r="E58" t="s">
        <v>187</v>
      </c>
      <c r="F58" t="s">
        <v>391</v>
      </c>
      <c r="G58" s="13" t="s">
        <v>179</v>
      </c>
      <c r="H58" s="13">
        <v>1</v>
      </c>
      <c r="I58" s="13">
        <v>0</v>
      </c>
      <c r="J58" s="1">
        <f t="shared" si="15"/>
        <v>1</v>
      </c>
    </row>
    <row r="59" spans="1:15" ht="15" customHeight="1" x14ac:dyDescent="0.25">
      <c r="A59" s="15" t="str">
        <f t="shared" si="13"/>
        <v>#define V1_F001_PHASE "SIM:V1_F001_phase"
#define DEFAULT_V1_F001_PHASE 0</v>
      </c>
      <c r="B59" s="21" t="str">
        <f t="shared" si="3"/>
        <v xml:space="preserve">  Variables.SetSetting(V1_F001_PHASE, Data_int, 1);</v>
      </c>
      <c r="C59" s="1" t="s">
        <v>163</v>
      </c>
      <c r="D59" s="1" t="s">
        <v>234</v>
      </c>
      <c r="E59" t="s">
        <v>188</v>
      </c>
      <c r="F59" t="s">
        <v>390</v>
      </c>
      <c r="G59" s="13" t="s">
        <v>242</v>
      </c>
      <c r="H59" s="13">
        <v>1</v>
      </c>
      <c r="I59" s="13">
        <v>0</v>
      </c>
      <c r="J59" s="1">
        <f t="shared" si="15"/>
        <v>1</v>
      </c>
    </row>
    <row r="60" spans="1:15" s="42" customFormat="1" ht="15" customHeight="1" x14ac:dyDescent="0.25">
      <c r="A60" s="40" t="str">
        <f t="shared" ref="A60:A91" si="16">IF(C60="","",IF(C60="C",CHAR(10) &amp; "// " &amp; E60,IF(C60="I","#define " &amp; E60 &amp; " " &amp; I60,IF(C60="P","#define " &amp; E60 &amp; " """ &amp; F60 &amp; """" &amp; CHAR(10) &amp; "#define DEFAULT_" &amp; E60 &amp; " " &amp; I60,IF(C60="S","","ERROR")))))</f>
        <v xml:space="preserve">
// MT Neuron Settings</v>
      </c>
      <c r="B60" s="40" t="str">
        <f t="shared" si="3"/>
        <v xml:space="preserve">  // MT Neuron Settings</v>
      </c>
      <c r="C60" s="41" t="s">
        <v>149</v>
      </c>
      <c r="D60" s="41"/>
      <c r="E60" s="42" t="s">
        <v>288</v>
      </c>
      <c r="F60" s="43"/>
      <c r="G60" s="43"/>
      <c r="H60" s="43"/>
      <c r="I60" s="43"/>
      <c r="J60" s="41" t="str">
        <f t="shared" si="15"/>
        <v/>
      </c>
    </row>
    <row r="61" spans="1:15" s="20" customFormat="1" ht="15" customHeight="1" x14ac:dyDescent="0.25">
      <c r="A61" s="17" t="str">
        <f t="shared" si="16"/>
        <v xml:space="preserve">
// MT Neuron Parameters</v>
      </c>
      <c r="B61" s="17" t="str">
        <f t="shared" si="3"/>
        <v xml:space="preserve">  // MT Neuron Parameters</v>
      </c>
      <c r="C61" s="18" t="s">
        <v>149</v>
      </c>
      <c r="D61" s="18"/>
      <c r="E61" s="20" t="s">
        <v>190</v>
      </c>
      <c r="F61" s="19"/>
      <c r="G61" s="19"/>
      <c r="H61" s="19"/>
      <c r="I61" s="19"/>
      <c r="J61" s="18" t="str">
        <f t="shared" si="15"/>
        <v/>
      </c>
    </row>
    <row r="62" spans="1:15" s="24" customFormat="1" ht="15" customHeight="1" x14ac:dyDescent="0.25">
      <c r="A62" s="21" t="str">
        <f t="shared" si="16"/>
        <v>#define MT_LABEL "MT"</v>
      </c>
      <c r="B62" s="21" t="str">
        <f t="shared" si="3"/>
        <v/>
      </c>
      <c r="C62" s="16" t="s">
        <v>137</v>
      </c>
      <c r="D62" s="16"/>
      <c r="E62" s="29" t="s">
        <v>238</v>
      </c>
      <c r="F62" s="23"/>
      <c r="G62" s="23"/>
      <c r="H62" s="23"/>
      <c r="I62" s="23" t="s">
        <v>239</v>
      </c>
      <c r="J62" s="16" t="str">
        <f t="shared" si="15"/>
        <v/>
      </c>
    </row>
    <row r="63" spans="1:15" ht="15" customHeight="1" x14ac:dyDescent="0.25">
      <c r="A63" s="15" t="str">
        <f t="shared" si="16"/>
        <v>#define MAX_MT_NEURONS 10</v>
      </c>
      <c r="B63" s="21" t="str">
        <f t="shared" si="3"/>
        <v/>
      </c>
      <c r="C63" s="1" t="s">
        <v>137</v>
      </c>
      <c r="E63" t="s">
        <v>191</v>
      </c>
      <c r="I63" s="13">
        <v>10</v>
      </c>
      <c r="J63" s="1" t="str">
        <f t="shared" si="15"/>
        <v/>
      </c>
    </row>
    <row r="64" spans="1:15" ht="15" customHeight="1" x14ac:dyDescent="0.25">
      <c r="A64" s="15" t="str">
        <f t="shared" si="16"/>
        <v/>
      </c>
      <c r="B64" s="21" t="str">
        <f t="shared" si="3"/>
        <v xml:space="preserve">  for (int i = 0; i &lt; MAX_MT_NEURONS; i++) {
    Variables.SetSetting(string("SIM:") + MT_LABEL + string("'") + IIntToString(i), Data_double, 6);
  }</v>
      </c>
      <c r="C64" s="1" t="s">
        <v>234</v>
      </c>
      <c r="D64" s="1" t="s">
        <v>234</v>
      </c>
      <c r="E64" s="25"/>
      <c r="G64" s="13" t="s">
        <v>179</v>
      </c>
      <c r="H64" s="13">
        <v>6</v>
      </c>
      <c r="J64" s="1" t="str">
        <f t="shared" si="15"/>
        <v>MAX_MT_NEURONS</v>
      </c>
      <c r="L64">
        <v>1</v>
      </c>
      <c r="M64" t="s">
        <v>411</v>
      </c>
      <c r="N64" t="s">
        <v>191</v>
      </c>
      <c r="O64" t="s">
        <v>419</v>
      </c>
    </row>
    <row r="65" spans="1:11" ht="15" customHeight="1" x14ac:dyDescent="0.25">
      <c r="A65" s="15" t="str">
        <f t="shared" si="16"/>
        <v>#define MT_FIRST_CALCULATION "SIM:MT_first_calculation"
#define DEFAULT_MT_FIRST_CALCULATION "none"</v>
      </c>
      <c r="B65" s="21" t="str">
        <f t="shared" si="3"/>
        <v xml:space="preserve">  Variables.SetSetting(MT_FIRST_CALCULATION, Data_string, 1);</v>
      </c>
      <c r="C65" s="1" t="s">
        <v>163</v>
      </c>
      <c r="D65" s="1" t="s">
        <v>234</v>
      </c>
      <c r="E65" s="25" t="s">
        <v>310</v>
      </c>
      <c r="F65" s="13" t="s">
        <v>389</v>
      </c>
      <c r="G65" s="13" t="s">
        <v>171</v>
      </c>
      <c r="H65" s="13">
        <v>1</v>
      </c>
      <c r="I65" s="13" t="s">
        <v>172</v>
      </c>
      <c r="J65" s="1">
        <f t="shared" si="15"/>
        <v>1</v>
      </c>
      <c r="K65" t="s">
        <v>309</v>
      </c>
    </row>
    <row r="66" spans="1:11" ht="15" customHeight="1" x14ac:dyDescent="0.25">
      <c r="A66" s="15" t="str">
        <f t="shared" si="16"/>
        <v>#define MT_ACTIVATION_METHOD "SIM:MT_act_method"
#define DEFAULT_MT_ACTIVATION_METHOD "none"</v>
      </c>
      <c r="B66" s="21" t="str">
        <f t="shared" si="3"/>
        <v xml:space="preserve">  Variables.SetSetting(MT_ACTIVATION_METHOD, Data_string, 1);</v>
      </c>
      <c r="C66" s="1" t="s">
        <v>163</v>
      </c>
      <c r="D66" s="1" t="s">
        <v>234</v>
      </c>
      <c r="E66" t="s">
        <v>192</v>
      </c>
      <c r="F66" s="13" t="s">
        <v>388</v>
      </c>
      <c r="G66" s="13" t="s">
        <v>171</v>
      </c>
      <c r="H66" s="13">
        <v>1</v>
      </c>
      <c r="I66" s="13" t="s">
        <v>172</v>
      </c>
      <c r="J66" s="1">
        <f t="shared" si="15"/>
        <v>1</v>
      </c>
    </row>
    <row r="67" spans="1:11" ht="15" customHeight="1" x14ac:dyDescent="0.25">
      <c r="A67" s="15" t="str">
        <f t="shared" si="16"/>
        <v>#define MT_DACTIVATION_METHOD "SIM:MT_dac_method"
#define DEFAULT_MT_DACTIVATION_METHOD "none"</v>
      </c>
      <c r="B67" s="21" t="str">
        <f t="shared" si="3"/>
        <v xml:space="preserve">  Variables.SetSetting(MT_DACTIVATION_METHOD, Data_string, 1);</v>
      </c>
      <c r="C67" s="1" t="s">
        <v>163</v>
      </c>
      <c r="D67" s="1" t="s">
        <v>234</v>
      </c>
      <c r="E67" t="s">
        <v>193</v>
      </c>
      <c r="F67" s="13" t="s">
        <v>387</v>
      </c>
      <c r="G67" s="13" t="s">
        <v>171</v>
      </c>
      <c r="H67" s="13">
        <v>1</v>
      </c>
      <c r="I67" s="13" t="s">
        <v>172</v>
      </c>
      <c r="J67" s="1">
        <f t="shared" si="15"/>
        <v>1</v>
      </c>
    </row>
    <row r="68" spans="1:11" s="46" customFormat="1" ht="15" customHeight="1" x14ac:dyDescent="0.25">
      <c r="A68" s="44" t="str">
        <f t="shared" si="16"/>
        <v xml:space="preserve">
// MT Activation Methods</v>
      </c>
      <c r="B68" s="44" t="str">
        <f t="shared" ref="B68:B91" si="17">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45" t="s">
        <v>149</v>
      </c>
      <c r="D68" s="45"/>
      <c r="E68" s="46" t="s">
        <v>291</v>
      </c>
      <c r="F68" s="47"/>
      <c r="G68" s="47"/>
      <c r="H68" s="47"/>
      <c r="I68" s="47"/>
      <c r="J68" s="45" t="str">
        <f t="shared" si="15"/>
        <v/>
      </c>
    </row>
    <row r="69" spans="1:11" ht="15" customHeight="1" x14ac:dyDescent="0.25">
      <c r="A69" s="15" t="str">
        <f t="shared" si="16"/>
        <v>#define MT_A001 "MT_A001"</v>
      </c>
      <c r="B69" s="21" t="str">
        <f t="shared" si="17"/>
        <v/>
      </c>
      <c r="C69" s="1" t="s">
        <v>137</v>
      </c>
      <c r="E69" t="s">
        <v>194</v>
      </c>
      <c r="I69" s="13" t="s">
        <v>224</v>
      </c>
      <c r="J69" s="1" t="str">
        <f t="shared" si="15"/>
        <v/>
      </c>
    </row>
    <row r="70" spans="1:11" s="20" customFormat="1" ht="15" customHeight="1" x14ac:dyDescent="0.25">
      <c r="A70" s="17" t="str">
        <f t="shared" si="16"/>
        <v xml:space="preserve">
// MT_A001 Parameters</v>
      </c>
      <c r="B70" s="17" t="str">
        <f t="shared" si="17"/>
        <v xml:space="preserve">  // MT_A001 Parameters</v>
      </c>
      <c r="C70" s="18" t="s">
        <v>149</v>
      </c>
      <c r="D70" s="18"/>
      <c r="E70" s="20" t="s">
        <v>289</v>
      </c>
      <c r="F70" s="19"/>
      <c r="G70" s="19"/>
      <c r="H70" s="19"/>
      <c r="I70" s="19"/>
      <c r="J70" s="18" t="str">
        <f t="shared" si="15"/>
        <v/>
      </c>
    </row>
    <row r="71" spans="1:11" s="20" customFormat="1" ht="15" customHeight="1" x14ac:dyDescent="0.25">
      <c r="A71" s="17" t="str">
        <f t="shared" si="16"/>
        <v xml:space="preserve">
// None</v>
      </c>
      <c r="B71" s="17" t="str">
        <f t="shared" si="17"/>
        <v xml:space="preserve">  // None</v>
      </c>
      <c r="C71" s="18" t="s">
        <v>149</v>
      </c>
      <c r="D71" s="18"/>
      <c r="E71" s="20" t="s">
        <v>290</v>
      </c>
      <c r="F71" s="19"/>
      <c r="G71" s="19"/>
      <c r="H71" s="19"/>
      <c r="I71" s="19"/>
      <c r="J71" s="18" t="str">
        <f t="shared" si="15"/>
        <v/>
      </c>
    </row>
    <row r="72" spans="1:11" s="46" customFormat="1" ht="15" customHeight="1" x14ac:dyDescent="0.25">
      <c r="A72" s="44" t="str">
        <f t="shared" si="16"/>
        <v xml:space="preserve">
// MT Derivate Activation Methods</v>
      </c>
      <c r="B72" s="44" t="str">
        <f t="shared" si="17"/>
        <v xml:space="preserve">  // MT Derivate Activation Methods</v>
      </c>
      <c r="C72" s="45" t="s">
        <v>149</v>
      </c>
      <c r="D72" s="45"/>
      <c r="E72" s="46" t="s">
        <v>292</v>
      </c>
      <c r="F72" s="47"/>
      <c r="G72" s="47"/>
      <c r="H72" s="47"/>
      <c r="I72" s="47"/>
      <c r="J72" s="45" t="str">
        <f t="shared" si="15"/>
        <v/>
      </c>
    </row>
    <row r="73" spans="1:11" ht="15" customHeight="1" x14ac:dyDescent="0.25">
      <c r="A73" s="15" t="str">
        <f t="shared" si="16"/>
        <v>#define MT_D001 "MT_D001"</v>
      </c>
      <c r="B73" s="21" t="str">
        <f t="shared" si="17"/>
        <v/>
      </c>
      <c r="C73" s="1" t="s">
        <v>137</v>
      </c>
      <c r="E73" t="s">
        <v>293</v>
      </c>
      <c r="I73" s="13" t="s">
        <v>294</v>
      </c>
      <c r="J73" s="1" t="str">
        <f t="shared" si="15"/>
        <v/>
      </c>
    </row>
    <row r="74" spans="1:11" s="20" customFormat="1" ht="15" customHeight="1" x14ac:dyDescent="0.25">
      <c r="A74" s="17" t="str">
        <f t="shared" si="16"/>
        <v xml:space="preserve">
// MT_D001 Parameters</v>
      </c>
      <c r="B74" s="17" t="str">
        <f t="shared" si="17"/>
        <v xml:space="preserve">  // MT_D001 Parameters</v>
      </c>
      <c r="C74" s="18" t="s">
        <v>149</v>
      </c>
      <c r="D74" s="18"/>
      <c r="E74" s="20" t="s">
        <v>295</v>
      </c>
      <c r="F74" s="19"/>
      <c r="G74" s="19"/>
      <c r="H74" s="19"/>
      <c r="I74" s="19"/>
      <c r="J74" s="18" t="str">
        <f t="shared" si="15"/>
        <v/>
      </c>
    </row>
    <row r="75" spans="1:11" s="20" customFormat="1" ht="15" customHeight="1" x14ac:dyDescent="0.25">
      <c r="A75" s="17" t="str">
        <f t="shared" si="16"/>
        <v xml:space="preserve">
// None</v>
      </c>
      <c r="B75" s="17" t="str">
        <f t="shared" si="17"/>
        <v xml:space="preserve">  // None</v>
      </c>
      <c r="C75" s="18" t="s">
        <v>149</v>
      </c>
      <c r="D75" s="18"/>
      <c r="E75" s="20" t="s">
        <v>290</v>
      </c>
      <c r="F75" s="19"/>
      <c r="G75" s="19"/>
      <c r="H75" s="19"/>
      <c r="I75" s="19"/>
      <c r="J75" s="18" t="str">
        <f t="shared" si="15"/>
        <v/>
      </c>
    </row>
    <row r="76" spans="1:11" s="42" customFormat="1" ht="15" customHeight="1" x14ac:dyDescent="0.25">
      <c r="A76" s="40" t="str">
        <f t="shared" si="16"/>
        <v xml:space="preserve">
// Neuron Linking</v>
      </c>
      <c r="B76" s="40" t="str">
        <f t="shared" si="17"/>
        <v xml:space="preserve">  // Neuron Linking</v>
      </c>
      <c r="C76" s="41" t="s">
        <v>149</v>
      </c>
      <c r="D76" s="41"/>
      <c r="E76" s="42" t="s">
        <v>296</v>
      </c>
      <c r="F76" s="43"/>
      <c r="G76" s="43"/>
      <c r="H76" s="43"/>
      <c r="I76" s="43"/>
      <c r="J76" s="41" t="str">
        <f t="shared" si="15"/>
        <v/>
      </c>
    </row>
    <row r="77" spans="1:11" s="46" customFormat="1" ht="15" customHeight="1" x14ac:dyDescent="0.25">
      <c r="A77" s="44" t="str">
        <f t="shared" si="16"/>
        <v xml:space="preserve">
// V1V1 Linking Methods</v>
      </c>
      <c r="B77" s="44" t="str">
        <f t="shared" si="17"/>
        <v xml:space="preserve">  // V1V1 Linking Methods</v>
      </c>
      <c r="C77" s="45" t="s">
        <v>149</v>
      </c>
      <c r="D77" s="45"/>
      <c r="E77" s="46" t="s">
        <v>297</v>
      </c>
      <c r="F77" s="47"/>
      <c r="G77" s="47"/>
      <c r="H77" s="47"/>
      <c r="I77" s="47"/>
      <c r="J77" s="45" t="str">
        <f t="shared" si="15"/>
        <v/>
      </c>
    </row>
    <row r="78" spans="1:11" s="24" customFormat="1" ht="15" customHeight="1" x14ac:dyDescent="0.25">
      <c r="A78" s="21" t="str">
        <f t="shared" si="16"/>
        <v>#define V1V1_CONNECTION_METHOD "SIM:V1V1_connection_method"
#define DEFAULT_V1V1_CONNECTION_METHOD "none"</v>
      </c>
      <c r="B78" s="21" t="str">
        <f t="shared" si="17"/>
        <v xml:space="preserve">  Variables.SetSetting(V1V1_CONNECTION_METHOD, Data_string, 1);</v>
      </c>
      <c r="C78" s="16" t="s">
        <v>163</v>
      </c>
      <c r="D78" s="16" t="s">
        <v>234</v>
      </c>
      <c r="E78" s="24" t="s">
        <v>306</v>
      </c>
      <c r="F78" s="23" t="s">
        <v>386</v>
      </c>
      <c r="G78" s="23" t="s">
        <v>171</v>
      </c>
      <c r="H78" s="23">
        <v>1</v>
      </c>
      <c r="I78" s="23" t="s">
        <v>172</v>
      </c>
      <c r="J78" s="16">
        <f t="shared" si="15"/>
        <v>1</v>
      </c>
    </row>
    <row r="79" spans="1:11" ht="15" customHeight="1" x14ac:dyDescent="0.25">
      <c r="A79" s="15" t="str">
        <f t="shared" si="16"/>
        <v>#define V1V1_L001 "V1V1_L001"</v>
      </c>
      <c r="B79" s="21" t="str">
        <f t="shared" si="17"/>
        <v/>
      </c>
      <c r="C79" s="1" t="s">
        <v>137</v>
      </c>
      <c r="E79" t="s">
        <v>298</v>
      </c>
      <c r="I79" s="13" t="s">
        <v>299</v>
      </c>
      <c r="J79" s="1" t="str">
        <f t="shared" si="15"/>
        <v/>
      </c>
    </row>
    <row r="80" spans="1:11" s="20" customFormat="1" ht="15" customHeight="1" x14ac:dyDescent="0.25">
      <c r="A80" s="17" t="str">
        <f t="shared" si="16"/>
        <v xml:space="preserve">
// V1V1_L001 Link Parameters</v>
      </c>
      <c r="B80" s="17" t="str">
        <f t="shared" si="17"/>
        <v xml:space="preserve">  // V1V1_L001 Link Parameters</v>
      </c>
      <c r="C80" s="18" t="s">
        <v>149</v>
      </c>
      <c r="D80" s="18"/>
      <c r="E80" s="20" t="s">
        <v>300</v>
      </c>
      <c r="F80" s="19"/>
      <c r="G80" s="19"/>
      <c r="H80" s="19"/>
      <c r="I80" s="19"/>
      <c r="J80" s="18" t="str">
        <f t="shared" si="15"/>
        <v/>
      </c>
    </row>
    <row r="81" spans="1:18" s="24" customFormat="1" ht="15" customHeight="1" x14ac:dyDescent="0.25">
      <c r="A81" s="21" t="str">
        <f t="shared" si="16"/>
        <v>#define V1V1_L001_BASE_WEIGHT_SOURCE "SIM:V1V1_L001_base_weight_source"
#define DEFAULT_V1V1_L001_BASE_WEIGHT_SOURCE "none"</v>
      </c>
      <c r="B81" s="21" t="str">
        <f t="shared" si="17"/>
        <v xml:space="preserve">  Variables.SetSetting(V1V1_L001_BASE_WEIGHT_SOURCE, Data_string, 1);</v>
      </c>
      <c r="C81" s="16" t="s">
        <v>163</v>
      </c>
      <c r="D81" s="16" t="s">
        <v>234</v>
      </c>
      <c r="E81" s="24" t="s">
        <v>302</v>
      </c>
      <c r="F81" s="23" t="s">
        <v>385</v>
      </c>
      <c r="G81" s="23" t="s">
        <v>171</v>
      </c>
      <c r="H81" s="23">
        <v>1</v>
      </c>
      <c r="I81" s="23" t="s">
        <v>172</v>
      </c>
      <c r="J81" s="1">
        <f t="shared" si="15"/>
        <v>1</v>
      </c>
    </row>
    <row r="82" spans="1:18" ht="15" customHeight="1" x14ac:dyDescent="0.25">
      <c r="A82" s="15" t="str">
        <f t="shared" si="16"/>
        <v>#define V1V1_L001_DEFAULT_WEIGHT "SIM:V1V1_L001_default_weight"
#define DEFAULT_V1V1_L001_DEFAULT_WEIGHT 0</v>
      </c>
      <c r="B82" s="21" t="str">
        <f t="shared" si="17"/>
        <v xml:space="preserve">  Variables.SetSetting(V1V1_L001_DEFAULT_WEIGHT, Data_double, 1);</v>
      </c>
      <c r="C82" s="1" t="s">
        <v>163</v>
      </c>
      <c r="D82" s="1" t="s">
        <v>234</v>
      </c>
      <c r="E82" s="24" t="s">
        <v>303</v>
      </c>
      <c r="F82" s="13" t="s">
        <v>384</v>
      </c>
      <c r="G82" s="13" t="s">
        <v>179</v>
      </c>
      <c r="H82" s="13">
        <v>1</v>
      </c>
      <c r="I82" s="13">
        <v>0</v>
      </c>
      <c r="J82" s="1">
        <f t="shared" si="15"/>
        <v>1</v>
      </c>
    </row>
    <row r="83" spans="1:18" ht="15" customHeight="1" x14ac:dyDescent="0.25">
      <c r="A83" s="15" t="str">
        <f t="shared" si="16"/>
        <v/>
      </c>
      <c r="B83" s="21" t="str">
        <f t="shared" si="17"/>
        <v xml:space="preserve">  for (int i = 0; i &lt; MAX_V1_NEURONS; i++) {
    for (int j = 0; j &lt; MAX_V1_NEURONS; j++) {
      Variables.SetSetting(string("SIM:") + V1_LABEL + string("'") + IIntToString(i) + ":" + V1_LABEL + string("'") + IIntToString(j), Data_double, 1);
    }
  }</v>
      </c>
      <c r="C83" s="1" t="s">
        <v>234</v>
      </c>
      <c r="D83" s="1" t="s">
        <v>234</v>
      </c>
      <c r="E83" s="24"/>
      <c r="G83" s="13" t="s">
        <v>179</v>
      </c>
      <c r="H83" s="13">
        <v>1</v>
      </c>
      <c r="I83" s="13" t="s">
        <v>303</v>
      </c>
      <c r="J83" s="1" t="str">
        <f t="shared" si="15"/>
        <v>MAX_V1_NEURONS * MAX_V1_NEURONS</v>
      </c>
      <c r="L83">
        <v>2</v>
      </c>
      <c r="M83" t="s">
        <v>410</v>
      </c>
      <c r="N83" t="s">
        <v>168</v>
      </c>
      <c r="O83" t="s">
        <v>419</v>
      </c>
      <c r="P83" t="s">
        <v>330</v>
      </c>
      <c r="Q83" t="s">
        <v>168</v>
      </c>
      <c r="R83" t="s">
        <v>420</v>
      </c>
    </row>
    <row r="84" spans="1:18" s="46" customFormat="1" ht="15" customHeight="1" x14ac:dyDescent="0.25">
      <c r="A84" s="44" t="str">
        <f t="shared" si="16"/>
        <v xml:space="preserve">
// MTMT Link Methods</v>
      </c>
      <c r="B84" s="44" t="str">
        <f t="shared" si="17"/>
        <v xml:space="preserve">  // MTMT Link Methods</v>
      </c>
      <c r="C84" s="45" t="s">
        <v>149</v>
      </c>
      <c r="D84" s="45"/>
      <c r="E84" s="46" t="s">
        <v>301</v>
      </c>
      <c r="F84" s="47"/>
      <c r="G84" s="47"/>
      <c r="H84" s="47"/>
      <c r="I84" s="47"/>
      <c r="J84" s="45" t="str">
        <f t="shared" si="15"/>
        <v/>
      </c>
    </row>
    <row r="85" spans="1:18" s="20" customFormat="1" ht="15" customHeight="1" x14ac:dyDescent="0.25">
      <c r="A85" s="17" t="str">
        <f t="shared" si="16"/>
        <v xml:space="preserve">
// None</v>
      </c>
      <c r="B85" s="17" t="str">
        <f t="shared" si="17"/>
        <v xml:space="preserve">  // None</v>
      </c>
      <c r="C85" s="18" t="s">
        <v>149</v>
      </c>
      <c r="D85" s="18"/>
      <c r="E85" s="20" t="s">
        <v>290</v>
      </c>
      <c r="F85" s="19"/>
      <c r="G85" s="19"/>
      <c r="H85" s="19"/>
      <c r="I85" s="19"/>
      <c r="J85" s="18" t="str">
        <f t="shared" ref="J85:J120" si="18">IF(OR(C85="P",C85="S"),IF(L85="",1,IF(L85=1,N85,IF(L85=2,N85&amp;" * "&amp;Q85,"ERROR"))),"")</f>
        <v/>
      </c>
    </row>
    <row r="86" spans="1:18" s="46" customFormat="1" ht="15" customHeight="1" x14ac:dyDescent="0.25">
      <c r="A86" s="44" t="str">
        <f t="shared" si="16"/>
        <v xml:space="preserve">
// V1MT Linking Methods</v>
      </c>
      <c r="B86" s="44" t="str">
        <f t="shared" si="17"/>
        <v xml:space="preserve">  // V1MT Linking Methods</v>
      </c>
      <c r="C86" s="45" t="s">
        <v>149</v>
      </c>
      <c r="D86" s="45"/>
      <c r="E86" s="46" t="s">
        <v>304</v>
      </c>
      <c r="F86" s="47"/>
      <c r="G86" s="47"/>
      <c r="H86" s="47"/>
      <c r="I86" s="47"/>
      <c r="J86" s="45" t="str">
        <f t="shared" si="18"/>
        <v/>
      </c>
    </row>
    <row r="87" spans="1:18" s="24" customFormat="1" ht="15" customHeight="1" x14ac:dyDescent="0.25">
      <c r="A87" s="21" t="str">
        <f t="shared" si="16"/>
        <v>#define V1MT_CONNECTION_METHOD "SIM:V1MT_connection_method"
#define DEFAULT_V1MT_CONNECTION_METHOD "none"</v>
      </c>
      <c r="B87" s="21" t="str">
        <f t="shared" si="17"/>
        <v xml:space="preserve">  Variables.SetSetting(V1MT_CONNECTION_METHOD, Data_string, 1);</v>
      </c>
      <c r="C87" s="16" t="s">
        <v>163</v>
      </c>
      <c r="D87" s="16" t="s">
        <v>234</v>
      </c>
      <c r="E87" s="24" t="s">
        <v>226</v>
      </c>
      <c r="F87" s="23" t="s">
        <v>383</v>
      </c>
      <c r="G87" s="23" t="s">
        <v>171</v>
      </c>
      <c r="H87" s="23">
        <v>1</v>
      </c>
      <c r="I87" s="23" t="s">
        <v>172</v>
      </c>
      <c r="J87" s="1">
        <f t="shared" si="18"/>
        <v>1</v>
      </c>
    </row>
    <row r="88" spans="1:18" s="24" customFormat="1" ht="15" customHeight="1" x14ac:dyDescent="0.25">
      <c r="A88" s="21" t="str">
        <f t="shared" si="16"/>
        <v>#define V1MT_L001 "V1MT_L001"</v>
      </c>
      <c r="B88" s="21" t="str">
        <f t="shared" si="17"/>
        <v/>
      </c>
      <c r="C88" s="16" t="s">
        <v>137</v>
      </c>
      <c r="D88" s="16"/>
      <c r="E88" s="24" t="s">
        <v>227</v>
      </c>
      <c r="F88" s="23"/>
      <c r="G88" s="23"/>
      <c r="H88" s="23"/>
      <c r="I88" s="23" t="s">
        <v>228</v>
      </c>
      <c r="J88" s="16" t="str">
        <f t="shared" si="18"/>
        <v/>
      </c>
    </row>
    <row r="89" spans="1:18" s="20" customFormat="1" ht="15" customHeight="1" x14ac:dyDescent="0.25">
      <c r="A89" s="17" t="str">
        <f t="shared" si="16"/>
        <v xml:space="preserve">
// V1MT_L001 Link Parameters</v>
      </c>
      <c r="B89" s="17" t="str">
        <f t="shared" si="17"/>
        <v xml:space="preserve">  // V1MT_L001 Link Parameters</v>
      </c>
      <c r="C89" s="18" t="s">
        <v>149</v>
      </c>
      <c r="D89" s="18"/>
      <c r="E89" s="20" t="s">
        <v>305</v>
      </c>
      <c r="F89" s="19"/>
      <c r="G89" s="19"/>
      <c r="H89" s="19"/>
      <c r="I89" s="19"/>
      <c r="J89" s="18" t="str">
        <f t="shared" si="18"/>
        <v/>
      </c>
    </row>
    <row r="90" spans="1:18" s="24" customFormat="1" ht="15" customHeight="1" x14ac:dyDescent="0.25">
      <c r="A90" s="21" t="str">
        <f t="shared" si="16"/>
        <v>#define V1MT_L001_APERTURE "SIM:V1MT_L001_aperture"
#define DEFAULT_V1MT_L001_APERTURE 45.0 + 1.0</v>
      </c>
      <c r="B90" s="21" t="str">
        <f t="shared" si="17"/>
        <v xml:space="preserve">  Variables.SetSetting(V1MT_L001_APERTURE, Data_double, 1);</v>
      </c>
      <c r="C90" s="16" t="s">
        <v>163</v>
      </c>
      <c r="D90" s="16" t="s">
        <v>234</v>
      </c>
      <c r="E90" s="24" t="s">
        <v>229</v>
      </c>
      <c r="F90" s="23" t="s">
        <v>382</v>
      </c>
      <c r="G90" s="23" t="s">
        <v>179</v>
      </c>
      <c r="H90" s="23">
        <v>1</v>
      </c>
      <c r="I90" s="23" t="s">
        <v>332</v>
      </c>
      <c r="J90" s="16">
        <f t="shared" si="18"/>
        <v>1</v>
      </c>
    </row>
    <row r="91" spans="1:18" s="24" customFormat="1" ht="15" customHeight="1" x14ac:dyDescent="0.25">
      <c r="A91" s="21" t="str">
        <f t="shared" si="16"/>
        <v>#define V1MT_L001_AMPLIFICATION "SIM:V1MT_L001_amplification"
#define DEFAULT_V1MT_L001_AMPLIFICATION 1</v>
      </c>
      <c r="B91" s="21" t="str">
        <f t="shared" si="17"/>
        <v xml:space="preserve">  Variables.SetSetting(V1MT_L001_AMPLIFICATION, Data_double, 1);</v>
      </c>
      <c r="C91" s="16" t="s">
        <v>163</v>
      </c>
      <c r="D91" s="16" t="s">
        <v>234</v>
      </c>
      <c r="E91" s="24" t="s">
        <v>230</v>
      </c>
      <c r="F91" s="23" t="s">
        <v>381</v>
      </c>
      <c r="G91" s="23" t="s">
        <v>179</v>
      </c>
      <c r="H91" s="23">
        <v>1</v>
      </c>
      <c r="I91" s="23">
        <v>1</v>
      </c>
      <c r="J91" s="16">
        <f t="shared" si="18"/>
        <v>1</v>
      </c>
    </row>
    <row r="92" spans="1:18" s="24" customFormat="1" ht="15" customHeight="1" x14ac:dyDescent="0.25">
      <c r="A92" s="21" t="str">
        <f t="shared" ref="A92:A126" si="19">IF(C92="","",IF(C92="C",CHAR(10) &amp; "// " &amp; E92,IF(C92="I","#define " &amp; E92 &amp; " " &amp; I92,IF(C92="P","#define " &amp; E92 &amp; " """ &amp; F92 &amp; """" &amp; CHAR(10) &amp; "#define DEFAULT_" &amp; E92 &amp; " " &amp; I92,IF(C92="S","","ERROR")))))</f>
        <v>#define V1MT_L001_SIGMA "SIM:V1MT_L001_sigma"
#define DEFAULT_V1MT_L001_SIGMA 2.0/3.0</v>
      </c>
      <c r="B92" s="21"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Data_double, 1);</v>
      </c>
      <c r="C92" s="16" t="s">
        <v>163</v>
      </c>
      <c r="D92" s="16" t="s">
        <v>234</v>
      </c>
      <c r="E92" s="24" t="s">
        <v>231</v>
      </c>
      <c r="F92" s="23" t="s">
        <v>380</v>
      </c>
      <c r="G92" s="23" t="s">
        <v>179</v>
      </c>
      <c r="H92" s="23">
        <v>1</v>
      </c>
      <c r="I92" s="51" t="s">
        <v>276</v>
      </c>
      <c r="J92" s="52">
        <f t="shared" si="18"/>
        <v>1</v>
      </c>
    </row>
    <row r="93" spans="1:18" s="24" customFormat="1" ht="15" customHeight="1" x14ac:dyDescent="0.25">
      <c r="A93" s="21" t="str">
        <f t="shared" si="19"/>
        <v>#define V1MT_L001_MODULATION "SIM:V1MT_L001_modulation"
#define DEFAULT_V1MT_L001_MODULATION 5.33648681640625</v>
      </c>
      <c r="B93" s="21" t="str">
        <f t="shared" ref="B93:B134" si="20">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Data_double, 1);</v>
      </c>
      <c r="C93" s="16" t="s">
        <v>163</v>
      </c>
      <c r="D93" s="16" t="s">
        <v>234</v>
      </c>
      <c r="E93" s="24" t="s">
        <v>232</v>
      </c>
      <c r="F93" s="23" t="s">
        <v>379</v>
      </c>
      <c r="G93" s="23" t="s">
        <v>179</v>
      </c>
      <c r="H93" s="23">
        <v>1</v>
      </c>
      <c r="I93" s="53">
        <v>5.33648681640625</v>
      </c>
      <c r="J93" s="54">
        <f t="shared" si="18"/>
        <v>1</v>
      </c>
    </row>
    <row r="94" spans="1:18" s="42" customFormat="1" ht="15" customHeight="1" x14ac:dyDescent="0.25">
      <c r="A94" s="40" t="str">
        <f t="shared" si="19"/>
        <v xml:space="preserve">
// Defines</v>
      </c>
      <c r="B94" s="40" t="str">
        <f t="shared" si="20"/>
        <v xml:space="preserve">  // Defines</v>
      </c>
      <c r="C94" s="41" t="s">
        <v>149</v>
      </c>
      <c r="D94" s="41"/>
      <c r="E94" s="42" t="s">
        <v>307</v>
      </c>
      <c r="F94" s="43"/>
      <c r="G94" s="43"/>
      <c r="H94" s="43"/>
      <c r="I94" s="43"/>
      <c r="J94" s="41" t="str">
        <f t="shared" si="18"/>
        <v/>
      </c>
    </row>
    <row r="95" spans="1:18" s="20" customFormat="1" ht="15" customHeight="1" x14ac:dyDescent="0.25">
      <c r="A95" s="17" t="str">
        <f t="shared" si="19"/>
        <v xml:space="preserve">
// Simulator Defines</v>
      </c>
      <c r="B95" s="17" t="str">
        <f t="shared" si="20"/>
        <v xml:space="preserve">  // Simulator Defines</v>
      </c>
      <c r="C95" s="18" t="s">
        <v>149</v>
      </c>
      <c r="D95" s="18"/>
      <c r="E95" s="20" t="s">
        <v>195</v>
      </c>
      <c r="F95" s="19"/>
      <c r="G95" s="19"/>
      <c r="H95" s="19"/>
      <c r="I95" s="19"/>
      <c r="J95" s="18" t="str">
        <f t="shared" si="18"/>
        <v/>
      </c>
    </row>
    <row r="96" spans="1:18" ht="15" customHeight="1" x14ac:dyDescent="0.25">
      <c r="A96" s="15" t="str">
        <f t="shared" si="19"/>
        <v>#define SIMULATOR_TIME_STEP "SIM:simulator_time_step"
#define DEFAULT_SIMULATOR_TIME_STEP 0.005</v>
      </c>
      <c r="B96" s="21" t="str">
        <f t="shared" si="20"/>
        <v xml:space="preserve">  Variables.SetSetting(SIMULATOR_TIME_STEP, Data_double, 1);</v>
      </c>
      <c r="C96" s="1" t="s">
        <v>163</v>
      </c>
      <c r="D96" s="1" t="s">
        <v>234</v>
      </c>
      <c r="E96" s="24" t="s">
        <v>196</v>
      </c>
      <c r="F96" s="13" t="s">
        <v>409</v>
      </c>
      <c r="G96" s="13" t="s">
        <v>179</v>
      </c>
      <c r="H96" s="13">
        <v>1</v>
      </c>
      <c r="I96" s="13">
        <v>5.0000000000000001E-3</v>
      </c>
      <c r="J96" s="1">
        <f t="shared" si="18"/>
        <v>1</v>
      </c>
    </row>
    <row r="97" spans="1:10" s="24" customFormat="1" ht="15" customHeight="1" x14ac:dyDescent="0.25">
      <c r="A97" s="21" t="str">
        <f t="shared" si="19"/>
        <v>#define CALCULATE_ACTIVATION "activation"</v>
      </c>
      <c r="B97" s="21" t="str">
        <f t="shared" si="20"/>
        <v/>
      </c>
      <c r="C97" s="16" t="s">
        <v>137</v>
      </c>
      <c r="D97" s="16"/>
      <c r="E97" s="24" t="s">
        <v>311</v>
      </c>
      <c r="F97" s="23"/>
      <c r="G97" s="23"/>
      <c r="H97" s="23"/>
      <c r="I97" s="23" t="s">
        <v>313</v>
      </c>
      <c r="J97" s="16" t="str">
        <f t="shared" si="18"/>
        <v/>
      </c>
    </row>
    <row r="98" spans="1:10" s="24" customFormat="1" ht="15" customHeight="1" x14ac:dyDescent="0.25">
      <c r="A98" s="21" t="str">
        <f t="shared" si="19"/>
        <v>#define CALCULATE_DACTIVATION "dactivation"</v>
      </c>
      <c r="B98" s="21" t="str">
        <f t="shared" si="20"/>
        <v/>
      </c>
      <c r="C98" s="16" t="s">
        <v>137</v>
      </c>
      <c r="D98" s="16"/>
      <c r="E98" s="24" t="s">
        <v>312</v>
      </c>
      <c r="F98" s="23"/>
      <c r="G98" s="23"/>
      <c r="H98" s="23"/>
      <c r="I98" s="23" t="s">
        <v>314</v>
      </c>
      <c r="J98" s="16" t="str">
        <f t="shared" si="18"/>
        <v/>
      </c>
    </row>
    <row r="99" spans="1:10" s="20" customFormat="1" ht="15" customHeight="1" x14ac:dyDescent="0.25">
      <c r="A99" s="17" t="str">
        <f t="shared" si="19"/>
        <v xml:space="preserve">
// Interface Defines</v>
      </c>
      <c r="B99" s="17" t="str">
        <f t="shared" si="20"/>
        <v xml:space="preserve">  // Interface Defines</v>
      </c>
      <c r="C99" s="18" t="s">
        <v>149</v>
      </c>
      <c r="D99" s="18"/>
      <c r="E99" s="20" t="s">
        <v>197</v>
      </c>
      <c r="F99" s="19"/>
      <c r="G99" s="19"/>
      <c r="H99" s="19"/>
      <c r="I99" s="19"/>
      <c r="J99" s="18" t="str">
        <f t="shared" si="18"/>
        <v/>
      </c>
    </row>
    <row r="100" spans="1:10" s="24" customFormat="1" ht="15" customHeight="1" x14ac:dyDescent="0.25">
      <c r="A100" s="21" t="str">
        <f t="shared" si="19"/>
        <v>#define LABEL_DONE "DONE"</v>
      </c>
      <c r="B100" s="21" t="str">
        <f t="shared" si="20"/>
        <v/>
      </c>
      <c r="C100" s="16" t="s">
        <v>137</v>
      </c>
      <c r="D100" s="16"/>
      <c r="E100" s="24" t="s">
        <v>198</v>
      </c>
      <c r="F100" s="23"/>
      <c r="G100" s="23"/>
      <c r="H100" s="23"/>
      <c r="I100" s="23" t="s">
        <v>199</v>
      </c>
      <c r="J100" s="16" t="str">
        <f t="shared" si="18"/>
        <v/>
      </c>
    </row>
    <row r="101" spans="1:10" s="24" customFormat="1" ht="15" customHeight="1" x14ac:dyDescent="0.25">
      <c r="A101" s="21" t="str">
        <f t="shared" si="19"/>
        <v>#define LABEL_FAIL "FAIL"</v>
      </c>
      <c r="B101" s="21" t="str">
        <f t="shared" si="20"/>
        <v/>
      </c>
      <c r="C101" s="16" t="s">
        <v>137</v>
      </c>
      <c r="D101" s="16"/>
      <c r="E101" s="24" t="s">
        <v>225</v>
      </c>
      <c r="F101" s="23"/>
      <c r="G101" s="23"/>
      <c r="H101" s="23"/>
      <c r="I101" s="23" t="s">
        <v>200</v>
      </c>
      <c r="J101" s="16" t="str">
        <f t="shared" si="18"/>
        <v/>
      </c>
    </row>
    <row r="102" spans="1:10" ht="15" customHeight="1" x14ac:dyDescent="0.25">
      <c r="A102" s="15" t="str">
        <f t="shared" si="19"/>
        <v>#define LABEL_COMMENT_STRING "#"</v>
      </c>
      <c r="B102" s="21" t="str">
        <f t="shared" si="20"/>
        <v/>
      </c>
      <c r="C102" s="1" t="s">
        <v>137</v>
      </c>
      <c r="E102" t="s">
        <v>211</v>
      </c>
      <c r="I102" s="13" t="s">
        <v>214</v>
      </c>
      <c r="J102" s="1" t="str">
        <f t="shared" si="18"/>
        <v/>
      </c>
    </row>
    <row r="103" spans="1:10" ht="15" customHeight="1" x14ac:dyDescent="0.25">
      <c r="A103" s="15" t="str">
        <f t="shared" si="19"/>
        <v>#define LABEL_COMMENT_CHAR '#'</v>
      </c>
      <c r="B103" s="21" t="str">
        <f t="shared" si="20"/>
        <v/>
      </c>
      <c r="C103" s="1" t="s">
        <v>137</v>
      </c>
      <c r="E103" t="s">
        <v>212</v>
      </c>
      <c r="I103" s="13" t="s">
        <v>213</v>
      </c>
      <c r="J103" s="1" t="str">
        <f t="shared" si="18"/>
        <v/>
      </c>
    </row>
    <row r="104" spans="1:10" ht="15" customHeight="1" x14ac:dyDescent="0.25">
      <c r="A104" s="15" t="str">
        <f t="shared" ref="A104:A105" si="21">IF(C104="","",IF(C104="C",CHAR(10) &amp; "// " &amp; E104,IF(C104="I","#define " &amp; E104 &amp; " " &amp; I104,IF(C104="P","#define " &amp; E104 &amp; " """ &amp; F104 &amp; """" &amp; CHAR(10) &amp; "#define DEFAULT_" &amp; E104 &amp; " " &amp; I104,IF(C104="S","","ERROR")))))</f>
        <v>#define LABEL_REDIRECTION_STRING "&gt;"</v>
      </c>
      <c r="B104" s="21" t="str">
        <f t="shared" ref="B104:B105" si="22">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137</v>
      </c>
      <c r="E104" t="s">
        <v>413</v>
      </c>
      <c r="I104" s="13" t="s">
        <v>415</v>
      </c>
    </row>
    <row r="105" spans="1:10" ht="15" customHeight="1" x14ac:dyDescent="0.25">
      <c r="A105" s="15" t="str">
        <f t="shared" si="21"/>
        <v>#define LABEL_REDIRECTION_CHAR '&gt;'</v>
      </c>
      <c r="B105" s="21" t="str">
        <f t="shared" si="22"/>
        <v/>
      </c>
      <c r="C105" s="1" t="s">
        <v>137</v>
      </c>
      <c r="E105" t="s">
        <v>414</v>
      </c>
      <c r="I105" s="26" t="s">
        <v>416</v>
      </c>
    </row>
    <row r="106" spans="1:10" ht="15" customHeight="1" x14ac:dyDescent="0.25">
      <c r="A106" s="15" t="str">
        <f t="shared" ref="A106" si="23">IF(C106="","",IF(C106="C",CHAR(10) &amp; "// " &amp; E106,IF(C106="I","#define " &amp; E106 &amp; " " &amp; I106,IF(C106="P","#define " &amp; E106 &amp; " """ &amp; F106 &amp; """" &amp; CHAR(10) &amp; "#define DEFAULT_" &amp; E106 &amp; " " &amp; I106,IF(C106="S","","ERROR")))))</f>
        <v>#define LABEL_INDENTATION_STRING "&gt;"</v>
      </c>
      <c r="B106" s="21" t="str">
        <f t="shared" ref="B106" si="24">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137</v>
      </c>
      <c r="E106" t="s">
        <v>430</v>
      </c>
      <c r="I106" s="26" t="s">
        <v>415</v>
      </c>
    </row>
    <row r="107" spans="1:10" ht="15" customHeight="1" x14ac:dyDescent="0.25">
      <c r="A107" s="15" t="str">
        <f t="shared" ref="A107" si="25">IF(C107="","",IF(C107="C",CHAR(10) &amp; "// " &amp; E107,IF(C107="I","#define " &amp; E107 &amp; " " &amp; I107,IF(C107="P","#define " &amp; E107 &amp; " """ &amp; F107 &amp; """" &amp; CHAR(10) &amp; "#define DEFAULT_" &amp; E107 &amp; " " &amp; I107,IF(C107="S","","ERROR")))))</f>
        <v>#define LABEL_MESSAGE_STRING ": "</v>
      </c>
      <c r="B107" s="21" t="str">
        <f t="shared" ref="B107" si="26">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137</v>
      </c>
      <c r="E107" t="s">
        <v>431</v>
      </c>
      <c r="I107" s="26" t="s">
        <v>432</v>
      </c>
    </row>
    <row r="108" spans="1:10" s="20" customFormat="1" ht="15" customHeight="1" x14ac:dyDescent="0.25">
      <c r="A108" s="17" t="str">
        <f t="shared" ref="A108" si="27">IF(C108="","",IF(C108="C",CHAR(10) &amp; "// " &amp; E108,IF(C108="I","#define " &amp; E108 &amp; " " &amp; I108,IF(C108="P","#define " &amp; E108 &amp; " """ &amp; F108 &amp; """" &amp; CHAR(10) &amp; "#define DEFAULT_" &amp; E108 &amp; " " &amp; I108,IF(C108="S","","ERROR")))))</f>
        <v xml:space="preserve">
// Variable management calls</v>
      </c>
      <c r="B108" s="17" t="str">
        <f t="shared" si="20"/>
        <v xml:space="preserve">  // Variable management calls</v>
      </c>
      <c r="C108" s="18" t="s">
        <v>149</v>
      </c>
      <c r="D108" s="18"/>
      <c r="E108" s="20" t="s">
        <v>362</v>
      </c>
      <c r="F108" s="19"/>
      <c r="G108" s="19"/>
      <c r="H108" s="19"/>
      <c r="I108" s="19"/>
      <c r="J108" s="18" t="str">
        <f t="shared" ref="J108:J110" si="28">IF(OR(C108="P",C108="S"),IF(L108="",1,IF(L108=1,N108,IF(L108=2,N108&amp;" * "&amp;Q108,"ERROR"))),"")</f>
        <v/>
      </c>
    </row>
    <row r="109" spans="1:10" ht="15" customHeight="1" x14ac:dyDescent="0.25">
      <c r="A109" s="15" t="str">
        <f t="shared" si="19"/>
        <v>#define LABEL_VARIABLE_MANAGEMENT "varman"</v>
      </c>
      <c r="B109" s="21" t="str">
        <f t="shared" si="20"/>
        <v/>
      </c>
      <c r="C109" s="1" t="s">
        <v>137</v>
      </c>
      <c r="E109" t="s">
        <v>361</v>
      </c>
      <c r="I109" s="13" t="s">
        <v>365</v>
      </c>
      <c r="J109" s="1" t="str">
        <f t="shared" si="28"/>
        <v/>
      </c>
    </row>
    <row r="110" spans="1:10" ht="15" customHeight="1" x14ac:dyDescent="0.25">
      <c r="A110" s="15" t="str">
        <f t="shared" si="19"/>
        <v>#define VARMAN_SET "set"</v>
      </c>
      <c r="B110" s="21" t="str">
        <f t="shared" si="20"/>
        <v/>
      </c>
      <c r="C110" s="1" t="s">
        <v>137</v>
      </c>
      <c r="E110" t="s">
        <v>363</v>
      </c>
      <c r="I110" s="13" t="s">
        <v>364</v>
      </c>
      <c r="J110" s="1" t="str">
        <f t="shared" si="28"/>
        <v/>
      </c>
    </row>
    <row r="111" spans="1:10" ht="15" customHeight="1" x14ac:dyDescent="0.25">
      <c r="A111" s="15" t="str">
        <f t="shared" ref="A111" si="29">IF(C111="","",IF(C111="C",CHAR(10) &amp; "// " &amp; E111,IF(C111="I","#define " &amp; E111 &amp; " " &amp; I111,IF(C111="P","#define " &amp; E111 &amp; " """ &amp; F111 &amp; """" &amp; CHAR(10) &amp; "#define DEFAULT_" &amp; E111 &amp; " " &amp; I111,IF(C111="S","","ERROR")))))</f>
        <v>#define VARMAN_PRINT "print"</v>
      </c>
      <c r="B111" s="21" t="str">
        <f t="shared" si="20"/>
        <v/>
      </c>
      <c r="C111" s="1" t="s">
        <v>137</v>
      </c>
      <c r="E111" t="s">
        <v>375</v>
      </c>
      <c r="I111" s="13" t="s">
        <v>377</v>
      </c>
    </row>
    <row r="112" spans="1:10" s="20" customFormat="1" ht="15" customHeight="1" x14ac:dyDescent="0.25">
      <c r="A112" s="17" t="str">
        <f t="shared" si="19"/>
        <v xml:space="preserve">
// Run Simulation Calls</v>
      </c>
      <c r="B112" s="17" t="str">
        <f t="shared" si="20"/>
        <v xml:space="preserve">  // Run Simulation Calls</v>
      </c>
      <c r="C112" s="18" t="s">
        <v>149</v>
      </c>
      <c r="D112" s="18"/>
      <c r="E112" s="20" t="s">
        <v>215</v>
      </c>
      <c r="F112" s="19"/>
      <c r="G112" s="19"/>
      <c r="H112" s="19"/>
      <c r="I112" s="19"/>
      <c r="J112" s="18" t="str">
        <f t="shared" si="18"/>
        <v/>
      </c>
    </row>
    <row r="113" spans="1:10" ht="15" customHeight="1" x14ac:dyDescent="0.25">
      <c r="A113" s="15" t="str">
        <f t="shared" si="19"/>
        <v>#define LABEL_RUN_SIMULATION "runsim"</v>
      </c>
      <c r="B113" s="21" t="str">
        <f t="shared" si="20"/>
        <v/>
      </c>
      <c r="C113" s="1" t="s">
        <v>137</v>
      </c>
      <c r="E113" t="s">
        <v>203</v>
      </c>
      <c r="I113" s="13" t="s">
        <v>208</v>
      </c>
      <c r="J113" s="1" t="str">
        <f t="shared" si="18"/>
        <v/>
      </c>
    </row>
    <row r="114" spans="1:10" ht="15" customHeight="1" x14ac:dyDescent="0.25">
      <c r="A114" s="15" t="str">
        <f t="shared" si="19"/>
        <v>#define RUNSIM_SS_INITIALIZE "ss_initialize"</v>
      </c>
      <c r="B114" s="21" t="str">
        <f t="shared" si="20"/>
        <v/>
      </c>
      <c r="C114" s="1" t="s">
        <v>137</v>
      </c>
      <c r="E114" t="s">
        <v>367</v>
      </c>
      <c r="I114" s="13" t="s">
        <v>261</v>
      </c>
      <c r="J114" s="1" t="str">
        <f t="shared" si="18"/>
        <v/>
      </c>
    </row>
    <row r="115" spans="1:10" ht="15" customHeight="1" x14ac:dyDescent="0.25">
      <c r="A115" s="15" t="str">
        <f t="shared" si="19"/>
        <v>#define RUNSIM_SS_ADD_V1_DIFFUSION "ss_add_V1_diffusion"</v>
      </c>
      <c r="B115" s="21" t="str">
        <f t="shared" si="20"/>
        <v/>
      </c>
      <c r="C115" s="1" t="s">
        <v>137</v>
      </c>
      <c r="E115" t="s">
        <v>368</v>
      </c>
      <c r="I115" s="13" t="s">
        <v>262</v>
      </c>
      <c r="J115" s="1" t="str">
        <f t="shared" si="18"/>
        <v/>
      </c>
    </row>
    <row r="116" spans="1:10" ht="15" customHeight="1" x14ac:dyDescent="0.25">
      <c r="A116" s="15" t="str">
        <f t="shared" si="19"/>
        <v>#define RUNSIM_SS_SIMULATE "ss_simulate"</v>
      </c>
      <c r="B116" s="21" t="str">
        <f t="shared" si="20"/>
        <v/>
      </c>
      <c r="C116" s="1" t="s">
        <v>137</v>
      </c>
      <c r="E116" t="s">
        <v>369</v>
      </c>
      <c r="I116" s="13" t="s">
        <v>263</v>
      </c>
      <c r="J116" s="1" t="str">
        <f t="shared" si="18"/>
        <v/>
      </c>
    </row>
    <row r="117" spans="1:10" s="20" customFormat="1" ht="15" customHeight="1" x14ac:dyDescent="0.25">
      <c r="A117" s="17" t="str">
        <f t="shared" si="19"/>
        <v xml:space="preserve">
// Reporting Calls</v>
      </c>
      <c r="B117" s="17" t="str">
        <f t="shared" si="20"/>
        <v xml:space="preserve">  // Reporting Calls</v>
      </c>
      <c r="C117" s="18" t="s">
        <v>149</v>
      </c>
      <c r="D117" s="18"/>
      <c r="E117" s="20" t="s">
        <v>216</v>
      </c>
      <c r="F117" s="19"/>
      <c r="G117" s="19"/>
      <c r="H117" s="19"/>
      <c r="I117" s="19"/>
      <c r="J117" s="18" t="str">
        <f t="shared" si="18"/>
        <v/>
      </c>
    </row>
    <row r="118" spans="1:10" ht="15" customHeight="1" x14ac:dyDescent="0.25">
      <c r="A118" s="15" t="str">
        <f t="shared" si="19"/>
        <v>#define LABEL_REPORTING "report"</v>
      </c>
      <c r="B118" s="21" t="str">
        <f t="shared" si="20"/>
        <v/>
      </c>
      <c r="C118" s="1" t="s">
        <v>137</v>
      </c>
      <c r="E118" t="s">
        <v>204</v>
      </c>
      <c r="I118" s="13" t="s">
        <v>209</v>
      </c>
      <c r="J118" s="1" t="str">
        <f t="shared" si="18"/>
        <v/>
      </c>
    </row>
    <row r="119" spans="1:10" ht="15" customHeight="1" x14ac:dyDescent="0.25">
      <c r="A119" s="15" t="str">
        <f t="shared" si="19"/>
        <v>#define REPORT_SS_PRINT_V1_ACTIVATION "ss_print_V1_activation"</v>
      </c>
      <c r="B119" s="21" t="str">
        <f t="shared" si="20"/>
        <v/>
      </c>
      <c r="C119" s="1" t="s">
        <v>137</v>
      </c>
      <c r="E119" t="s">
        <v>370</v>
      </c>
      <c r="I119" s="13" t="s">
        <v>266</v>
      </c>
      <c r="J119" s="1" t="str">
        <f t="shared" si="18"/>
        <v/>
      </c>
    </row>
    <row r="120" spans="1:10" ht="15" customHeight="1" x14ac:dyDescent="0.25">
      <c r="A120" s="15" t="str">
        <f t="shared" si="19"/>
        <v>#define REPORT_SS_PRINT_V1_ACTIVATION_HORIZONTAL "ss_print_V1_activation_horizontal"</v>
      </c>
      <c r="B120" s="21" t="str">
        <f t="shared" si="20"/>
        <v/>
      </c>
      <c r="C120" s="1" t="s">
        <v>137</v>
      </c>
      <c r="E120" t="s">
        <v>371</v>
      </c>
      <c r="I120" s="13" t="s">
        <v>267</v>
      </c>
      <c r="J120" s="1" t="str">
        <f t="shared" si="18"/>
        <v/>
      </c>
    </row>
    <row r="121" spans="1:10" ht="15" customHeight="1" x14ac:dyDescent="0.25">
      <c r="A121" s="15" t="str">
        <f t="shared" si="19"/>
        <v>#define REPORT_SS_PRINT_V1_EXTERNAL_EXCITATION "ss_print_V1_external_excitation"</v>
      </c>
      <c r="B121" s="21" t="str">
        <f t="shared" si="20"/>
        <v/>
      </c>
      <c r="C121" s="1" t="s">
        <v>137</v>
      </c>
      <c r="E121" t="s">
        <v>372</v>
      </c>
      <c r="I121" s="13" t="s">
        <v>268</v>
      </c>
      <c r="J121" s="1" t="str">
        <f t="shared" ref="J121:J132" si="30">IF(OR(C121="P",C121="S"),IF(L121="",1,IF(L121=1,N121,IF(L121=2,N121&amp;" * "&amp;Q121,"ERROR"))),"")</f>
        <v/>
      </c>
    </row>
    <row r="122" spans="1:10" ht="15" customHeight="1" x14ac:dyDescent="0.25">
      <c r="A122" s="15" t="str">
        <f t="shared" si="19"/>
        <v>#define REPORT_SS_PRINT_MT_ACTIVATION "ss_print_MT_activation"</v>
      </c>
      <c r="B122" s="21" t="str">
        <f t="shared" si="20"/>
        <v/>
      </c>
      <c r="C122" s="1" t="s">
        <v>137</v>
      </c>
      <c r="E122" t="s">
        <v>373</v>
      </c>
      <c r="I122" s="13" t="s">
        <v>269</v>
      </c>
      <c r="J122" s="1" t="str">
        <f t="shared" si="30"/>
        <v/>
      </c>
    </row>
    <row r="123" spans="1:10" ht="15" customHeight="1" x14ac:dyDescent="0.25">
      <c r="A123" s="15" t="str">
        <f t="shared" si="19"/>
        <v>#define REPORT_SS_PRINT_MT_ACTIVATION_HORIZONTAL "ss_print_MT_activation_horizontal"</v>
      </c>
      <c r="B123" s="21" t="str">
        <f t="shared" si="20"/>
        <v/>
      </c>
      <c r="C123" s="1" t="s">
        <v>137</v>
      </c>
      <c r="E123" t="s">
        <v>374</v>
      </c>
      <c r="I123" s="13" t="s">
        <v>270</v>
      </c>
      <c r="J123" s="1" t="str">
        <f t="shared" si="30"/>
        <v/>
      </c>
    </row>
    <row r="124" spans="1:10" s="20" customFormat="1" ht="15" customHeight="1" x14ac:dyDescent="0.25">
      <c r="A124" s="17" t="str">
        <f t="shared" si="19"/>
        <v xml:space="preserve">
// IO Interaction Calls</v>
      </c>
      <c r="B124" s="17" t="str">
        <f t="shared" si="20"/>
        <v xml:space="preserve">  // IO Interaction Calls</v>
      </c>
      <c r="C124" s="18" t="s">
        <v>149</v>
      </c>
      <c r="D124" s="18"/>
      <c r="E124" s="20" t="s">
        <v>219</v>
      </c>
      <c r="F124" s="19"/>
      <c r="G124" s="19"/>
      <c r="H124" s="19"/>
      <c r="I124" s="19"/>
      <c r="J124" s="18" t="str">
        <f t="shared" si="30"/>
        <v/>
      </c>
    </row>
    <row r="125" spans="1:10" ht="15" customHeight="1" x14ac:dyDescent="0.25">
      <c r="A125" s="15" t="str">
        <f t="shared" si="19"/>
        <v>#define LABEL_IO_INTERACTIONS "rescue"</v>
      </c>
      <c r="B125" s="21" t="str">
        <f t="shared" si="20"/>
        <v/>
      </c>
      <c r="C125" s="1" t="s">
        <v>137</v>
      </c>
      <c r="E125" t="s">
        <v>205</v>
      </c>
      <c r="I125" s="13" t="s">
        <v>210</v>
      </c>
      <c r="J125" s="1" t="str">
        <f t="shared" si="30"/>
        <v/>
      </c>
    </row>
    <row r="126" spans="1:10" ht="15" customHeight="1" x14ac:dyDescent="0.25">
      <c r="A126" s="15" t="str">
        <f t="shared" si="19"/>
        <v>#define RESCUE_NPROC "nproc"</v>
      </c>
      <c r="B126" s="21" t="str">
        <f t="shared" si="20"/>
        <v/>
      </c>
      <c r="C126" s="1" t="s">
        <v>137</v>
      </c>
      <c r="E126" t="s">
        <v>378</v>
      </c>
      <c r="I126" s="13" t="s">
        <v>271</v>
      </c>
      <c r="J126" s="1" t="str">
        <f t="shared" si="30"/>
        <v/>
      </c>
    </row>
    <row r="127" spans="1:10" ht="15" customHeight="1" x14ac:dyDescent="0.25">
      <c r="A127" s="15" t="str">
        <f t="shared" ref="A127" si="31">IF(C127="","",IF(C127="C",CHAR(10) &amp; "// " &amp; E127,IF(C127="I","#define " &amp; E127 &amp; " " &amp; I127,IF(C127="P","#define " &amp; E127 &amp; " """ &amp; F127 &amp; """" &amp; CHAR(10) &amp; "#define DEFAULT_" &amp; E127 &amp; " " &amp; I127,IF(C127="S","","ERROR")))))</f>
        <v>#define RESCUE_RETURN "return"</v>
      </c>
      <c r="B127" s="21" t="str">
        <f t="shared" ref="B127" si="32">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137</v>
      </c>
      <c r="E127" t="s">
        <v>427</v>
      </c>
      <c r="I127" s="13" t="s">
        <v>429</v>
      </c>
    </row>
    <row r="128" spans="1:10" s="38" customFormat="1" ht="15" customHeight="1" x14ac:dyDescent="0.25">
      <c r="A128" s="36"/>
      <c r="B128" s="30" t="str">
        <f t="shared" si="20"/>
        <v/>
      </c>
      <c r="C128" s="37"/>
      <c r="D128" s="37"/>
      <c r="E128" s="38" t="s">
        <v>259</v>
      </c>
      <c r="F128" s="39"/>
      <c r="G128" s="39"/>
      <c r="H128" s="39"/>
      <c r="I128" s="39"/>
      <c r="J128" s="37" t="str">
        <f t="shared" si="30"/>
        <v/>
      </c>
    </row>
    <row r="129" spans="1:11" ht="15" customHeight="1" x14ac:dyDescent="0.25">
      <c r="A129" s="15" t="str">
        <f>IF(C129="","",IF(C129="C",CHAR(10) &amp; "// " &amp; E129,IF(C129="I","#define " &amp; E129 &amp; " " &amp; I129,IF(C129="P","#define " &amp; E129 &amp; " """ &amp; F129 &amp; """" &amp; CHAR(10) &amp; "#define DEFAULT_" &amp; E129 &amp; " " &amp; I129,IF(C129="S","","ERROR")))))</f>
        <v>#define NPROC_SILENT "Nproc_Silent"</v>
      </c>
      <c r="B129" s="21" t="str">
        <f t="shared" si="20"/>
        <v/>
      </c>
      <c r="C129" s="1" t="s">
        <v>137</v>
      </c>
      <c r="E129" t="s">
        <v>220</v>
      </c>
      <c r="I129" s="13" t="s">
        <v>221</v>
      </c>
      <c r="J129" s="1" t="str">
        <f t="shared" si="30"/>
        <v/>
      </c>
    </row>
    <row r="130" spans="1:11" s="24" customFormat="1" ht="15" customHeight="1" x14ac:dyDescent="0.25">
      <c r="A130" s="21" t="str">
        <f>IF(C130="","",IF(C130="C",CHAR(10) &amp; "// " &amp; E130,IF(C130="I","#define " &amp; E130 &amp; " " &amp; I130,IF(C130="P","#define " &amp; E130 &amp; " """ &amp; F130 &amp; """" &amp; CHAR(10) &amp; "#define DEFAULT_" &amp; E130 &amp; " " &amp; I130,IF(C130="S","","ERROR")))))</f>
        <v>#define HASH_SIZE 2097152</v>
      </c>
      <c r="B130" s="21" t="str">
        <f t="shared" si="20"/>
        <v/>
      </c>
      <c r="C130" s="16" t="s">
        <v>137</v>
      </c>
      <c r="D130" s="16"/>
      <c r="E130" s="24" t="s">
        <v>153</v>
      </c>
      <c r="F130" s="23"/>
      <c r="G130" s="23"/>
      <c r="H130" s="23"/>
      <c r="I130" s="23">
        <v>2097152</v>
      </c>
      <c r="J130" s="16" t="str">
        <f t="shared" si="30"/>
        <v/>
      </c>
      <c r="K130" s="24" t="s">
        <v>247</v>
      </c>
    </row>
    <row r="131" spans="1:11" ht="15" customHeight="1" x14ac:dyDescent="0.25">
      <c r="A131" s="15" t="str">
        <f t="shared" ref="A131:A132" si="33">IF(C131="","",IF(C131="C",CHAR(10) &amp; "// " &amp; E131,IF(C131="I","#define " &amp; E131 &amp; " " &amp; I131,IF(C131="P","#define " &amp; E131 &amp; " """ &amp; F131 &amp; """" &amp; CHAR(10) &amp; "#define DEFAULT_" &amp; E131 &amp; " " &amp; I131,IF(C131="S","","ERROR")))))</f>
        <v>#define LABEL_ENVIRONMENT_SETTINGS "setenv"</v>
      </c>
      <c r="B131" s="21" t="str">
        <f t="shared" si="20"/>
        <v/>
      </c>
      <c r="C131" s="1" t="s">
        <v>137</v>
      </c>
      <c r="E131" t="s">
        <v>201</v>
      </c>
      <c r="I131" s="13" t="s">
        <v>206</v>
      </c>
      <c r="J131" s="1" t="str">
        <f t="shared" si="30"/>
        <v/>
      </c>
    </row>
    <row r="132" spans="1:11" ht="15" customHeight="1" x14ac:dyDescent="0.25">
      <c r="A132" s="15" t="str">
        <f t="shared" si="33"/>
        <v>#define LABEL_SIMULATOR_SETTINGS "setsim"</v>
      </c>
      <c r="B132" s="21" t="str">
        <f t="shared" si="20"/>
        <v/>
      </c>
      <c r="C132" s="1" t="s">
        <v>137</v>
      </c>
      <c r="E132" t="s">
        <v>202</v>
      </c>
      <c r="I132" s="13" t="s">
        <v>207</v>
      </c>
      <c r="J132" s="1" t="str">
        <f t="shared" si="30"/>
        <v/>
      </c>
    </row>
    <row r="133" spans="1:11" ht="15" customHeight="1" x14ac:dyDescent="0.25">
      <c r="A133" s="15" t="str">
        <f>IF(C133="","",IF(C133="C",CHAR(10) &amp; "// " &amp; E133,IF(C133="I","#define " &amp; E133 &amp; " " &amp; I133,IF(C133="P","#define " &amp; E133 &amp; " """ &amp; F133 &amp; """" &amp; CHAR(10) &amp; "#define DEFAULT_" &amp; E133 &amp; " " &amp; I133,IF(C133="S","","ERROR")))))</f>
        <v>#define PRINT_ENV "print_env"</v>
      </c>
      <c r="B133" s="21" t="str">
        <f t="shared" si="20"/>
        <v/>
      </c>
      <c r="C133" s="1" t="s">
        <v>137</v>
      </c>
      <c r="E133" t="s">
        <v>217</v>
      </c>
      <c r="I133" s="13" t="s">
        <v>264</v>
      </c>
      <c r="J133" s="1" t="str">
        <f>IF(OR(C133="P",C133="S"),IF(L133="",1,IF(L133=1,N133,IF(L133=2,N133&amp;" * "&amp;Q133,"ERROR"))),"")</f>
        <v/>
      </c>
    </row>
    <row r="134" spans="1:11" ht="15" customHeight="1" x14ac:dyDescent="0.25">
      <c r="A134" s="15" t="str">
        <f>IF(C134="","",IF(C134="C",CHAR(10) &amp; "// " &amp; E134,IF(C134="I","#define " &amp; E134 &amp; " " &amp; I134,IF(C134="P","#define " &amp; E134 &amp; " """ &amp; F134 &amp; """" &amp; CHAR(10) &amp; "#define DEFAULT_" &amp; E134 &amp; " " &amp; I134,IF(C134="S","","ERROR")))))</f>
        <v>#define PRINT_SIM "print_sim"</v>
      </c>
      <c r="B134" s="21" t="str">
        <f t="shared" si="20"/>
        <v/>
      </c>
      <c r="C134" s="1" t="s">
        <v>137</v>
      </c>
      <c r="E134" t="s">
        <v>218</v>
      </c>
      <c r="I134" s="13" t="s">
        <v>265</v>
      </c>
      <c r="J134" s="1" t="str">
        <f>IF(OR(C134="P",C134="S"),IF(L134="",1,IF(L134=1,N134,IF(L134=2,N134&amp;" * "&amp;Q134,"ERROR"))),"")</f>
        <v/>
      </c>
    </row>
    <row r="135" spans="1:11" ht="15" customHeight="1" x14ac:dyDescent="0.25">
      <c r="A135" s="15" t="str">
        <f>IF(C135="","",IF(C135="C",CHAR(10) &amp; "// " &amp; E135,IF(C135="I","#define " &amp; E135 &amp; " " &amp; I135,IF(C135="P","#define " &amp; E135 &amp; " """ &amp; F135 &amp; """" &amp; CHAR(10) &amp; "#define DEFAULT_" &amp; E135 &amp; " " &amp; I135,IF(C135="S","","ERROR")))))</f>
        <v>#define NEURONS_NAME_SIZE 6</v>
      </c>
      <c r="B135" s="21"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137</v>
      </c>
      <c r="E135" s="25" t="s">
        <v>240</v>
      </c>
      <c r="I135" s="13">
        <v>6</v>
      </c>
      <c r="J135" s="1" t="str">
        <f>IF(OR(C135="P",C135="S"),IF(L135="",1,IF(L135=1,N135,IF(L135=2,N135&amp;" * "&amp;Q135,"ERROR"))),"")</f>
        <v/>
      </c>
      <c r="K135" t="s">
        <v>169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Lothar</cp:lastModifiedBy>
  <dcterms:created xsi:type="dcterms:W3CDTF">2015-02-14T01:58:55Z</dcterms:created>
  <dcterms:modified xsi:type="dcterms:W3CDTF">2015-05-06T19:35:14Z</dcterms:modified>
</cp:coreProperties>
</file>