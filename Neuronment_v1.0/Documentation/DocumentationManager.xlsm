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3135" windowWidth="22995" windowHeight="9525"/>
  </bookViews>
  <sheets>
    <sheet name="LogManager.Initialize" sheetId="1" r:id="rId1"/>
    <sheet name="InterpreterManager.Initialize" sheetId="2" r:id="rId2"/>
    <sheet name="define.Initialize" sheetId="3" r:id="rId3"/>
  </sheets>
  <calcPr calcId="145621"/>
</workbook>
</file>

<file path=xl/calcChain.xml><?xml version="1.0" encoding="utf-8"?>
<calcChain xmlns="http://schemas.openxmlformats.org/spreadsheetml/2006/main">
  <c r="B30" i="3" l="1"/>
  <c r="A30" i="3"/>
  <c r="B29" i="3"/>
  <c r="A29" i="3"/>
  <c r="B28" i="3"/>
  <c r="A28" i="3"/>
  <c r="B86" i="3" l="1"/>
  <c r="A86" i="3"/>
  <c r="B85" i="3"/>
  <c r="A85" i="3"/>
  <c r="B53" i="3"/>
  <c r="A53" i="3"/>
  <c r="B21" i="3"/>
  <c r="A21" i="3"/>
  <c r="B82" i="3"/>
  <c r="A82" i="3"/>
  <c r="B66" i="3"/>
  <c r="A66" i="3"/>
  <c r="B76" i="3"/>
  <c r="A76" i="3"/>
  <c r="B74" i="3"/>
  <c r="A74" i="3"/>
  <c r="B72" i="3"/>
  <c r="A72" i="3"/>
  <c r="B67" i="3"/>
  <c r="A67" i="3"/>
  <c r="B65" i="3"/>
  <c r="A65" i="3"/>
  <c r="B64" i="3"/>
  <c r="A64" i="3"/>
  <c r="A62" i="3"/>
  <c r="A63" i="3"/>
  <c r="A68" i="3"/>
  <c r="A69" i="3"/>
  <c r="B63" i="3"/>
  <c r="B62" i="3"/>
  <c r="B61" i="3"/>
  <c r="A61" i="3"/>
  <c r="B60" i="3"/>
  <c r="A60" i="3"/>
  <c r="B59" i="3"/>
  <c r="A59" i="3"/>
  <c r="B31" i="3"/>
  <c r="A31" i="3"/>
  <c r="B58" i="3"/>
  <c r="A58" i="3"/>
  <c r="B48" i="3"/>
  <c r="A48" i="3"/>
  <c r="B16" i="3"/>
  <c r="A16" i="3"/>
  <c r="B39" i="3"/>
  <c r="A39" i="3"/>
  <c r="B38" i="3"/>
  <c r="A38" i="3"/>
  <c r="B33" i="3"/>
  <c r="A33" i="3"/>
  <c r="B32" i="3"/>
  <c r="A32" i="3"/>
  <c r="B27" i="3"/>
  <c r="A27" i="3"/>
  <c r="B26" i="3"/>
  <c r="A26" i="3"/>
  <c r="B25" i="3"/>
  <c r="A25" i="3"/>
  <c r="A47" i="1" l="1"/>
  <c r="B47" i="1"/>
  <c r="A9" i="1" l="1"/>
  <c r="B9" i="1"/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2" i="2"/>
  <c r="A3" i="2"/>
  <c r="A13" i="3"/>
  <c r="B13" i="3"/>
  <c r="A43" i="1"/>
  <c r="B43" i="1"/>
  <c r="B112" i="3" l="1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4" i="3"/>
  <c r="B83" i="3"/>
  <c r="B81" i="3"/>
  <c r="B80" i="3"/>
  <c r="B79" i="3"/>
  <c r="B78" i="3"/>
  <c r="B75" i="3"/>
  <c r="B77" i="3"/>
  <c r="B73" i="3"/>
  <c r="B71" i="3"/>
  <c r="B70" i="3"/>
  <c r="B69" i="3"/>
  <c r="B68" i="3"/>
  <c r="B57" i="3"/>
  <c r="B56" i="3"/>
  <c r="B55" i="3"/>
  <c r="B54" i="3"/>
  <c r="B52" i="3"/>
  <c r="B51" i="3"/>
  <c r="B50" i="3"/>
  <c r="B49" i="3"/>
  <c r="B47" i="3"/>
  <c r="B46" i="3"/>
  <c r="B45" i="3"/>
  <c r="B44" i="3"/>
  <c r="B43" i="3"/>
  <c r="B42" i="3"/>
  <c r="B41" i="3"/>
  <c r="B40" i="3"/>
  <c r="B37" i="3"/>
  <c r="B36" i="3"/>
  <c r="B35" i="3"/>
  <c r="B34" i="3"/>
  <c r="B24" i="3"/>
  <c r="B23" i="3"/>
  <c r="B22" i="3"/>
  <c r="B14" i="3"/>
  <c r="B20" i="3"/>
  <c r="B19" i="3"/>
  <c r="B18" i="3"/>
  <c r="B17" i="3"/>
  <c r="B12" i="3"/>
  <c r="B11" i="3"/>
  <c r="B10" i="3"/>
  <c r="B9" i="3"/>
  <c r="B8" i="3"/>
  <c r="B7" i="3"/>
  <c r="B6" i="3"/>
  <c r="B5" i="3"/>
  <c r="B4" i="3"/>
  <c r="B3" i="3"/>
  <c r="B2" i="3"/>
  <c r="A50" i="3"/>
  <c r="A18" i="3"/>
  <c r="A52" i="3"/>
  <c r="A20" i="3"/>
  <c r="A112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4" i="3"/>
  <c r="A83" i="3"/>
  <c r="A81" i="3"/>
  <c r="A80" i="3"/>
  <c r="A79" i="3"/>
  <c r="A78" i="3"/>
  <c r="A75" i="3"/>
  <c r="A77" i="3"/>
  <c r="A73" i="3"/>
  <c r="A71" i="3"/>
  <c r="A70" i="3"/>
  <c r="A57" i="3"/>
  <c r="A56" i="3"/>
  <c r="A55" i="3"/>
  <c r="A54" i="3"/>
  <c r="A51" i="3"/>
  <c r="A49" i="3"/>
  <c r="A47" i="3"/>
  <c r="A46" i="3"/>
  <c r="A45" i="3"/>
  <c r="A44" i="3"/>
  <c r="A43" i="3"/>
  <c r="A42" i="3"/>
  <c r="A41" i="3"/>
  <c r="A40" i="3"/>
  <c r="A37" i="3"/>
  <c r="A36" i="3"/>
  <c r="A35" i="3"/>
  <c r="A34" i="3"/>
  <c r="A24" i="3"/>
  <c r="A23" i="3"/>
  <c r="A22" i="3"/>
  <c r="A14" i="3"/>
  <c r="A19" i="3"/>
  <c r="A17" i="3"/>
  <c r="A12" i="3"/>
  <c r="A11" i="3"/>
  <c r="A10" i="3"/>
  <c r="A9" i="3"/>
  <c r="A8" i="3"/>
  <c r="A7" i="3"/>
  <c r="A6" i="3"/>
  <c r="A5" i="3"/>
  <c r="A4" i="3"/>
  <c r="A3" i="3"/>
  <c r="A2" i="3"/>
  <c r="A2" i="1" l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6" i="1"/>
  <c r="A45" i="1"/>
  <c r="A44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8" i="1"/>
  <c r="A7" i="1"/>
  <c r="A6" i="1"/>
  <c r="A5" i="1"/>
  <c r="A4" i="1"/>
  <c r="A3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6" i="1"/>
  <c r="B45" i="1"/>
  <c r="B44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<sst xmlns="http://schemas.openxmlformats.org/spreadsheetml/2006/main" count="879" uniqueCount="379">
  <si>
    <t>#</t>
  </si>
  <si>
    <t>IN-001</t>
  </si>
  <si>
    <t>T</t>
  </si>
  <si>
    <t>F</t>
  </si>
  <si>
    <t>NProc directive not recognized</t>
  </si>
  <si>
    <t>IN-002</t>
  </si>
  <si>
    <t>Trying to report an undeclared variable</t>
  </si>
  <si>
    <t>IN-003</t>
  </si>
  <si>
    <t>Redefining a previously stored setting</t>
  </si>
  <si>
    <t>IN-004</t>
  </si>
  <si>
    <t>IN-005</t>
  </si>
  <si>
    <t>Nproc unidentified setting, ignoring line</t>
  </si>
  <si>
    <t>IN-007</t>
  </si>
  <si>
    <t>A boolean argument has not been properly written. Will be interpreted as false</t>
  </si>
  <si>
    <t>IN-010</t>
  </si>
  <si>
    <t>NProc incorrect amount of arguments for directive, ignoring line</t>
  </si>
  <si>
    <t>Command Line Issues</t>
  </si>
  <si>
    <t>UI-001</t>
  </si>
  <si>
    <t>Duplicated or contradictory flags on command call</t>
  </si>
  <si>
    <t>UI-002</t>
  </si>
  <si>
    <t>Flag expected</t>
  </si>
  <si>
    <t>UI-003</t>
  </si>
  <si>
    <t>Flag not recognized, flag omitted</t>
  </si>
  <si>
    <t>UI-004</t>
  </si>
  <si>
    <t>Label without content</t>
  </si>
  <si>
    <t>UI-006</t>
  </si>
  <si>
    <t>Empty NProc name</t>
  </si>
  <si>
    <t>File IO Issues</t>
  </si>
  <si>
    <t>ER-001</t>
  </si>
  <si>
    <t>ER-002</t>
  </si>
  <si>
    <t>ER-003</t>
  </si>
  <si>
    <t>File couldn't be opened</t>
  </si>
  <si>
    <t>ER-004</t>
  </si>
  <si>
    <t>ER-005</t>
  </si>
  <si>
    <t>Trying to get a new line from a non ready file</t>
  </si>
  <si>
    <t>ER-006</t>
  </si>
  <si>
    <t>Trying to get a new line from a file already at the end</t>
  </si>
  <si>
    <t>ER-007</t>
  </si>
  <si>
    <t>Fail on getting a new line from nproc file</t>
  </si>
  <si>
    <t>ER-008</t>
  </si>
  <si>
    <t>ER-009</t>
  </si>
  <si>
    <t>Trying to close an unopened file</t>
  </si>
  <si>
    <t>ER-010</t>
  </si>
  <si>
    <t>Implementation Issues</t>
  </si>
  <si>
    <t>DV-001</t>
  </si>
  <si>
    <t>Missing implementation</t>
  </si>
  <si>
    <t>DV-002</t>
  </si>
  <si>
    <t>Trying to declare a previously declared setting</t>
  </si>
  <si>
    <t>DV-003</t>
  </si>
  <si>
    <t>Trying to load a setting of an unsupported type</t>
  </si>
  <si>
    <t>DV-005</t>
  </si>
  <si>
    <t>DV-006</t>
  </si>
  <si>
    <t>Trying to read an incorrect data type for the setting</t>
  </si>
  <si>
    <t>DV-007</t>
  </si>
  <si>
    <t>The setting count is different than the declared setting count on the HashEntry</t>
  </si>
  <si>
    <t>DV-012</t>
  </si>
  <si>
    <t>Trying a quick access of incorrect type</t>
  </si>
  <si>
    <t>DV-013</t>
  </si>
  <si>
    <t>Hash Table Full</t>
  </si>
  <si>
    <t>DV-015</t>
  </si>
  <si>
    <t>Setting declared but hasn't been initialized</t>
  </si>
  <si>
    <t>DV-017</t>
  </si>
  <si>
    <t>Discrepancy on neuron type on assignment</t>
  </si>
  <si>
    <t>DV-018</t>
  </si>
  <si>
    <t>Trying to quick retrieve un-existent value</t>
  </si>
  <si>
    <t>Reporting Issues</t>
  </si>
  <si>
    <t>RP-001</t>
  </si>
  <si>
    <t>Trying to open an already opened stream</t>
  </si>
  <si>
    <t>RP-002</t>
  </si>
  <si>
    <t>Trying to close a non opened stream</t>
  </si>
  <si>
    <t>Simulator Interface Issues</t>
  </si>
  <si>
    <t>SD-001</t>
  </si>
  <si>
    <t>Simple Simulator Not Initialized</t>
  </si>
  <si>
    <t>SD-002</t>
  </si>
  <si>
    <t>V1V1_weight_adaptation not recognized</t>
  </si>
  <si>
    <t>SD-003</t>
  </si>
  <si>
    <t>MT_act_method not recognized</t>
  </si>
  <si>
    <t>SD-004</t>
  </si>
  <si>
    <t>V1_D001_excitatory_factor is required for calculation</t>
  </si>
  <si>
    <t>SD-005</t>
  </si>
  <si>
    <t>V1_D001_conductance_leak is required for calculation</t>
  </si>
  <si>
    <t>SD-006</t>
  </si>
  <si>
    <t>V1_D001_inhibition_factor is required for calculation</t>
  </si>
  <si>
    <t>SD-007</t>
  </si>
  <si>
    <t>V1MT_connection_method not recognized</t>
  </si>
  <si>
    <t>SD-009</t>
  </si>
  <si>
    <t>V1_dac_method not recognized</t>
  </si>
  <si>
    <t>SD-010</t>
  </si>
  <si>
    <t>V1MT_sigma is required for calculation</t>
  </si>
  <si>
    <t>SD-011</t>
  </si>
  <si>
    <t>V1MT_amplification is required for calculation</t>
  </si>
  <si>
    <t>SD-012</t>
  </si>
  <si>
    <t>V1MT_modulation is required for calculation</t>
  </si>
  <si>
    <t>SD-013</t>
  </si>
  <si>
    <t>V1MT_aperture is required for calculation</t>
  </si>
  <si>
    <t>SD-015</t>
  </si>
  <si>
    <t>No V1_Neuron created</t>
  </si>
  <si>
    <t>SD-016</t>
  </si>
  <si>
    <t>No MT_Neuron created</t>
  </si>
  <si>
    <t>SD-017</t>
  </si>
  <si>
    <t>SD-018</t>
  </si>
  <si>
    <t>MT_dac_method not recognized</t>
  </si>
  <si>
    <t>SD-019</t>
  </si>
  <si>
    <t>V1V1_base_weight_source not recognized</t>
  </si>
  <si>
    <t>SD-020</t>
  </si>
  <si>
    <t>V1V1_default_weight is required for calculation</t>
  </si>
  <si>
    <t>SD-021</t>
  </si>
  <si>
    <t>Invalid timing for eternal excitation</t>
  </si>
  <si>
    <t>SD-023</t>
  </si>
  <si>
    <t>Invalid Parameter</t>
  </si>
  <si>
    <t>SD-025</t>
  </si>
  <si>
    <t>Unordered external excitation phase insertion attempt</t>
  </si>
  <si>
    <t>SD-027</t>
  </si>
  <si>
    <t>First diffusion phase should be always zero</t>
  </si>
  <si>
    <t>SD-028</t>
  </si>
  <si>
    <t>The number of steps for simulate needs to be at least 1</t>
  </si>
  <si>
    <t>SD-030</t>
  </si>
  <si>
    <t>Internal simulation pointer corruption</t>
  </si>
  <si>
    <t>SD-031</t>
  </si>
  <si>
    <t>Trying to compare 2 identical MT cells</t>
  </si>
  <si>
    <t>SD-033</t>
  </si>
  <si>
    <t>Trying to access an invalid activation TimeStep</t>
  </si>
  <si>
    <t>SD-034</t>
  </si>
  <si>
    <t>V1_act_method not recognized</t>
  </si>
  <si>
    <t>SD-035</t>
  </si>
  <si>
    <t>V1_external_excitation_method not recognized</t>
  </si>
  <si>
    <t>Warnings</t>
  </si>
  <si>
    <t>WN-001</t>
  </si>
  <si>
    <t>Undocumented RFSize Calculation</t>
  </si>
  <si>
    <t>WN-002</t>
  </si>
  <si>
    <t>Undocumented Sigma Calculation</t>
  </si>
  <si>
    <t>WN-003</t>
  </si>
  <si>
    <t>Undocumented AdaptedWeithg Calculation</t>
  </si>
  <si>
    <t>WN-004</t>
  </si>
  <si>
    <t>Undocumented AdaptedWeight correction</t>
  </si>
  <si>
    <t>WN-005</t>
  </si>
  <si>
    <t>Undocumented BaseWeight correction</t>
  </si>
  <si>
    <t>Reading Nproc File Issues</t>
  </si>
  <si>
    <t>D</t>
  </si>
  <si>
    <t>I</t>
  </si>
  <si>
    <t>R</t>
  </si>
  <si>
    <t>N</t>
  </si>
  <si>
    <t>Description</t>
  </si>
  <si>
    <t>WN-006</t>
  </si>
  <si>
    <t>SD-036</t>
  </si>
  <si>
    <t>Setting not recognized</t>
  </si>
  <si>
    <t>SD-037</t>
  </si>
  <si>
    <t>Setting required</t>
  </si>
  <si>
    <t>File couldn't be properly closed</t>
  </si>
  <si>
    <t>Required file is empty</t>
  </si>
  <si>
    <t>The directive trying to get interpreted is not on the list of possible directives. Please go to the Reference Manual chapter "Directives" to get a full list of valid directives.</t>
  </si>
  <si>
    <t>Math</t>
  </si>
  <si>
    <t>C</t>
  </si>
  <si>
    <t>PI</t>
  </si>
  <si>
    <t>HashTable</t>
  </si>
  <si>
    <t>HASH_C</t>
  </si>
  <si>
    <t>HASH_SIZE</t>
  </si>
  <si>
    <t>Pi value for internal calculations</t>
  </si>
  <si>
    <t>DEFAULT_MESSAGES</t>
  </si>
  <si>
    <t>DEFAULT_SILENT_OUTPUT</t>
  </si>
  <si>
    <t>true</t>
  </si>
  <si>
    <t>false</t>
  </si>
  <si>
    <t>3.1415926535</t>
  </si>
  <si>
    <t>Environment Variables</t>
  </si>
  <si>
    <t>Default behaviour at printing log messages. True prints, false doesn't print</t>
  </si>
  <si>
    <t>Default bebaviour for silencing the log output. False prints output, true silences it (doens't print)</t>
  </si>
  <si>
    <t>P</t>
  </si>
  <si>
    <t>Data_bool</t>
  </si>
  <si>
    <t>HASH_A</t>
  </si>
  <si>
    <t>HASH_B</t>
  </si>
  <si>
    <t>Click this Cell to Update LogManager.Initialize.cpp &amp; Manual_23A.tex</t>
  </si>
  <si>
    <t>V1 Neuron Parameters</t>
  </si>
  <si>
    <t>MAX_V1_NEURONS</t>
  </si>
  <si>
    <t>Fix amount of digits at V1 neurons numbering</t>
  </si>
  <si>
    <t>V1_ACTIVATION_METHOD</t>
  </si>
  <si>
    <t>V1_act_method</t>
  </si>
  <si>
    <t>Data_string</t>
  </si>
  <si>
    <t>"none"</t>
  </si>
  <si>
    <t>V1_DACTIVATION_METHOD</t>
  </si>
  <si>
    <t>V1_dac_method</t>
  </si>
  <si>
    <t>Variable that contains the method to be used at V1 activation derivate calculation</t>
  </si>
  <si>
    <t>Variable that contains the method to be used at V1 activation calculation</t>
  </si>
  <si>
    <t>V1_D001</t>
  </si>
  <si>
    <t>V1 derivate activation method D001</t>
  </si>
  <si>
    <t>V1_D001_CONDUCTANCE_LEAK</t>
  </si>
  <si>
    <t>V1_D001_conductance_leak</t>
  </si>
  <si>
    <t>Data_double</t>
  </si>
  <si>
    <t>V1_D001_EXCITATORY_FACTOR</t>
  </si>
  <si>
    <t>V1_D001_excitatory_factor</t>
  </si>
  <si>
    <t>V1_D001_INHIBITION_FACTOR</t>
  </si>
  <si>
    <t>V1_D001_inhibition_factor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</si>
  <si>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</si>
  <si>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</si>
  <si>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</si>
  <si>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</si>
  <si>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</si>
  <si>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</si>
  <si>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</si>
  <si>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</si>
  <si>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</si>
  <si>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</si>
  <si>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</si>
  <si>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</si>
  <si>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</si>
  <si>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</si>
  <si>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</t>
  </si>
  <si>
    <t>MT Neuron Parameters</t>
  </si>
  <si>
    <t>MAX_MT_NEURONS</t>
  </si>
  <si>
    <t>MT_ACTIVATION_METHOD</t>
  </si>
  <si>
    <t>MT_act_method</t>
  </si>
  <si>
    <t>MT_DACTIVATION_METHOD</t>
  </si>
  <si>
    <t>MT_dac_method</t>
  </si>
  <si>
    <t>MT_A001</t>
  </si>
  <si>
    <t>Simulator Defines</t>
  </si>
  <si>
    <t>SIMULATOR_TIME_STEP</t>
  </si>
  <si>
    <t>simulator_time_step</t>
  </si>
  <si>
    <t>Interface Defines</t>
  </si>
  <si>
    <t>LABEL_DONE</t>
  </si>
  <si>
    <t>"DONE"</t>
  </si>
  <si>
    <t>"FAIL"</t>
  </si>
  <si>
    <t>LABEL_ENVIRONMENT_SETTINGS</t>
  </si>
  <si>
    <t>LABEL_SIMULATOR_SETTINGS</t>
  </si>
  <si>
    <t>LABEL_RUN_SIMULATION</t>
  </si>
  <si>
    <t>LABEL_REPORTING</t>
  </si>
  <si>
    <t>LABEL_IO_INTERACTIONS</t>
  </si>
  <si>
    <t>"setenv"</t>
  </si>
  <si>
    <t>"setsim"</t>
  </si>
  <si>
    <t>"runsim"</t>
  </si>
  <si>
    <t>"report"</t>
  </si>
  <si>
    <t>"rescue"</t>
  </si>
  <si>
    <t>LABEL_COMMENT_STRING</t>
  </si>
  <si>
    <t>LABEL_COMMENT_CHAR</t>
  </si>
  <si>
    <t>'#'</t>
  </si>
  <si>
    <t>"#"</t>
  </si>
  <si>
    <t>Run Simulation Calls</t>
  </si>
  <si>
    <t>SS_INITIALIZE</t>
  </si>
  <si>
    <t>SS_ADD_V1_DIFFUSION</t>
  </si>
  <si>
    <t>SS_SIMULATE</t>
  </si>
  <si>
    <t>Reporting Calls</t>
  </si>
  <si>
    <t>PRINT_ENV</t>
  </si>
  <si>
    <t>PRINT_SIM</t>
  </si>
  <si>
    <t>SS_PRINT_V1_ACTIVATION</t>
  </si>
  <si>
    <t>SS_PRINT_V1_ACTIVATION_HORIZONTAL</t>
  </si>
  <si>
    <t>SS_PRINT_V1_EXTERNAL_EXCITATION</t>
  </si>
  <si>
    <t>SS_PRINT_MT_ACTIVATION</t>
  </si>
  <si>
    <t>SS_PRINT_MT_ACTIVATION_HORIZONTAL</t>
  </si>
  <si>
    <t>IO Interaction Calls</t>
  </si>
  <si>
    <t>NPROC</t>
  </si>
  <si>
    <t>NPROC_SILENT</t>
  </si>
  <si>
    <t>"Nproc_Silent"</t>
  </si>
  <si>
    <t>"V1_D001"</t>
  </si>
  <si>
    <t>"V1_F001"</t>
  </si>
  <si>
    <t>"MT_A001"</t>
  </si>
  <si>
    <t>LABEL_FAIL</t>
  </si>
  <si>
    <t>V1MT_CONNECTION_METHOD</t>
  </si>
  <si>
    <t>V1MT_connection_method</t>
  </si>
  <si>
    <t>V1MT_L001</t>
  </si>
  <si>
    <t>"V1MT_L001"</t>
  </si>
  <si>
    <t>V1MT_L001_APERTURE</t>
  </si>
  <si>
    <t>V1MT_L001_aperture</t>
  </si>
  <si>
    <t>V1MT_L001_AMPLIFICATION</t>
  </si>
  <si>
    <t>V1MT_L001_amplification</t>
  </si>
  <si>
    <t>V1MT_L001_SIGMA</t>
  </si>
  <si>
    <t>V1MT_L001_sigma</t>
  </si>
  <si>
    <t>V1MT_L001_MODULATION</t>
  </si>
  <si>
    <t>V1MT_L001_modulation</t>
  </si>
  <si>
    <t>V1_EXTERNAL_EXCITATION_METHOD</t>
  </si>
  <si>
    <t>V1_external_excitation_method</t>
  </si>
  <si>
    <t>S</t>
  </si>
  <si>
    <t>E</t>
  </si>
  <si>
    <t>V1_LABEL</t>
  </si>
  <si>
    <t>"V1"</t>
  </si>
  <si>
    <t>MT_LABEL</t>
  </si>
  <si>
    <t>"MT"</t>
  </si>
  <si>
    <t>NEURONS_NAME_SIZE</t>
  </si>
  <si>
    <t>NNumber(i)</t>
  </si>
  <si>
    <t>NNumber(j)</t>
  </si>
  <si>
    <t>Trying to use an unsupported setting</t>
  </si>
  <si>
    <t>Data_int</t>
  </si>
  <si>
    <t>There are undocumented calculations in use</t>
  </si>
  <si>
    <t>Hashing prime 1, required for hasing strings</t>
  </si>
  <si>
    <t>Hashing prime 2, required for hasing strings</t>
  </si>
  <si>
    <t>Hashing prime 3, required for hasing strings</t>
  </si>
  <si>
    <t>HashTable default size</t>
  </si>
  <si>
    <t>Deprecated Messages</t>
  </si>
  <si>
    <t>Click this Cell to Update define.h, SettingsManager.Initialize.cpp</t>
  </si>
  <si>
    <t>SD-032</t>
  </si>
  <si>
    <t>Empty pointer to function entry</t>
  </si>
  <si>
    <t>HIDE_END</t>
  </si>
  <si>
    <t>hide_end</t>
  </si>
  <si>
    <t>Hide DONE/FAIL interpreter result</t>
  </si>
  <si>
    <t>Main</t>
  </si>
  <si>
    <t>Secondary</t>
  </si>
  <si>
    <t>function</t>
  </si>
  <si>
    <t>SetenvCall</t>
  </si>
  <si>
    <t>SetsimCall</t>
  </si>
  <si>
    <t>RunsimCall</t>
  </si>
  <si>
    <t>ReportCall</t>
  </si>
  <si>
    <t>RescueCall</t>
  </si>
  <si>
    <t>Click this cell to update Interpretermanager.Initialize.cpp</t>
  </si>
  <si>
    <t>Simulator Settings</t>
  </si>
  <si>
    <t>Environment Settings</t>
  </si>
  <si>
    <t>Run Commands</t>
  </si>
  <si>
    <t>Reporting Commands</t>
  </si>
  <si>
    <t>I/O Interaction Commands</t>
  </si>
  <si>
    <t>Up Are Environment, Down are Simulator</t>
  </si>
  <si>
    <t>IN-006</t>
  </si>
  <si>
    <t>Deprecated</t>
  </si>
  <si>
    <t>Nproc unidentified sub directive, ignoring line</t>
  </si>
  <si>
    <t>Development Assetion - The program arrived to an unexpected set of conditions</t>
  </si>
  <si>
    <t>Runtime Assertion - Something went wrong running the program. Terminating</t>
  </si>
  <si>
    <t>Implementation Assertion - There is a problem with the implementation</t>
  </si>
  <si>
    <t>Flag not found or without a value</t>
  </si>
  <si>
    <t>"ss_initialize"</t>
  </si>
  <si>
    <t>"ss_add_V1_diffusion"</t>
  </si>
  <si>
    <t>"ss_simulate"</t>
  </si>
  <si>
    <t>"print_env"</t>
  </si>
  <si>
    <t>"print_sim"</t>
  </si>
  <si>
    <t>"ss_print_V1_activation"</t>
  </si>
  <si>
    <t>"ss_print_V1_activation_horizontal"</t>
  </si>
  <si>
    <t>"ss_print_V1_external_excitation"</t>
  </si>
  <si>
    <t>"ss_print_MT_activation"</t>
  </si>
  <si>
    <t>"ss_print_MT_activation_horizontal"</t>
  </si>
  <si>
    <t>"nproc"</t>
  </si>
  <si>
    <t>RP-003</t>
  </si>
  <si>
    <t>Stream didn't oppened correctly</t>
  </si>
  <si>
    <t>RescueCall_NPROC</t>
  </si>
  <si>
    <t>Default Log Verbose Behavior</t>
  </si>
  <si>
    <t>2.0/3.0</t>
  </si>
  <si>
    <t>PI/4.0+0.1</t>
  </si>
  <si>
    <t>Maximum number of V1 neurons to use</t>
  </si>
  <si>
    <t>V1 Activation Methods</t>
  </si>
  <si>
    <t>V1_A001</t>
  </si>
  <si>
    <t>"V1_A001"</t>
  </si>
  <si>
    <t>V1 activation method A001</t>
  </si>
  <si>
    <t>V1 Derivate Activation Methods</t>
  </si>
  <si>
    <t>V1_D001 Method Parameters</t>
  </si>
  <si>
    <t>V1_A001 Method Parameters</t>
  </si>
  <si>
    <t>V1 Diffusion Imput Methods</t>
  </si>
  <si>
    <t>V1_F001 Method Parameters</t>
  </si>
  <si>
    <t>V1 Neuron Settings</t>
  </si>
  <si>
    <t>MT Neuron Settings</t>
  </si>
  <si>
    <t>MT_A001 Parameters</t>
  </si>
  <si>
    <t>None</t>
  </si>
  <si>
    <t>MT Activation Methods</t>
  </si>
  <si>
    <t>MT Derivate Activation Methods</t>
  </si>
  <si>
    <t>MT_D001</t>
  </si>
  <si>
    <t>"MT_D001"</t>
  </si>
  <si>
    <t>MT_D001 Parameters</t>
  </si>
  <si>
    <t>Neuron Linking</t>
  </si>
  <si>
    <t>V1V1 Linking Methods</t>
  </si>
  <si>
    <t>V1V1_L001</t>
  </si>
  <si>
    <t>"V1V1_L001"</t>
  </si>
  <si>
    <t>V1V1_L001 Link Parameters</t>
  </si>
  <si>
    <t>MTMT Link Methods</t>
  </si>
  <si>
    <t>V1V1_L001_BASE_WEIGHT_SOURCE</t>
  </si>
  <si>
    <t>V1V1_L001_DEFAULT_WEIGHT</t>
  </si>
  <si>
    <t>V1MT Linking Methods</t>
  </si>
  <si>
    <t>V1MT_L001 Link Parameters</t>
  </si>
  <si>
    <t>V1V1_CONNECTION_METHOD</t>
  </si>
  <si>
    <t>V1V1_connection_method</t>
  </si>
  <si>
    <t>V1V1_L001_base_weight_source</t>
  </si>
  <si>
    <t>V1V1_L001_default_weight</t>
  </si>
  <si>
    <t>Defines</t>
  </si>
  <si>
    <t>V1_FIRST_CALCULATION</t>
  </si>
  <si>
    <t>V1_first_calculation</t>
  </si>
  <si>
    <t>Variable that contains if activation or dactivation is calculated first</t>
  </si>
  <si>
    <t>MT_FIRST_CALCULATION</t>
  </si>
  <si>
    <t>MT_first_calculation</t>
  </si>
  <si>
    <t>CALCULATE_ACTIVATION</t>
  </si>
  <si>
    <t>CALCULATE_DACTIVATION</t>
  </si>
  <si>
    <t>"activation"</t>
  </si>
  <si>
    <t>"dactivation"</t>
  </si>
  <si>
    <t>V1_A001_NL_MAX</t>
  </si>
  <si>
    <t>V1_A001_NL_A</t>
  </si>
  <si>
    <t>V1_A001_NL_B</t>
  </si>
  <si>
    <t>V1_A001_nl_max</t>
  </si>
  <si>
    <t>V1_A001_nl_a</t>
  </si>
  <si>
    <t>V1_A001_nl_b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</si>
</sst>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33" borderId="0" xfId="0" applyFill="1"/>
    <xf numFmtId="0" fontId="0" fillId="33" borderId="0" xfId="0" applyFill="1" applyAlignment="1">
      <alignment horizontal="center"/>
    </xf>
    <xf numFmtId="0" fontId="0" fillId="33" borderId="0" xfId="0" applyFill="1" applyAlignment="1">
      <alignment horizontal="left"/>
    </xf>
    <xf numFmtId="2" fontId="0" fillId="33" borderId="0" xfId="0" applyNumberFormat="1" applyFill="1" applyAlignment="1">
      <alignment horizontal="left"/>
    </xf>
    <xf numFmtId="2" fontId="0" fillId="33" borderId="0" xfId="0" applyNumberFormat="1" applyFill="1" applyAlignment="1">
      <alignment horizontal="center"/>
    </xf>
    <xf numFmtId="0" fontId="0" fillId="34" borderId="0" xfId="0" applyFill="1"/>
    <xf numFmtId="0" fontId="0" fillId="34" borderId="0" xfId="0" applyFill="1" applyAlignment="1">
      <alignment horizontal="center"/>
    </xf>
    <xf numFmtId="2" fontId="0" fillId="34" borderId="0" xfId="0" applyNumberFormat="1" applyFill="1" applyAlignment="1">
      <alignment horizontal="center"/>
    </xf>
    <xf numFmtId="0" fontId="0" fillId="3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0" fontId="0" fillId="35" borderId="0" xfId="0" applyNumberFormat="1" applyFill="1" applyAlignment="1">
      <alignment horizontal="center"/>
    </xf>
    <xf numFmtId="0" fontId="0" fillId="35" borderId="0" xfId="0" applyFill="1" applyAlignment="1">
      <alignment horizontal="left"/>
    </xf>
    <xf numFmtId="0" fontId="0" fillId="36" borderId="0" xfId="0" applyFill="1"/>
    <xf numFmtId="0" fontId="0" fillId="36" borderId="0" xfId="0" applyFill="1" applyAlignment="1">
      <alignment horizontal="center"/>
    </xf>
    <xf numFmtId="0" fontId="0" fillId="36" borderId="0" xfId="0" applyNumberFormat="1" applyFill="1" applyAlignment="1">
      <alignment horizontal="center"/>
    </xf>
    <xf numFmtId="0" fontId="0" fillId="36" borderId="0" xfId="0" applyFill="1" applyAlignment="1">
      <alignment horizontal="left"/>
    </xf>
    <xf numFmtId="0" fontId="0" fillId="34" borderId="0" xfId="0" applyFill="1" applyAlignment="1">
      <alignment wrapText="1"/>
    </xf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0" borderId="0" xfId="0" applyFill="1" applyAlignment="1">
      <alignment horizontal="center"/>
    </xf>
    <xf numFmtId="0" fontId="0" fillId="37" borderId="0" xfId="0" applyFill="1" applyAlignment="1">
      <alignment wrapText="1"/>
    </xf>
    <xf numFmtId="0" fontId="0" fillId="37" borderId="0" xfId="0" applyFill="1" applyAlignment="1">
      <alignment horizontal="center"/>
    </xf>
    <xf numFmtId="0" fontId="0" fillId="37" borderId="0" xfId="0" applyFill="1" applyAlignment="1">
      <alignment horizontal="left"/>
    </xf>
    <xf numFmtId="0" fontId="0" fillId="37" borderId="0" xfId="0" applyFill="1"/>
    <xf numFmtId="0" fontId="0" fillId="0" borderId="0" xfId="0" applyFill="1" applyAlignment="1">
      <alignment wrapText="1"/>
    </xf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38" borderId="0" xfId="0" applyFill="1" applyAlignment="1">
      <alignment horizontal="center"/>
    </xf>
    <xf numFmtId="49" fontId="0" fillId="0" borderId="0" xfId="0" applyNumberFormat="1"/>
    <xf numFmtId="0" fontId="0" fillId="0" borderId="0" xfId="0" quotePrefix="1" applyAlignment="1">
      <alignment horizontal="left"/>
    </xf>
    <xf numFmtId="49" fontId="0" fillId="37" borderId="0" xfId="0" applyNumberFormat="1" applyFill="1"/>
    <xf numFmtId="0" fontId="0" fillId="0" borderId="0" xfId="0" quotePrefix="1" applyNumberFormat="1" applyFill="1" applyAlignment="1">
      <alignment horizontal="left"/>
    </xf>
    <xf numFmtId="49" fontId="0" fillId="0" borderId="0" xfId="0" applyNumberFormat="1" applyFill="1"/>
    <xf numFmtId="0" fontId="0" fillId="38" borderId="0" xfId="0" applyFill="1"/>
    <xf numFmtId="0" fontId="0" fillId="39" borderId="0" xfId="0" applyFill="1" applyAlignment="1">
      <alignment wrapText="1"/>
    </xf>
    <xf numFmtId="0" fontId="0" fillId="39" borderId="0" xfId="0" applyFill="1" applyAlignment="1">
      <alignment horizontal="center"/>
    </xf>
    <xf numFmtId="49" fontId="0" fillId="39" borderId="0" xfId="0" applyNumberFormat="1" applyFill="1"/>
    <xf numFmtId="0" fontId="0" fillId="39" borderId="0" xfId="0" applyFill="1" applyAlignment="1">
      <alignment horizontal="left"/>
    </xf>
    <xf numFmtId="0" fontId="0" fillId="39" borderId="0" xfId="0" applyFill="1"/>
    <xf numFmtId="0" fontId="0" fillId="39" borderId="0" xfId="0" applyNumberFormat="1" applyFill="1" applyAlignment="1">
      <alignment horizontal="center"/>
    </xf>
    <xf numFmtId="0" fontId="0" fillId="39" borderId="0" xfId="0" applyNumberFormat="1" applyFill="1" applyAlignment="1">
      <alignment horizontal="left"/>
    </xf>
    <xf numFmtId="0" fontId="18" fillId="39" borderId="0" xfId="0" applyFont="1" applyFill="1" applyAlignment="1">
      <alignment wrapText="1"/>
    </xf>
    <xf numFmtId="0" fontId="18" fillId="39" borderId="0" xfId="0" applyFont="1" applyFill="1" applyAlignment="1">
      <alignment horizontal="center"/>
    </xf>
    <xf numFmtId="0" fontId="18" fillId="39" borderId="0" xfId="0" applyFont="1" applyFill="1"/>
    <xf numFmtId="0" fontId="18" fillId="39" borderId="0" xfId="0" applyFont="1" applyFill="1" applyAlignment="1">
      <alignment horizontal="left"/>
    </xf>
    <xf numFmtId="0" fontId="0" fillId="40" borderId="0" xfId="0" applyFill="1" applyAlignment="1">
      <alignment horizontal="left"/>
    </xf>
    <xf numFmtId="0" fontId="0" fillId="40" borderId="0" xfId="0" quotePrefix="1" applyFill="1" applyAlignment="1">
      <alignment horizontal="left"/>
    </xf>
    <xf numFmtId="164" fontId="0" fillId="40" borderId="0" xfId="0" applyNumberFormat="1" applyFill="1" applyAlignment="1">
      <alignment horizontal="left"/>
    </xf>
    <xf numFmtId="0" fontId="0" fillId="41" borderId="0" xfId="0" applyFill="1" applyAlignment="1">
      <alignment wrapText="1"/>
    </xf>
    <xf numFmtId="0" fontId="0" fillId="41" borderId="0" xfId="0" applyFill="1" applyAlignment="1">
      <alignment horizontal="center"/>
    </xf>
    <xf numFmtId="0" fontId="0" fillId="41" borderId="0" xfId="0" applyFill="1"/>
    <xf numFmtId="0" fontId="0" fillId="41" borderId="0" xfId="0" applyFill="1" applyAlignment="1">
      <alignment horizontal="left"/>
    </xf>
    <xf numFmtId="0" fontId="0" fillId="42" borderId="0" xfId="0" applyFill="1" applyAlignment="1">
      <alignment wrapText="1"/>
    </xf>
    <xf numFmtId="0" fontId="0" fillId="42" borderId="0" xfId="0" applyFill="1" applyAlignment="1">
      <alignment horizontal="center"/>
    </xf>
    <xf numFmtId="0" fontId="0" fillId="42" borderId="0" xfId="0" applyFill="1"/>
    <xf numFmtId="0" fontId="0" fillId="42" borderId="0" xfId="0" applyFill="1" applyAlignment="1">
      <alignment horizontal="left"/>
    </xf>
    <xf numFmtId="49" fontId="0" fillId="42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9"/>
  <sheetViews>
    <sheetView tabSelected="1" zoomScaleNormal="100" workbookViewId="0">
      <pane ySplit="1" topLeftCell="A50" activePane="bottomLeft" state="frozen"/>
      <selection pane="bottomLeft" activeCell="H1" sqref="H1"/>
    </sheetView>
  </sheetViews>
  <sheetFormatPr defaultRowHeight="15" customHeight="1" x14ac:dyDescent="0.25"/>
  <cols>
    <col min="1" max="2" width="2.85546875" style="25" customWidth="1"/>
    <col min="3" max="3" width="8.5703125" style="1" customWidth="1"/>
    <col min="4" max="6" width="2.85546875" style="1" customWidth="1"/>
    <col min="7" max="7" width="2.85546875" style="2" customWidth="1"/>
    <col min="8" max="8" width="78.5703125" style="13" customWidth="1"/>
    <col min="9" max="9" width="2.85546875" style="1" customWidth="1"/>
  </cols>
  <sheetData>
    <row r="1" spans="1:10" ht="15" customHeight="1" x14ac:dyDescent="0.25">
      <c r="H1" s="37" t="s">
        <v>170</v>
      </c>
    </row>
    <row r="2" spans="1:10" s="9" customFormat="1" ht="15" customHeight="1" x14ac:dyDescent="0.25">
      <c r="A2" s="23" t="str">
        <f>IF(C2&lt;&gt;"",IF(C2="#","  // "&amp;H2,
"  MessagesDevelopmentAssert.QuickPutEntry_bool("""&amp;C2&amp;""", "&amp;IF(D2="F","false",IF(D2="T","true","ERROR"))&amp;");"&amp;CHAR(10)&amp;
"  MessagesImplementationAssert.QuickPutEntry_bool("""&amp;C2&amp;""", "&amp;IF(E2="F","false",IF(E2="T","true","ERROR"))&amp;");"&amp;CHAR(10)&amp;
"  MessagesRuntimeAssert.QuickPutEntry_bool("""&amp;C2&amp;""", "&amp;IF(F2="F","false",IF(F2="T","true","ERROR"))&amp;");"&amp;CHAR(10)&amp;
"  MessagesDisabling.QuickPutEntry_int("""&amp;C2&amp;""", "&amp;G2&amp;");"&amp; CHAR(10) &amp;
"  MessagesCount.QuickPutEntry_int("""&amp;C2&amp;""", 0);"&amp;CHAR(10)&amp;
"  MessagesLabel.QuickPutEntry_string("""&amp;C2&amp;""","""&amp;H2&amp;""");"&amp;
IF(J2&lt;&gt;"",CHAR(10) &amp; "  MessagesText.QuickPutEntry_string("""&amp;C2&amp;""", """&amp;SUBSTITUTE(J2,"""","\""")&amp;""");","")
),"")</f>
        <v xml:space="preserve">  // Description</v>
      </c>
      <c r="B2" s="23"/>
      <c r="C2" s="10" t="s">
        <v>0</v>
      </c>
      <c r="D2" s="10" t="s">
        <v>138</v>
      </c>
      <c r="E2" s="10" t="s">
        <v>139</v>
      </c>
      <c r="F2" s="10" t="s">
        <v>140</v>
      </c>
      <c r="G2" s="11" t="s">
        <v>141</v>
      </c>
      <c r="H2" s="12" t="s">
        <v>142</v>
      </c>
      <c r="I2" s="10"/>
    </row>
    <row r="3" spans="1:10" s="4" customFormat="1" ht="15" customHeight="1" x14ac:dyDescent="0.25">
      <c r="A3" s="24" t="str">
        <f>IF(C3&lt;&gt;"",IF(C3="#","  // "&amp;H3,
"  MessagesDevelopmentAssert.QuickPutEntry_bool("""&amp;C3&amp;""", "&amp;IF(D3="F","false",IF(D3="T","true","ERROR"))&amp;");"&amp;CHAR(10)&amp;
"  MessagesImplementationAssert.QuickPutEntry_bool("""&amp;C3&amp;""", "&amp;IF(E3="F","false",IF(E3="T","true","ERROR"))&amp;");"&amp;CHAR(10)&amp;
"  MessagesRuntimeAssert.QuickPutEntry_bool("""&amp;C3&amp;""", "&amp;IF(F3="F","false",IF(F3="T","true","ERROR"))&amp;");"&amp;CHAR(10)&amp;
"  MessagesDisabling.QuickPutEntry_int("""&amp;C3&amp;""", "&amp;G3&amp;");"&amp; CHAR(10) &amp;
"  MessagesCount.QuickPutEntry_int("""&amp;C3&amp;""", 0);"&amp;CHAR(10)&amp;
"  MessagesLabel.QuickPutEntry_string("""&amp;C3&amp;""","""&amp;H3&amp;""");"&amp;
IF(J3&lt;&gt;"",CHAR(10) &amp; "  MessagesText.QuickPutEntry_string("""&amp;C3&amp;""", """&amp;SUBSTITUTE(J3,"""","\""")&amp;""");","")
),"")</f>
        <v xml:space="preserve">  // Reading Nproc File Issues</v>
      </c>
      <c r="B3" s="24" t="str">
        <f>IF(C3&lt;&gt;"",IF(C3="#","\section{"&amp;H3&amp;"}" &amp; CHAR(10),
"\subsection{" &amp; C3 &amp; "}" &amp; CHAR(10) &amp; "\begin{itemize}" &amp; CHAR(10) &amp;
"  \item Interface Message:\\[1em]\textbf{" &amp; SUBSTITUTE(H3,"_","\_") &amp; "}" &amp; CHAR(10) &amp;
"  \item Development Assertion: " &amp; IF(D3="F","NO",IF(D3="T","YES","ERROR")) &amp; CHAR(10) &amp;
"  \item Implementation Assertion: " &amp; IF(E3="F","NO",IF(E3="T","YES","ERROR")) &amp; CHAR(10) &amp;
"  \item Runtime Assertion: " &amp; IF(F3="F","NO",IF(F3="T","YES","ERROR")) &amp; CHAR(10) &amp;
IF(J3&lt;&gt;"","  \item Message Description:\\[1em]"&amp; SUBSTITUTE(J3,"_","\_")  &amp;CHAR(10),"") &amp;
"\end{itemize}"&amp;CHAR(10)),"")</f>
        <v xml:space="preserve">\section{Reading Nproc File Issues}
</v>
      </c>
      <c r="C3" s="5" t="s">
        <v>0</v>
      </c>
      <c r="E3" s="6"/>
      <c r="F3" s="6"/>
      <c r="G3" s="7"/>
      <c r="H3" s="6" t="s">
        <v>137</v>
      </c>
      <c r="I3" s="5"/>
    </row>
    <row r="4" spans="1:10" s="36" customFormat="1" ht="15" customHeight="1" x14ac:dyDescent="0.25">
      <c r="A4" s="33" t="str">
        <f t="shared" ref="A4:A71" si="0">IF(C4&lt;&gt;"",IF(C4="#","  // "&amp;H4,
"  MessagesDevelopmentAssert.QuickPutEntry_bool("""&amp;C4&amp;""", "&amp;IF(D4="F","false",IF(D4="T","true","ERROR"))&amp;");"&amp;CHAR(10)&amp;
"  MessagesImplementationAssert.QuickPutEntry_bool("""&amp;C4&amp;""", "&amp;IF(E4="F","false",IF(E4="T","true","ERROR"))&amp;");"&amp;CHAR(10)&amp;
"  MessagesRuntimeAssert.QuickPutEntry_bool("""&amp;C4&amp;""", "&amp;IF(F4="F","false",IF(F4="T","true","ERROR"))&amp;");"&amp;CHAR(10)&amp;
"  MessagesDisabling.QuickPutEntry_int("""&amp;C4&amp;""", "&amp;G4&amp;");"&amp; CHAR(10) &amp;
"  MessagesCount.QuickPutEntry_int("""&amp;C4&amp;""", 0);"&amp;CHAR(10)&amp;
"  MessagesLabel.QuickPutEntry_string("""&amp;C4&amp;""","""&amp;H4&amp;""");"&amp;
IF(J4&lt;&gt;"",CHAR(10) &amp; "  MessagesText.QuickPutEntry_string("""&amp;C4&amp;""", """&amp;SUBSTITUTE(J4,"""","\""")&amp;""");","")
),"")</f>
        <v xml:space="preserve">  MessagesDevelopmentAssert.QuickPutEntry_bool("IN-001", true);
  MessagesImplementationAssert.QuickPutEntry_bool("IN-001", false);
  MessagesRuntimeAssert.QuickPutEntry_bool("IN-001", false);
  MessagesDisabling.QuickPutEntry_int("IN-001", 0);
  MessagesCount.QuickPutEntry_int("IN-001", 0);
  MessagesLabel.QuickPutEntry_string("IN-001","NProc directive not recognized");
  MessagesText.QuickPutEntry_string("IN-001", "The directive trying to get interpreted is not on the list of possible directives. Please go to the Reference Manual chapter \"Directives\" to get a full list of valid directives.");</v>
      </c>
      <c r="B4" s="33" t="str">
        <f t="shared" ref="B4:B71" si="1">IF(C4&lt;&gt;"",IF(C4="#","\section{"&amp;H4&amp;"}" &amp; CHAR(10),
"\subsection{" &amp; C4 &amp; "}" &amp; CHAR(10) &amp; "\begin{itemize}" &amp; CHAR(10) &amp;
"  \item Interface Message:\\[1em]\textbf{" &amp; SUBSTITUTE(H4,"_","\_") &amp; "}" &amp; CHAR(10) &amp;
"  \item Development Assertion: " &amp; IF(D4="F","NO",IF(D4="T","YES","ERROR")) &amp; CHAR(10) &amp;
"  \item Implementation Assertion: " &amp; IF(E4="F","NO",IF(E4="T","YES","ERROR")) &amp; CHAR(10) &amp;
"  \item Runtime Assertion: " &amp; IF(F4="F","NO",IF(F4="T","YES","ERROR")) &amp; CHAR(10) &amp;
IF(J4&lt;&gt;"","  \item Message Description:\\[1em]"&amp; SUBSTITUTE(J4,"_","\_")  &amp;CHAR(10),"") &amp;
"\end{itemize}"&amp;CHAR(10)),"")</f>
        <v xml:space="preserve">\subsection{IN-001}
\begin{itemize}
  \item Interface Message:\\[1em]\textbf{NProc directive not recognized}
  \item Development Assertion: YES
  \item Implementation Assertion: NO
  \item Runtime Assertion: NO
  \item Message Description:\\[1em]The directive trying to get interpreted is not on the list of possible directives. Please go to the Reference Manual chapter "Directives" to get a full list of valid directives.
\end{itemize}
</v>
      </c>
      <c r="C4" s="28" t="s">
        <v>1</v>
      </c>
      <c r="D4" s="28" t="s">
        <v>2</v>
      </c>
      <c r="E4" s="28" t="s">
        <v>3</v>
      </c>
      <c r="F4" s="28" t="s">
        <v>3</v>
      </c>
      <c r="G4" s="34">
        <v>0</v>
      </c>
      <c r="H4" s="35" t="s">
        <v>4</v>
      </c>
      <c r="I4" s="28"/>
      <c r="J4" s="35" t="s">
        <v>150</v>
      </c>
    </row>
    <row r="5" spans="1:10" s="36" customFormat="1" ht="15" customHeight="1" x14ac:dyDescent="0.25">
      <c r="A5" s="33" t="str">
        <f t="shared" si="0"/>
        <v xml:space="preserve">  MessagesDevelopmentAssert.QuickPutEntry_bool("IN-002", true);
  MessagesImplementationAssert.QuickPutEntry_bool("IN-002", false);
  MessagesRuntimeAssert.QuickPutEntry_bool("IN-002", false);
  MessagesDisabling.QuickPutEntry_int("IN-002", 0);
  MessagesCount.QuickPutEntry_int("IN-002", 0);
  MessagesLabel.QuickPutEntry_string("IN-002","Trying to report an undeclared variable");</v>
      </c>
      <c r="B5" s="33" t="str">
        <f t="shared" si="1"/>
        <v xml:space="preserve">\subsection{IN-002}
\begin{itemize}
  \item Interface Message:\\[1em]\textbf{Trying to report an undeclared variable}
  \item Development Assertion: YES
  \item Implementation Assertion: NO
  \item Runtime Assertion: NO
\end{itemize}
</v>
      </c>
      <c r="C5" s="28" t="s">
        <v>5</v>
      </c>
      <c r="D5" s="28" t="s">
        <v>2</v>
      </c>
      <c r="E5" s="28" t="s">
        <v>3</v>
      </c>
      <c r="F5" s="28" t="s">
        <v>3</v>
      </c>
      <c r="G5" s="34">
        <v>0</v>
      </c>
      <c r="H5" s="35" t="s">
        <v>6</v>
      </c>
      <c r="I5" s="28"/>
    </row>
    <row r="6" spans="1:10" s="36" customFormat="1" ht="15" customHeight="1" x14ac:dyDescent="0.25">
      <c r="A6" s="33" t="str">
        <f t="shared" si="0"/>
        <v xml:space="preserve">  MessagesDevelopmentAssert.QuickPutEntry_bool("IN-003", false);
  MessagesImplementationAssert.QuickPutEntry_bool("IN-003", false);
  MessagesRuntimeAssert.QuickPutEntry_bool("IN-003", false);
  MessagesDisabling.QuickPutEntry_int("IN-003", 0);
  MessagesCount.QuickPutEntry_int("IN-003", 0);
  MessagesLabel.QuickPutEntry_string("IN-003","Redefining a previously stored setting");</v>
      </c>
      <c r="B6" s="33" t="str">
        <f t="shared" si="1"/>
        <v xml:space="preserve">\subsection{IN-003}
\begin{itemize}
  \item Interface Message:\\[1em]\textbf{Redefining a previously stored setting}
  \item Development Assertion: NO
  \item Implementation Assertion: NO
  \item Runtime Assertion: NO
\end{itemize}
</v>
      </c>
      <c r="C6" s="28" t="s">
        <v>7</v>
      </c>
      <c r="D6" s="28" t="s">
        <v>3</v>
      </c>
      <c r="E6" s="28" t="s">
        <v>3</v>
      </c>
      <c r="F6" s="28" t="s">
        <v>3</v>
      </c>
      <c r="G6" s="34">
        <v>0</v>
      </c>
      <c r="H6" s="35" t="s">
        <v>8</v>
      </c>
      <c r="I6" s="28"/>
    </row>
    <row r="7" spans="1:10" s="36" customFormat="1" ht="15" customHeight="1" x14ac:dyDescent="0.25">
      <c r="A7" s="33" t="str">
        <f t="shared" si="0"/>
        <v xml:space="preserve">  MessagesDevelopmentAssert.QuickPutEntry_bool("IN-004", true);
  MessagesImplementationAssert.QuickPutEntry_bool("IN-004", false);
  MessagesRuntimeAssert.QuickPutEntry_bool("IN-004", false);
  MessagesDisabling.QuickPutEntry_int("IN-004", 0);
  MessagesCount.QuickPutEntry_int("IN-004", 0);
  MessagesLabel.QuickPutEntry_string("IN-004","Nproc unidentified sub directive, ignoring line");</v>
      </c>
      <c r="B7" s="33" t="str">
        <f t="shared" si="1"/>
        <v xml:space="preserve">\subsection{IN-004}
\begin{itemize}
  \item Interface Message:\\[1em]\textbf{Nproc unidentified sub directive, ignoring line}
  \item Development Assertion: YES
  \item Implementation Assertion: NO
  \item Runtime Assertion: NO
\end{itemize}
</v>
      </c>
      <c r="C7" s="28" t="s">
        <v>9</v>
      </c>
      <c r="D7" s="28" t="s">
        <v>2</v>
      </c>
      <c r="E7" s="28" t="s">
        <v>3</v>
      </c>
      <c r="F7" s="28" t="s">
        <v>3</v>
      </c>
      <c r="G7" s="34">
        <v>0</v>
      </c>
      <c r="H7" s="35" t="s">
        <v>308</v>
      </c>
      <c r="I7" s="28"/>
    </row>
    <row r="8" spans="1:10" s="36" customFormat="1" ht="15" customHeight="1" x14ac:dyDescent="0.25">
      <c r="A8" s="33" t="str">
        <f t="shared" si="0"/>
        <v xml:space="preserve">  MessagesDevelopmentAssert.QuickPutEntry_bool("IN-005", false);
  MessagesImplementationAssert.QuickPutEntry_bool("IN-005", false);
  MessagesRuntimeAssert.QuickPutEntry_bool("IN-005", false);
  MessagesDisabling.QuickPutEntry_int("IN-005", 0);
  MessagesCount.QuickPutEntry_int("IN-005", 0);
  MessagesLabel.QuickPutEntry_string("IN-005","Nproc unidentified setting, ignoring line");</v>
      </c>
      <c r="B8" s="33" t="str">
        <f t="shared" si="1"/>
        <v xml:space="preserve">\subsection{IN-005}
\begin{itemize}
  \item Interface Message:\\[1em]\textbf{Nproc unidentified setting, ignoring line}
  \item Development Assertion: NO
  \item Implementation Assertion: NO
  \item Runtime Assertion: NO
\end{itemize}
</v>
      </c>
      <c r="C8" s="28" t="s">
        <v>10</v>
      </c>
      <c r="D8" s="28" t="s">
        <v>3</v>
      </c>
      <c r="E8" s="28" t="s">
        <v>3</v>
      </c>
      <c r="F8" s="28" t="s">
        <v>3</v>
      </c>
      <c r="G8" s="34">
        <v>0</v>
      </c>
      <c r="H8" s="35" t="s">
        <v>11</v>
      </c>
      <c r="I8" s="28"/>
    </row>
    <row r="9" spans="1:10" s="36" customFormat="1" ht="15" customHeight="1" x14ac:dyDescent="0.25">
      <c r="A9" s="33" t="str">
        <f t="shared" ref="A9" si="2">IF(C9&lt;&gt;"",IF(C9="#","  // "&amp;H9,
"  MessagesDevelopmentAssert.QuickPutEntry_bool("""&amp;C9&amp;""", "&amp;IF(D9="F","false",IF(D9="T","true","ERROR"))&amp;");"&amp;CHAR(10)&amp;
"  MessagesImplementationAssert.QuickPutEntry_bool("""&amp;C9&amp;""", "&amp;IF(E9="F","false",IF(E9="T","true","ERROR"))&amp;");"&amp;CHAR(10)&amp;
"  MessagesRuntimeAssert.QuickPutEntry_bool("""&amp;C9&amp;""", "&amp;IF(F9="F","false",IF(F9="T","true","ERROR"))&amp;");"&amp;CHAR(10)&amp;
"  MessagesDisabling.QuickPutEntry_int("""&amp;C9&amp;""", "&amp;G9&amp;");"&amp; CHAR(10) &amp;
"  MessagesCount.QuickPutEntry_int("""&amp;C9&amp;""", 0);"&amp;CHAR(10)&amp;
"  MessagesLabel.QuickPutEntry_string("""&amp;C9&amp;""","""&amp;H9&amp;""");"&amp;
IF(J9&lt;&gt;"",CHAR(10) &amp; "  MessagesText.QuickPutEntry_string("""&amp;C9&amp;""", """&amp;SUBSTITUTE(J9,"""","\""")&amp;""");","")
),"")</f>
        <v xml:space="preserve">  MessagesDevelopmentAssert.QuickPutEntry_bool("IN-006", false);
  MessagesImplementationAssert.QuickPutEntry_bool("IN-006", false);
  MessagesRuntimeAssert.QuickPutEntry_bool("IN-006", false);
  MessagesDisabling.QuickPutEntry_int("IN-006", 0);
  MessagesCount.QuickPutEntry_int("IN-006", 0);
  MessagesLabel.QuickPutEntry_string("IN-006","Flag not found or without a value");</v>
      </c>
      <c r="B9" s="33" t="str">
        <f t="shared" ref="B9" si="3">IF(C9&lt;&gt;"",IF(C9="#","\section{"&amp;H9&amp;"}" &amp; CHAR(10),
"\subsection{" &amp; C9 &amp; "}" &amp; CHAR(10) &amp; "\begin{itemize}" &amp; CHAR(10) &amp;
"  \item Interface Message:\\[1em]\textbf{" &amp; SUBSTITUTE(H9,"_","\_") &amp; "}" &amp; CHAR(10) &amp;
"  \item Development Assertion: " &amp; IF(D9="F","NO",IF(D9="T","YES","ERROR")) &amp; CHAR(10) &amp;
"  \item Implementation Assertion: " &amp; IF(E9="F","NO",IF(E9="T","YES","ERROR")) &amp; CHAR(10) &amp;
"  \item Runtime Assertion: " &amp; IF(F9="F","NO",IF(F9="T","YES","ERROR")) &amp; CHAR(10) &amp;
IF(J9&lt;&gt;"","  \item Message Description:\\[1em]"&amp; SUBSTITUTE(J9,"_","\_")  &amp;CHAR(10),"") &amp;
"\end{itemize}"&amp;CHAR(10)),"")</f>
        <v xml:space="preserve">\subsection{IN-006}
\begin{itemize}
  \item Interface Message:\\[1em]\textbf{Flag not found or without a value}
  \item Development Assertion: NO
  \item Implementation Assertion: NO
  \item Runtime Assertion: NO
\end{itemize}
</v>
      </c>
      <c r="C9" s="28" t="s">
        <v>306</v>
      </c>
      <c r="D9" s="28" t="s">
        <v>3</v>
      </c>
      <c r="E9" s="28" t="s">
        <v>3</v>
      </c>
      <c r="F9" s="28" t="s">
        <v>3</v>
      </c>
      <c r="G9" s="34">
        <v>0</v>
      </c>
      <c r="H9" s="35" t="s">
        <v>312</v>
      </c>
      <c r="I9" s="28"/>
    </row>
    <row r="10" spans="1:10" s="36" customFormat="1" ht="15" customHeight="1" x14ac:dyDescent="0.25">
      <c r="A10" s="33" t="str">
        <f t="shared" si="0"/>
        <v xml:space="preserve">  MessagesDevelopmentAssert.QuickPutEntry_bool("IN-007", false);
  MessagesImplementationAssert.QuickPutEntry_bool("IN-007", false);
  MessagesRuntimeAssert.QuickPutEntry_bool("IN-007", false);
  MessagesDisabling.QuickPutEntry_int("IN-007", 0);
  MessagesCount.QuickPutEntry_int("IN-007", 0);
  MessagesLabel.QuickPutEntry_string("IN-007","A boolean argument has not been properly written. Will be interpreted as false");</v>
      </c>
      <c r="B10" s="33" t="str">
        <f t="shared" si="1"/>
        <v xml:space="preserve">\subsection{IN-007}
\begin{itemize}
  \item Interface Message:\\[1em]\textbf{A boolean argument has not been properly written. Will be interpreted as false}
  \item Development Assertion: NO
  \item Implementation Assertion: NO
  \item Runtime Assertion: NO
\end{itemize}
</v>
      </c>
      <c r="C10" s="28" t="s">
        <v>12</v>
      </c>
      <c r="D10" s="28" t="s">
        <v>3</v>
      </c>
      <c r="E10" s="28" t="s">
        <v>3</v>
      </c>
      <c r="F10" s="28" t="s">
        <v>3</v>
      </c>
      <c r="G10" s="34">
        <v>0</v>
      </c>
      <c r="H10" s="35" t="s">
        <v>13</v>
      </c>
      <c r="I10" s="28"/>
    </row>
    <row r="11" spans="1:10" s="36" customFormat="1" ht="15" customHeight="1" x14ac:dyDescent="0.25">
      <c r="A11" s="33" t="str">
        <f t="shared" si="0"/>
        <v xml:space="preserve">  MessagesDevelopmentAssert.QuickPutEntry_bool("IN-010", false);
  MessagesImplementationAssert.QuickPutEntry_bool("IN-010", false);
  MessagesRuntimeAssert.QuickPutEntry_bool("IN-010", false);
  MessagesDisabling.QuickPutEntry_int("IN-010", 0);
  MessagesCount.QuickPutEntry_int("IN-010", 0);
  MessagesLabel.QuickPutEntry_string("IN-010","NProc incorrect amount of arguments for directive, ignoring line");</v>
      </c>
      <c r="B11" s="33" t="str">
        <f t="shared" si="1"/>
        <v xml:space="preserve">\subsection{IN-010}
\begin{itemize}
  \item Interface Message:\\[1em]\textbf{NProc incorrect amount of arguments for directive, ignoring line}
  \item Development Assertion: NO
  \item Implementation Assertion: NO
  \item Runtime Assertion: NO
\end{itemize}
</v>
      </c>
      <c r="C11" s="28" t="s">
        <v>14</v>
      </c>
      <c r="D11" s="28" t="s">
        <v>3</v>
      </c>
      <c r="E11" s="28" t="s">
        <v>3</v>
      </c>
      <c r="F11" s="28" t="s">
        <v>3</v>
      </c>
      <c r="G11" s="34">
        <v>0</v>
      </c>
      <c r="H11" s="35" t="s">
        <v>15</v>
      </c>
      <c r="I11" s="28"/>
    </row>
    <row r="12" spans="1:10" s="4" customFormat="1" ht="15" customHeight="1" x14ac:dyDescent="0.25">
      <c r="A12" s="24" t="str">
        <f t="shared" si="0"/>
        <v xml:space="preserve">  // Command Line Issues</v>
      </c>
      <c r="B12" s="24" t="str">
        <f t="shared" si="1"/>
        <v xml:space="preserve">\section{Command Line Issues}
</v>
      </c>
      <c r="C12" s="5" t="s">
        <v>0</v>
      </c>
      <c r="E12" s="5"/>
      <c r="F12" s="5"/>
      <c r="G12" s="8"/>
      <c r="H12" s="6" t="s">
        <v>16</v>
      </c>
      <c r="I12" s="5"/>
    </row>
    <row r="13" spans="1:10" s="36" customFormat="1" ht="15" customHeight="1" x14ac:dyDescent="0.25">
      <c r="A13" s="33" t="str">
        <f t="shared" si="0"/>
        <v xml:space="preserve">  MessagesDevelopmentAssert.QuickPutEntry_bool("UI-001", false);
  MessagesImplementationAssert.QuickPutEntry_bool("UI-001", false);
  MessagesRuntimeAssert.QuickPutEntry_bool("UI-001", true);
  MessagesDisabling.QuickPutEntry_int("UI-001", 0);
  MessagesCount.QuickPutEntry_int("UI-001", 0);
  MessagesLabel.QuickPutEntry_string("UI-001","Duplicated or contradictory flags on command call");</v>
      </c>
      <c r="B13" s="33" t="str">
        <f t="shared" si="1"/>
        <v xml:space="preserve">\subsection{UI-001}
\begin{itemize}
  \item Interface Message:\\[1em]\textbf{Duplicated or contradictory flags on command call}
  \item Development Assertion: NO
  \item Implementation Assertion: NO
  \item Runtime Assertion: YES
\end{itemize}
</v>
      </c>
      <c r="C13" s="28" t="s">
        <v>17</v>
      </c>
      <c r="D13" s="28" t="s">
        <v>3</v>
      </c>
      <c r="E13" s="28" t="s">
        <v>3</v>
      </c>
      <c r="F13" s="28" t="s">
        <v>2</v>
      </c>
      <c r="G13" s="34">
        <v>0</v>
      </c>
      <c r="H13" s="35" t="s">
        <v>18</v>
      </c>
      <c r="I13" s="28"/>
    </row>
    <row r="14" spans="1:10" s="36" customFormat="1" ht="15" customHeight="1" x14ac:dyDescent="0.25">
      <c r="A14" s="33" t="str">
        <f t="shared" si="0"/>
        <v xml:space="preserve">  MessagesDevelopmentAssert.QuickPutEntry_bool("UI-002", false);
  MessagesImplementationAssert.QuickPutEntry_bool("UI-002", false);
  MessagesRuntimeAssert.QuickPutEntry_bool("UI-002", true);
  MessagesDisabling.QuickPutEntry_int("UI-002", 0);
  MessagesCount.QuickPutEntry_int("UI-002", 0);
  MessagesLabel.QuickPutEntry_string("UI-002","Flag expected");</v>
      </c>
      <c r="B14" s="33" t="str">
        <f t="shared" si="1"/>
        <v xml:space="preserve">\subsection{UI-002}
\begin{itemize}
  \item Interface Message:\\[1em]\textbf{Flag expected}
  \item Development Assertion: NO
  \item Implementation Assertion: NO
  \item Runtime Assertion: YES
\end{itemize}
</v>
      </c>
      <c r="C14" s="28" t="s">
        <v>19</v>
      </c>
      <c r="D14" s="28" t="s">
        <v>3</v>
      </c>
      <c r="E14" s="28" t="s">
        <v>3</v>
      </c>
      <c r="F14" s="28" t="s">
        <v>2</v>
      </c>
      <c r="G14" s="34">
        <v>0</v>
      </c>
      <c r="H14" s="35" t="s">
        <v>20</v>
      </c>
      <c r="I14" s="28"/>
    </row>
    <row r="15" spans="1:10" s="36" customFormat="1" ht="15" customHeight="1" x14ac:dyDescent="0.25">
      <c r="A15" s="33" t="str">
        <f t="shared" si="0"/>
        <v xml:space="preserve">  MessagesDevelopmentAssert.QuickPutEntry_bool("UI-003", false);
  MessagesImplementationAssert.QuickPutEntry_bool("UI-003", false);
  MessagesRuntimeAssert.QuickPutEntry_bool("UI-003", false);
  MessagesDisabling.QuickPutEntry_int("UI-003", 0);
  MessagesCount.QuickPutEntry_int("UI-003", 0);
  MessagesLabel.QuickPutEntry_string("UI-003","Flag not recognized, flag omitted");</v>
      </c>
      <c r="B15" s="33" t="str">
        <f t="shared" si="1"/>
        <v xml:space="preserve">\subsection{UI-003}
\begin{itemize}
  \item Interface Message:\\[1em]\textbf{Flag not recognized, flag omitted}
  \item Development Assertion: NO
  \item Implementation Assertion: NO
  \item Runtime Assertion: NO
\end{itemize}
</v>
      </c>
      <c r="C15" s="28" t="s">
        <v>21</v>
      </c>
      <c r="D15" s="28" t="s">
        <v>3</v>
      </c>
      <c r="E15" s="28" t="s">
        <v>3</v>
      </c>
      <c r="F15" s="28" t="s">
        <v>3</v>
      </c>
      <c r="G15" s="34">
        <v>0</v>
      </c>
      <c r="H15" s="35" t="s">
        <v>22</v>
      </c>
      <c r="I15" s="28"/>
    </row>
    <row r="16" spans="1:10" s="36" customFormat="1" ht="15" customHeight="1" x14ac:dyDescent="0.25">
      <c r="A16" s="33" t="str">
        <f t="shared" si="0"/>
        <v xml:space="preserve">  MessagesDevelopmentAssert.QuickPutEntry_bool("UI-004", false);
  MessagesImplementationAssert.QuickPutEntry_bool("UI-004", false);
  MessagesRuntimeAssert.QuickPutEntry_bool("UI-004", true);
  MessagesDisabling.QuickPutEntry_int("UI-004", 0);
  MessagesCount.QuickPutEntry_int("UI-004", 0);
  MessagesLabel.QuickPutEntry_string("UI-004","Label without content");</v>
      </c>
      <c r="B16" s="33" t="str">
        <f t="shared" si="1"/>
        <v xml:space="preserve">\subsection{UI-004}
\begin{itemize}
  \item Interface Message:\\[1em]\textbf{Label without content}
  \item Development Assertion: NO
  \item Implementation Assertion: NO
  \item Runtime Assertion: YES
\end{itemize}
</v>
      </c>
      <c r="C16" s="28" t="s">
        <v>23</v>
      </c>
      <c r="D16" s="28" t="s">
        <v>3</v>
      </c>
      <c r="E16" s="28" t="s">
        <v>3</v>
      </c>
      <c r="F16" s="28" t="s">
        <v>2</v>
      </c>
      <c r="G16" s="34">
        <v>0</v>
      </c>
      <c r="H16" s="35" t="s">
        <v>24</v>
      </c>
      <c r="I16" s="28"/>
    </row>
    <row r="17" spans="1:9" s="36" customFormat="1" ht="15" customHeight="1" x14ac:dyDescent="0.25">
      <c r="A17" s="33" t="str">
        <f t="shared" si="0"/>
        <v xml:space="preserve">  MessagesDevelopmentAssert.QuickPutEntry_bool("UI-006", false);
  MessagesImplementationAssert.QuickPutEntry_bool("UI-006", false);
  MessagesRuntimeAssert.QuickPutEntry_bool("UI-006", true);
  MessagesDisabling.QuickPutEntry_int("UI-006", 0);
  MessagesCount.QuickPutEntry_int("UI-006", 0);
  MessagesLabel.QuickPutEntry_string("UI-006","Empty NProc name");</v>
      </c>
      <c r="B17" s="33" t="str">
        <f t="shared" si="1"/>
        <v xml:space="preserve">\subsection{UI-006}
\begin{itemize}
  \item Interface Message:\\[1em]\textbf{Empty NProc name}
  \item Development Assertion: NO
  \item Implementation Assertion: NO
  \item Runtime Assertion: YES
\end{itemize}
</v>
      </c>
      <c r="C17" s="28" t="s">
        <v>25</v>
      </c>
      <c r="D17" s="28" t="s">
        <v>3</v>
      </c>
      <c r="E17" s="28" t="s">
        <v>3</v>
      </c>
      <c r="F17" s="28" t="s">
        <v>2</v>
      </c>
      <c r="G17" s="34">
        <v>0</v>
      </c>
      <c r="H17" s="35" t="s">
        <v>26</v>
      </c>
      <c r="I17" s="28"/>
    </row>
    <row r="18" spans="1:9" s="4" customFormat="1" ht="15" customHeight="1" x14ac:dyDescent="0.25">
      <c r="A18" s="24" t="str">
        <f t="shared" si="0"/>
        <v xml:space="preserve">  // File IO Issues</v>
      </c>
      <c r="B18" s="24" t="str">
        <f t="shared" si="1"/>
        <v xml:space="preserve">\section{File IO Issues}
</v>
      </c>
      <c r="C18" s="5" t="s">
        <v>0</v>
      </c>
      <c r="E18" s="5"/>
      <c r="F18" s="5"/>
      <c r="G18" s="8"/>
      <c r="H18" s="6" t="s">
        <v>27</v>
      </c>
      <c r="I18" s="5"/>
    </row>
    <row r="19" spans="1:9" ht="15" customHeight="1" x14ac:dyDescent="0.25">
      <c r="A19" s="25" t="str">
        <f t="shared" si="0"/>
        <v xml:space="preserve">  MessagesDevelopmentAssert.QuickPutEntry_bool("ER-001", false);
  MessagesImplementationAssert.QuickPutEntry_bool("ER-001", false);
  MessagesRuntimeAssert.QuickPutEntry_bool("ER-001", false);
  MessagesDisabling.QuickPutEntry_int("ER-001", 0);
  MessagesCount.QuickPutEntry_int("ER-001", 0);
  MessagesLabel.QuickPutEntry_string("ER-001","Development Assetion - The program arrived to an unexpected set of conditions");</v>
      </c>
      <c r="B19" s="25" t="str">
        <f t="shared" si="1"/>
        <v xml:space="preserve">\subsection{ER-001}
\begin{itemize}
  \item Interface Message:\\[1em]\textbf{Development Assetion - The program arrived to an unexpected set of conditions}
  \item Development Assertion: NO
  \item Implementation Assertion: NO
  \item Runtime Assertion: NO
\end{itemize}
</v>
      </c>
      <c r="C19" s="1" t="s">
        <v>28</v>
      </c>
      <c r="D19" s="1" t="s">
        <v>3</v>
      </c>
      <c r="E19" s="1" t="s">
        <v>3</v>
      </c>
      <c r="F19" s="1" t="s">
        <v>3</v>
      </c>
      <c r="G19" s="3">
        <v>0</v>
      </c>
      <c r="H19" s="13" t="s">
        <v>309</v>
      </c>
    </row>
    <row r="20" spans="1:9" ht="15" customHeight="1" x14ac:dyDescent="0.25">
      <c r="A20" s="25" t="str">
        <f t="shared" si="0"/>
        <v xml:space="preserve">  MessagesDevelopmentAssert.QuickPutEntry_bool("ER-002", false);
  MessagesImplementationAssert.QuickPutEntry_bool("ER-002", false);
  MessagesRuntimeAssert.QuickPutEntry_bool("ER-002", false);
  MessagesDisabling.QuickPutEntry_int("ER-002", 0);
  MessagesCount.QuickPutEntry_int("ER-002", 0);
  MessagesLabel.QuickPutEntry_string("ER-002","Runtime Assertion - Something went wrong running the program. Terminating");</v>
      </c>
      <c r="B20" s="25" t="str">
        <f t="shared" si="1"/>
        <v xml:space="preserve">\subsection{ER-002}
\begin{itemize}
  \item Interface Message:\\[1em]\textbf{Runtime Assertion - Something went wrong running the program. Terminating}
  \item Development Assertion: NO
  \item Implementation Assertion: NO
  \item Runtime Assertion: NO
\end{itemize}
</v>
      </c>
      <c r="C20" s="1" t="s">
        <v>29</v>
      </c>
      <c r="D20" s="1" t="s">
        <v>3</v>
      </c>
      <c r="E20" s="1" t="s">
        <v>3</v>
      </c>
      <c r="F20" s="1" t="s">
        <v>3</v>
      </c>
      <c r="G20" s="3">
        <v>0</v>
      </c>
      <c r="H20" s="13" t="s">
        <v>310</v>
      </c>
    </row>
    <row r="21" spans="1:9" ht="15" customHeight="1" x14ac:dyDescent="0.25">
      <c r="A21" s="25" t="str">
        <f t="shared" si="0"/>
        <v xml:space="preserve">  MessagesDevelopmentAssert.QuickPutEntry_bool("ER-003", false);
  MessagesImplementationAssert.QuickPutEntry_bool("ER-003", false);
  MessagesRuntimeAssert.QuickPutEntry_bool("ER-003", true);
  MessagesDisabling.QuickPutEntry_int("ER-003", 0);
  MessagesCount.QuickPutEntry_int("ER-003", 0);
  MessagesLabel.QuickPutEntry_string("ER-003","File couldn't be opened");</v>
      </c>
      <c r="B21" s="25" t="str">
        <f t="shared" si="1"/>
        <v xml:space="preserve">\subsection{ER-003}
\begin{itemize}
  \item Interface Message:\\[1em]\textbf{File couldn't be opened}
  \item Development Assertion: NO
  \item Implementation Assertion: NO
  \item Runtime Assertion: YES
\end{itemize}
</v>
      </c>
      <c r="C21" s="1" t="s">
        <v>30</v>
      </c>
      <c r="D21" s="1" t="s">
        <v>3</v>
      </c>
      <c r="E21" s="1" t="s">
        <v>3</v>
      </c>
      <c r="F21" s="1" t="s">
        <v>2</v>
      </c>
      <c r="G21" s="3">
        <v>0</v>
      </c>
      <c r="H21" s="13" t="s">
        <v>31</v>
      </c>
    </row>
    <row r="22" spans="1:9" ht="15" customHeight="1" x14ac:dyDescent="0.25">
      <c r="A22" s="25" t="str">
        <f t="shared" si="0"/>
        <v xml:space="preserve">  MessagesDevelopmentAssert.QuickPutEntry_bool("ER-004", false);
  MessagesImplementationAssert.QuickPutEntry_bool("ER-004", false);
  MessagesRuntimeAssert.QuickPutEntry_bool("ER-004", false);
  MessagesDisabling.QuickPutEntry_int("ER-004", 0);
  MessagesCount.QuickPutEntry_int("ER-004", 0);
  MessagesLabel.QuickPutEntry_string("ER-004","File couldn't be properly closed");</v>
      </c>
      <c r="B22" s="25" t="str">
        <f t="shared" si="1"/>
        <v xml:space="preserve">\subsection{ER-004}
\begin{itemize}
  \item Interface Message:\\[1em]\textbf{File couldn't be properly closed}
  \item Development Assertion: NO
  \item Implementation Assertion: NO
  \item Runtime Assertion: NO
\end{itemize}
</v>
      </c>
      <c r="C22" s="1" t="s">
        <v>32</v>
      </c>
      <c r="D22" s="1" t="s">
        <v>3</v>
      </c>
      <c r="E22" s="1" t="s">
        <v>3</v>
      </c>
      <c r="F22" s="1" t="s">
        <v>3</v>
      </c>
      <c r="G22" s="3">
        <v>0</v>
      </c>
      <c r="H22" s="13" t="s">
        <v>148</v>
      </c>
    </row>
    <row r="23" spans="1:9" ht="15" customHeight="1" x14ac:dyDescent="0.25">
      <c r="A23" s="25" t="str">
        <f t="shared" si="0"/>
        <v xml:space="preserve">  MessagesDevelopmentAssert.QuickPutEntry_bool("ER-005", false);
  MessagesImplementationAssert.QuickPutEntry_bool("ER-005", false);
  MessagesRuntimeAssert.QuickPutEntry_bool("ER-005", true);
  MessagesDisabling.QuickPutEntry_int("ER-005", 0);
  MessagesCount.QuickPutEntry_int("ER-005", 0);
  MessagesLabel.QuickPutEntry_string("ER-005","Trying to get a new line from a non ready file");</v>
      </c>
      <c r="B23" s="25" t="str">
        <f t="shared" si="1"/>
        <v xml:space="preserve">\subsection{ER-005}
\begin{itemize}
  \item Interface Message:\\[1em]\textbf{Trying to get a new line from a non ready file}
  \item Development Assertion: NO
  \item Implementation Assertion: NO
  \item Runtime Assertion: YES
\end{itemize}
</v>
      </c>
      <c r="C23" s="1" t="s">
        <v>33</v>
      </c>
      <c r="D23" s="1" t="s">
        <v>3</v>
      </c>
      <c r="E23" s="1" t="s">
        <v>3</v>
      </c>
      <c r="F23" s="1" t="s">
        <v>2</v>
      </c>
      <c r="G23" s="3">
        <v>0</v>
      </c>
      <c r="H23" s="13" t="s">
        <v>34</v>
      </c>
    </row>
    <row r="24" spans="1:9" ht="15" customHeight="1" x14ac:dyDescent="0.25">
      <c r="A24" s="25" t="str">
        <f t="shared" si="0"/>
        <v xml:space="preserve">  MessagesDevelopmentAssert.QuickPutEntry_bool("ER-006", true);
  MessagesImplementationAssert.QuickPutEntry_bool("ER-006", false);
  MessagesRuntimeAssert.QuickPutEntry_bool("ER-006", false);
  MessagesDisabling.QuickPutEntry_int("ER-006", 0);
  MessagesCount.QuickPutEntry_int("ER-006", 0);
  MessagesLabel.QuickPutEntry_string("ER-006","Trying to get a new line from a file already at the end");</v>
      </c>
      <c r="B24" s="25" t="str">
        <f t="shared" si="1"/>
        <v xml:space="preserve">\subsection{ER-006}
\begin{itemize}
  \item Interface Message:\\[1em]\textbf{Trying to get a new line from a file already at the end}
  \item Development Assertion: YES
  \item Implementation Assertion: NO
  \item Runtime Assertion: NO
\end{itemize}
</v>
      </c>
      <c r="C24" s="1" t="s">
        <v>35</v>
      </c>
      <c r="D24" s="1" t="s">
        <v>2</v>
      </c>
      <c r="E24" s="1" t="s">
        <v>3</v>
      </c>
      <c r="F24" s="1" t="s">
        <v>3</v>
      </c>
      <c r="G24" s="3">
        <v>0</v>
      </c>
      <c r="H24" s="13" t="s">
        <v>36</v>
      </c>
    </row>
    <row r="25" spans="1:9" ht="15" customHeight="1" x14ac:dyDescent="0.25">
      <c r="A25" s="25" t="str">
        <f t="shared" si="0"/>
        <v xml:space="preserve">  MessagesDevelopmentAssert.QuickPutEntry_bool("ER-007", false);
  MessagesImplementationAssert.QuickPutEntry_bool("ER-007", false);
  MessagesRuntimeAssert.QuickPutEntry_bool("ER-007", true);
  MessagesDisabling.QuickPutEntry_int("ER-007", 0);
  MessagesCount.QuickPutEntry_int("ER-007", 0);
  MessagesLabel.QuickPutEntry_string("ER-007","Fail on getting a new line from nproc file");</v>
      </c>
      <c r="B25" s="25" t="str">
        <f t="shared" si="1"/>
        <v xml:space="preserve">\subsection{ER-007}
\begin{itemize}
  \item Interface Message:\\[1em]\textbf{Fail on getting a new line from nproc file}
  \item Development Assertion: NO
  \item Implementation Assertion: NO
  \item Runtime Assertion: YES
\end{itemize}
</v>
      </c>
      <c r="C25" s="1" t="s">
        <v>37</v>
      </c>
      <c r="D25" s="1" t="s">
        <v>3</v>
      </c>
      <c r="E25" s="1" t="s">
        <v>3</v>
      </c>
      <c r="F25" s="1" t="s">
        <v>2</v>
      </c>
      <c r="G25" s="3">
        <v>0</v>
      </c>
      <c r="H25" s="13" t="s">
        <v>38</v>
      </c>
    </row>
    <row r="26" spans="1:9" ht="15" customHeight="1" x14ac:dyDescent="0.25">
      <c r="A26" s="25" t="str">
        <f t="shared" si="0"/>
        <v xml:space="preserve">  MessagesDevelopmentAssert.QuickPutEntry_bool("ER-008", false);
  MessagesImplementationAssert.QuickPutEntry_bool("ER-008", false);
  MessagesRuntimeAssert.QuickPutEntry_bool("ER-008", true);
  MessagesDisabling.QuickPutEntry_int("ER-008", 0);
  MessagesCount.QuickPutEntry_int("ER-008", 0);
  MessagesLabel.QuickPutEntry_string("ER-008","Implementation Assertion - There is a problem with the implementation");</v>
      </c>
      <c r="B26" s="25" t="str">
        <f t="shared" si="1"/>
        <v xml:space="preserve">\subsection{ER-008}
\begin{itemize}
  \item Interface Message:\\[1em]\textbf{Implementation Assertion - There is a problem with the implementation}
  \item Development Assertion: NO
  \item Implementation Assertion: NO
  \item Runtime Assertion: YES
\end{itemize}
</v>
      </c>
      <c r="C26" s="1" t="s">
        <v>39</v>
      </c>
      <c r="D26" s="1" t="s">
        <v>3</v>
      </c>
      <c r="E26" s="1" t="s">
        <v>3</v>
      </c>
      <c r="F26" s="1" t="s">
        <v>2</v>
      </c>
      <c r="G26" s="3">
        <v>0</v>
      </c>
      <c r="H26" s="13" t="s">
        <v>311</v>
      </c>
    </row>
    <row r="27" spans="1:9" ht="15" customHeight="1" x14ac:dyDescent="0.25">
      <c r="A27" s="25" t="str">
        <f t="shared" si="0"/>
        <v xml:space="preserve">  MessagesDevelopmentAssert.QuickPutEntry_bool("ER-009", false);
  MessagesImplementationAssert.QuickPutEntry_bool("ER-009", false);
  MessagesRuntimeAssert.QuickPutEntry_bool("ER-009", false);
  MessagesDisabling.QuickPutEntry_int("ER-009", 0);
  MessagesCount.QuickPutEntry_int("ER-009", 0);
  MessagesLabel.QuickPutEntry_string("ER-009","Trying to close an unopened file");</v>
      </c>
      <c r="B27" s="25" t="str">
        <f t="shared" si="1"/>
        <v xml:space="preserve">\subsection{ER-009}
\begin{itemize}
  \item Interface Message:\\[1em]\textbf{Trying to close an unopened file}
  \item Development Assertion: NO
  \item Implementation Assertion: NO
  \item Runtime Assertion: NO
\end{itemize}
</v>
      </c>
      <c r="C27" s="1" t="s">
        <v>40</v>
      </c>
      <c r="D27" s="1" t="s">
        <v>3</v>
      </c>
      <c r="E27" s="1" t="s">
        <v>3</v>
      </c>
      <c r="F27" s="1" t="s">
        <v>3</v>
      </c>
      <c r="G27" s="3">
        <v>0</v>
      </c>
      <c r="H27" s="13" t="s">
        <v>41</v>
      </c>
    </row>
    <row r="28" spans="1:9" ht="15" customHeight="1" x14ac:dyDescent="0.25">
      <c r="A28" s="25" t="str">
        <f t="shared" si="0"/>
        <v xml:space="preserve">  MessagesDevelopmentAssert.QuickPutEntry_bool("ER-010", false);
  MessagesImplementationAssert.QuickPutEntry_bool("ER-010", false);
  MessagesRuntimeAssert.QuickPutEntry_bool("ER-010", true);
  MessagesDisabling.QuickPutEntry_int("ER-010", 0);
  MessagesCount.QuickPutEntry_int("ER-010", 0);
  MessagesLabel.QuickPutEntry_string("ER-010","Required file is empty");</v>
      </c>
      <c r="B28" s="25" t="str">
        <f t="shared" si="1"/>
        <v xml:space="preserve">\subsection{ER-010}
\begin{itemize}
  \item Interface Message:\\[1em]\textbf{Required file is empty}
  \item Development Assertion: NO
  \item Implementation Assertion: NO
  \item Runtime Assertion: YES
\end{itemize}
</v>
      </c>
      <c r="C28" s="1" t="s">
        <v>42</v>
      </c>
      <c r="D28" s="1" t="s">
        <v>3</v>
      </c>
      <c r="E28" s="1" t="s">
        <v>3</v>
      </c>
      <c r="F28" s="1" t="s">
        <v>2</v>
      </c>
      <c r="G28" s="3">
        <v>0</v>
      </c>
      <c r="H28" s="13" t="s">
        <v>149</v>
      </c>
    </row>
    <row r="29" spans="1:9" s="4" customFormat="1" ht="15" customHeight="1" x14ac:dyDescent="0.25">
      <c r="A29" s="24" t="str">
        <f t="shared" si="0"/>
        <v xml:space="preserve">  // Implementation Issues</v>
      </c>
      <c r="B29" s="24" t="str">
        <f t="shared" si="1"/>
        <v xml:space="preserve">\section{Implementation Issues}
</v>
      </c>
      <c r="C29" s="5" t="s">
        <v>0</v>
      </c>
      <c r="E29" s="5"/>
      <c r="F29" s="5"/>
      <c r="G29" s="8"/>
      <c r="H29" s="6" t="s">
        <v>43</v>
      </c>
      <c r="I29" s="5"/>
    </row>
    <row r="30" spans="1:9" ht="15" customHeight="1" x14ac:dyDescent="0.25">
      <c r="A30" s="25" t="str">
        <f t="shared" si="0"/>
        <v xml:space="preserve">  MessagesDevelopmentAssert.QuickPutEntry_bool("DV-001", false);
  MessagesImplementationAssert.QuickPutEntry_bool("DV-001", true);
  MessagesRuntimeAssert.QuickPutEntry_bool("DV-001", false);
  MessagesDisabling.QuickPutEntry_int("DV-001", 0);
  MessagesCount.QuickPutEntry_int("DV-001", 0);
  MessagesLabel.QuickPutEntry_string("DV-001","Missing implementation");</v>
      </c>
      <c r="B30" s="25" t="str">
        <f t="shared" si="1"/>
        <v xml:space="preserve">\subsection{DV-001}
\begin{itemize}
  \item Interface Message:\\[1em]\textbf{Missing implementation}
  \item Development Assertion: NO
  \item Implementation Assertion: YES
  \item Runtime Assertion: NO
\end{itemize}
</v>
      </c>
      <c r="C30" s="1" t="s">
        <v>44</v>
      </c>
      <c r="D30" s="1" t="s">
        <v>3</v>
      </c>
      <c r="E30" s="1" t="s">
        <v>2</v>
      </c>
      <c r="F30" s="1" t="s">
        <v>3</v>
      </c>
      <c r="G30" s="3">
        <v>0</v>
      </c>
      <c r="H30" s="13" t="s">
        <v>45</v>
      </c>
    </row>
    <row r="31" spans="1:9" ht="15" customHeight="1" x14ac:dyDescent="0.25">
      <c r="A31" s="25" t="str">
        <f t="shared" si="0"/>
        <v xml:space="preserve">  MessagesDevelopmentAssert.QuickPutEntry_bool("DV-002", false);
  MessagesImplementationAssert.QuickPutEntry_bool("DV-002", true);
  MessagesRuntimeAssert.QuickPutEntry_bool("DV-002", false);
  MessagesDisabling.QuickPutEntry_int("DV-002", 0);
  MessagesCount.QuickPutEntry_int("DV-002", 0);
  MessagesLabel.QuickPutEntry_string("DV-002","Trying to declare a previously declared setting");</v>
      </c>
      <c r="B31" s="25" t="str">
        <f t="shared" si="1"/>
        <v xml:space="preserve">\subsection{DV-002}
\begin{itemize}
  \item Interface Message:\\[1em]\textbf{Trying to declare a previously declared setting}
  \item Development Assertion: NO
  \item Implementation Assertion: YES
  \item Runtime Assertion: NO
\end{itemize}
</v>
      </c>
      <c r="C31" s="1" t="s">
        <v>46</v>
      </c>
      <c r="D31" s="1" t="s">
        <v>3</v>
      </c>
      <c r="E31" s="1" t="s">
        <v>2</v>
      </c>
      <c r="F31" s="1" t="s">
        <v>3</v>
      </c>
      <c r="G31" s="3">
        <v>0</v>
      </c>
      <c r="H31" s="13" t="s">
        <v>47</v>
      </c>
    </row>
    <row r="32" spans="1:9" ht="15" customHeight="1" x14ac:dyDescent="0.25">
      <c r="A32" s="25" t="str">
        <f t="shared" si="0"/>
        <v xml:space="preserve">  MessagesDevelopmentAssert.QuickPutEntry_bool("DV-003", false);
  MessagesImplementationAssert.QuickPutEntry_bool("DV-003", true);
  MessagesRuntimeAssert.QuickPutEntry_bool("DV-003", false);
  MessagesDisabling.QuickPutEntry_int("DV-003", 0);
  MessagesCount.QuickPutEntry_int("DV-003", 0);
  MessagesLabel.QuickPutEntry_string("DV-003","Trying to load a setting of an unsupported type");</v>
      </c>
      <c r="B32" s="25" t="str">
        <f t="shared" si="1"/>
        <v xml:space="preserve">\subsection{DV-003}
\begin{itemize}
  \item Interface Message:\\[1em]\textbf{Trying to load a setting of an unsupported type}
  \item Development Assertion: NO
  \item Implementation Assertion: YES
  \item Runtime Assertion: NO
\end{itemize}
</v>
      </c>
      <c r="C32" s="1" t="s">
        <v>48</v>
      </c>
      <c r="D32" s="1" t="s">
        <v>3</v>
      </c>
      <c r="E32" s="1" t="s">
        <v>2</v>
      </c>
      <c r="F32" s="1" t="s">
        <v>3</v>
      </c>
      <c r="G32" s="3">
        <v>0</v>
      </c>
      <c r="H32" s="13" t="s">
        <v>49</v>
      </c>
    </row>
    <row r="33" spans="1:9" ht="15" customHeight="1" x14ac:dyDescent="0.25">
      <c r="A33" s="25" t="str">
        <f t="shared" si="0"/>
        <v xml:space="preserve">  MessagesDevelopmentAssert.QuickPutEntry_bool("DV-005", false);
  MessagesImplementationAssert.QuickPutEntry_bool("DV-005", true);
  MessagesRuntimeAssert.QuickPutEntry_bool("DV-005", false);
  MessagesDisabling.QuickPutEntry_int("DV-005", 0);
  MessagesCount.QuickPutEntry_int("DV-005", 0);
  MessagesLabel.QuickPutEntry_string("DV-005","Trying to use an unsupported setting");</v>
      </c>
      <c r="B33" s="25" t="str">
        <f t="shared" si="1"/>
        <v xml:space="preserve">\subsection{DV-005}
\begin{itemize}
  \item Interface Message:\\[1em]\textbf{Trying to use an unsupported setting}
  \item Development Assertion: NO
  \item Implementation Assertion: YES
  \item Runtime Assertion: NO
\end{itemize}
</v>
      </c>
      <c r="C33" s="1" t="s">
        <v>50</v>
      </c>
      <c r="D33" s="1" t="s">
        <v>3</v>
      </c>
      <c r="E33" s="1" t="s">
        <v>2</v>
      </c>
      <c r="F33" s="1" t="s">
        <v>3</v>
      </c>
      <c r="G33" s="3">
        <v>0</v>
      </c>
      <c r="H33" s="13" t="s">
        <v>277</v>
      </c>
    </row>
    <row r="34" spans="1:9" ht="15" customHeight="1" x14ac:dyDescent="0.25">
      <c r="A34" s="25" t="str">
        <f t="shared" si="0"/>
        <v xml:space="preserve">  MessagesDevelopmentAssert.QuickPutEntry_bool("DV-006", false);
  MessagesImplementationAssert.QuickPutEntry_bool("DV-006", true);
  MessagesRuntimeAssert.QuickPutEntry_bool("DV-006", false);
  MessagesDisabling.QuickPutEntry_int("DV-006", 0);
  MessagesCount.QuickPutEntry_int("DV-006", 0);
  MessagesLabel.QuickPutEntry_string("DV-006","Trying to read an incorrect data type for the setting");</v>
      </c>
      <c r="B34" s="25" t="str">
        <f t="shared" si="1"/>
        <v xml:space="preserve">\subsection{DV-006}
\begin{itemize}
  \item Interface Message:\\[1em]\textbf{Trying to read an incorrect data type for the setting}
  \item Development Assertion: NO
  \item Implementation Assertion: YES
  \item Runtime Assertion: NO
\end{itemize}
</v>
      </c>
      <c r="C34" s="1" t="s">
        <v>51</v>
      </c>
      <c r="D34" s="1" t="s">
        <v>3</v>
      </c>
      <c r="E34" s="1" t="s">
        <v>2</v>
      </c>
      <c r="F34" s="1" t="s">
        <v>3</v>
      </c>
      <c r="G34" s="3">
        <v>0</v>
      </c>
      <c r="H34" s="13" t="s">
        <v>52</v>
      </c>
    </row>
    <row r="35" spans="1:9" ht="15" customHeight="1" x14ac:dyDescent="0.25">
      <c r="A35" s="25" t="str">
        <f t="shared" si="0"/>
        <v xml:space="preserve">  MessagesDevelopmentAssert.QuickPutEntry_bool("DV-007", false);
  MessagesImplementationAssert.QuickPutEntry_bool("DV-007", true);
  MessagesRuntimeAssert.QuickPutEntry_bool("DV-007", false);
  MessagesDisabling.QuickPutEntry_int("DV-007", 0);
  MessagesCount.QuickPutEntry_int("DV-007", 0);
  MessagesLabel.QuickPutEntry_string("DV-007","The setting count is different than the declared setting count on the HashEntry");</v>
      </c>
      <c r="B35" s="25" t="str">
        <f t="shared" si="1"/>
        <v xml:space="preserve">\subsection{DV-007}
\begin{itemize}
  \item Interface Message:\\[1em]\textbf{The setting count is different than the declared setting count on the HashEntry}
  \item Development Assertion: NO
  \item Implementation Assertion: YES
  \item Runtime Assertion: NO
\end{itemize}
</v>
      </c>
      <c r="C35" s="1" t="s">
        <v>53</v>
      </c>
      <c r="D35" s="1" t="s">
        <v>3</v>
      </c>
      <c r="E35" s="1" t="s">
        <v>2</v>
      </c>
      <c r="F35" s="1" t="s">
        <v>3</v>
      </c>
      <c r="G35" s="3">
        <v>0</v>
      </c>
      <c r="H35" s="13" t="s">
        <v>54</v>
      </c>
    </row>
    <row r="36" spans="1:9" ht="15" customHeight="1" x14ac:dyDescent="0.25">
      <c r="A36" s="25" t="str">
        <f t="shared" si="0"/>
        <v xml:space="preserve">  MessagesDevelopmentAssert.QuickPutEntry_bool("DV-012", false);
  MessagesImplementationAssert.QuickPutEntry_bool("DV-012", true);
  MessagesRuntimeAssert.QuickPutEntry_bool("DV-012", false);
  MessagesDisabling.QuickPutEntry_int("DV-012", 0);
  MessagesCount.QuickPutEntry_int("DV-012", 0);
  MessagesLabel.QuickPutEntry_string("DV-012","Trying a quick access of incorrect type");</v>
      </c>
      <c r="B36" s="25" t="str">
        <f t="shared" si="1"/>
        <v xml:space="preserve">\subsection{DV-012}
\begin{itemize}
  \item Interface Message:\\[1em]\textbf{Trying a quick access of incorrect type}
  \item Development Assertion: NO
  \item Implementation Assertion: YES
  \item Runtime Assertion: NO
\end{itemize}
</v>
      </c>
      <c r="C36" s="1" t="s">
        <v>55</v>
      </c>
      <c r="D36" s="1" t="s">
        <v>3</v>
      </c>
      <c r="E36" s="1" t="s">
        <v>2</v>
      </c>
      <c r="F36" s="1" t="s">
        <v>3</v>
      </c>
      <c r="G36" s="3">
        <v>0</v>
      </c>
      <c r="H36" s="13" t="s">
        <v>56</v>
      </c>
    </row>
    <row r="37" spans="1:9" ht="15" customHeight="1" x14ac:dyDescent="0.25">
      <c r="A37" s="25" t="str">
        <f t="shared" si="0"/>
        <v xml:space="preserve">  MessagesDevelopmentAssert.QuickPutEntry_bool("DV-013", false);
  MessagesImplementationAssert.QuickPutEntry_bool("DV-013", true);
  MessagesRuntimeAssert.QuickPutEntry_bool("DV-013", false);
  MessagesDisabling.QuickPutEntry_int("DV-013", 0);
  MessagesCount.QuickPutEntry_int("DV-013", 0);
  MessagesLabel.QuickPutEntry_string("DV-013","Hash Table Full");</v>
      </c>
      <c r="B37" s="25" t="str">
        <f t="shared" si="1"/>
        <v xml:space="preserve">\subsection{DV-013}
\begin{itemize}
  \item Interface Message:\\[1em]\textbf{Hash Table Full}
  \item Development Assertion: NO
  \item Implementation Assertion: YES
  \item Runtime Assertion: NO
\end{itemize}
</v>
      </c>
      <c r="C37" s="1" t="s">
        <v>57</v>
      </c>
      <c r="D37" s="1" t="s">
        <v>3</v>
      </c>
      <c r="E37" s="1" t="s">
        <v>2</v>
      </c>
      <c r="F37" s="1" t="s">
        <v>3</v>
      </c>
      <c r="G37" s="3">
        <v>0</v>
      </c>
      <c r="H37" s="13" t="s">
        <v>58</v>
      </c>
    </row>
    <row r="38" spans="1:9" ht="15" customHeight="1" x14ac:dyDescent="0.25">
      <c r="A38" s="25" t="str">
        <f t="shared" si="0"/>
        <v xml:space="preserve">  MessagesDevelopmentAssert.QuickPutEntry_bool("DV-015", false);
  MessagesImplementationAssert.QuickPutEntry_bool("DV-015", true);
  MessagesRuntimeAssert.QuickPutEntry_bool("DV-015", false);
  MessagesDisabling.QuickPutEntry_int("DV-015", 0);
  MessagesCount.QuickPutEntry_int("DV-015", 0);
  MessagesLabel.QuickPutEntry_string("DV-015","Setting declared but hasn't been initialized");</v>
      </c>
      <c r="B38" s="25" t="str">
        <f t="shared" si="1"/>
        <v xml:space="preserve">\subsection{DV-015}
\begin{itemize}
  \item Interface Message:\\[1em]\textbf{Setting declared but hasn't been initialized}
  \item Development Assertion: NO
  \item Implementation Assertion: YES
  \item Runtime Assertion: NO
\end{itemize}
</v>
      </c>
      <c r="C38" s="1" t="s">
        <v>59</v>
      </c>
      <c r="D38" s="1" t="s">
        <v>3</v>
      </c>
      <c r="E38" s="1" t="s">
        <v>2</v>
      </c>
      <c r="F38" s="1" t="s">
        <v>3</v>
      </c>
      <c r="G38" s="3">
        <v>0</v>
      </c>
      <c r="H38" s="13" t="s">
        <v>60</v>
      </c>
    </row>
    <row r="39" spans="1:9" ht="15" customHeight="1" x14ac:dyDescent="0.25">
      <c r="A39" s="25" t="str">
        <f t="shared" si="0"/>
        <v xml:space="preserve">  MessagesDevelopmentAssert.QuickPutEntry_bool("DV-017", false);
  MessagesImplementationAssert.QuickPutEntry_bool("DV-017", true);
  MessagesRuntimeAssert.QuickPutEntry_bool("DV-017", false);
  MessagesDisabling.QuickPutEntry_int("DV-017", 0);
  MessagesCount.QuickPutEntry_int("DV-017", 0);
  MessagesLabel.QuickPutEntry_string("DV-017","Discrepancy on neuron type on assignment");</v>
      </c>
      <c r="B39" s="25" t="str">
        <f t="shared" si="1"/>
        <v xml:space="preserve">\subsection{DV-017}
\begin{itemize}
  \item Interface Message:\\[1em]\textbf{Discrepancy on neuron type on assignment}
  \item Development Assertion: NO
  \item Implementation Assertion: YES
  \item Runtime Assertion: NO
\end{itemize}
</v>
      </c>
      <c r="C39" s="1" t="s">
        <v>61</v>
      </c>
      <c r="D39" s="1" t="s">
        <v>3</v>
      </c>
      <c r="E39" s="1" t="s">
        <v>2</v>
      </c>
      <c r="F39" s="1" t="s">
        <v>3</v>
      </c>
      <c r="G39" s="3">
        <v>0</v>
      </c>
      <c r="H39" s="13" t="s">
        <v>62</v>
      </c>
    </row>
    <row r="40" spans="1:9" ht="15" customHeight="1" x14ac:dyDescent="0.25">
      <c r="A40" s="25" t="str">
        <f t="shared" si="0"/>
        <v xml:space="preserve">  MessagesDevelopmentAssert.QuickPutEntry_bool("DV-018", false);
  MessagesImplementationAssert.QuickPutEntry_bool("DV-018", true);
  MessagesRuntimeAssert.QuickPutEntry_bool("DV-018", false);
  MessagesDisabling.QuickPutEntry_int("DV-018", 0);
  MessagesCount.QuickPutEntry_int("DV-018", 0);
  MessagesLabel.QuickPutEntry_string("DV-018","Trying to quick retrieve un-existent value");</v>
      </c>
      <c r="B40" s="25" t="str">
        <f t="shared" si="1"/>
        <v xml:space="preserve">\subsection{DV-018}
\begin{itemize}
  \item Interface Message:\\[1em]\textbf{Trying to quick retrieve un-existent value}
  \item Development Assertion: NO
  \item Implementation Assertion: YES
  \item Runtime Assertion: NO
\end{itemize}
</v>
      </c>
      <c r="C40" s="1" t="s">
        <v>63</v>
      </c>
      <c r="D40" s="1" t="s">
        <v>3</v>
      </c>
      <c r="E40" s="1" t="s">
        <v>2</v>
      </c>
      <c r="F40" s="1" t="s">
        <v>3</v>
      </c>
      <c r="G40" s="3">
        <v>0</v>
      </c>
      <c r="H40" s="13" t="s">
        <v>64</v>
      </c>
    </row>
    <row r="41" spans="1:9" ht="15" customHeight="1" x14ac:dyDescent="0.25">
      <c r="A41" s="25" t="str">
        <f t="shared" si="0"/>
        <v xml:space="preserve">  MessagesDevelopmentAssert.QuickPutEntry_bool("SD-030", false);
  MessagesImplementationAssert.QuickPutEntry_bool("SD-030", true);
  MessagesRuntimeAssert.QuickPutEntry_bool("SD-030", false);
  MessagesDisabling.QuickPutEntry_int("SD-030", 0);
  MessagesCount.QuickPutEntry_int("SD-030", 0);
  MessagesLabel.QuickPutEntry_string("SD-030","Internal simulation pointer corruption");</v>
      </c>
      <c r="B41" s="25" t="str">
        <f t="shared" si="1"/>
        <v xml:space="preserve">\subsection{SD-030}
\begin{itemize}
  \item Interface Message:\\[1em]\textbf{Internal simulation pointer corruption}
  \item Development Assertion: NO
  \item Implementation Assertion: YES
  \item Runtime Assertion: NO
\end{itemize}
</v>
      </c>
      <c r="C41" s="1" t="s">
        <v>116</v>
      </c>
      <c r="D41" s="1" t="s">
        <v>3</v>
      </c>
      <c r="E41" s="1" t="s">
        <v>2</v>
      </c>
      <c r="F41" s="1" t="s">
        <v>3</v>
      </c>
      <c r="G41" s="3">
        <v>0</v>
      </c>
      <c r="H41" s="13" t="s">
        <v>117</v>
      </c>
    </row>
    <row r="42" spans="1:9" ht="15" customHeight="1" x14ac:dyDescent="0.25">
      <c r="A42" s="25" t="str">
        <f t="shared" si="0"/>
        <v xml:space="preserve">  MessagesDevelopmentAssert.QuickPutEntry_bool("SD-031", false);
  MessagesImplementationAssert.QuickPutEntry_bool("SD-031", true);
  MessagesRuntimeAssert.QuickPutEntry_bool("SD-031", false);
  MessagesDisabling.QuickPutEntry_int("SD-031", 0);
  MessagesCount.QuickPutEntry_int("SD-031", 0);
  MessagesLabel.QuickPutEntry_string("SD-031","Trying to compare 2 identical MT cells");</v>
      </c>
      <c r="B42" s="25" t="str">
        <f t="shared" si="1"/>
        <v xml:space="preserve">\subsection{SD-031}
\begin{itemize}
  \item Interface Message:\\[1em]\textbf{Trying to compare 2 identical MT cells}
  \item Development Assertion: NO
  \item Implementation Assertion: YES
  \item Runtime Assertion: NO
\end{itemize}
</v>
      </c>
      <c r="C42" s="1" t="s">
        <v>118</v>
      </c>
      <c r="D42" s="1" t="s">
        <v>3</v>
      </c>
      <c r="E42" s="1" t="s">
        <v>2</v>
      </c>
      <c r="F42" s="1" t="s">
        <v>3</v>
      </c>
      <c r="G42" s="3">
        <v>0</v>
      </c>
      <c r="H42" s="13" t="s">
        <v>119</v>
      </c>
    </row>
    <row r="43" spans="1:9" ht="15" customHeight="1" x14ac:dyDescent="0.25">
      <c r="A43" s="25" t="str">
        <f t="shared" ref="A43" si="4">IF(C43&lt;&gt;"",IF(C43="#","  // "&amp;H43,
"  MessagesDevelopmentAssert.QuickPutEntry_bool("""&amp;C43&amp;""", "&amp;IF(D43="F","false",IF(D43="T","true","ERROR"))&amp;");"&amp;CHAR(10)&amp;
"  MessagesImplementationAssert.QuickPutEntry_bool("""&amp;C43&amp;""", "&amp;IF(E43="F","false",IF(E43="T","true","ERROR"))&amp;");"&amp;CHAR(10)&amp;
"  MessagesRuntimeAssert.QuickPutEntry_bool("""&amp;C43&amp;""", "&amp;IF(F43="F","false",IF(F43="T","true","ERROR"))&amp;");"&amp;CHAR(10)&amp;
"  MessagesDisabling.QuickPutEntry_int("""&amp;C43&amp;""", "&amp;G43&amp;");"&amp; CHAR(10) &amp;
"  MessagesCount.QuickPutEntry_int("""&amp;C43&amp;""", 0);"&amp;CHAR(10)&amp;
"  MessagesLabel.QuickPutEntry_string("""&amp;C43&amp;""","""&amp;H43&amp;""");"&amp;
IF(J43&lt;&gt;"",CHAR(10) &amp; "  MessagesText.QuickPutEntry_string("""&amp;C43&amp;""", """&amp;SUBSTITUTE(J43,"""","\""")&amp;""");","")
),"")</f>
        <v xml:space="preserve">  MessagesDevelopmentAssert.QuickPutEntry_bool("SD-032", false);
  MessagesImplementationAssert.QuickPutEntry_bool("SD-032", true);
  MessagesRuntimeAssert.QuickPutEntry_bool("SD-032", false);
  MessagesDisabling.QuickPutEntry_int("SD-032", 0);
  MessagesCount.QuickPutEntry_int("SD-032", 0);
  MessagesLabel.QuickPutEntry_string("SD-032","Empty pointer to function entry");</v>
      </c>
      <c r="B43" s="25" t="str">
        <f t="shared" ref="B43" si="5">IF(C43&lt;&gt;"",IF(C43="#","\section{"&amp;H43&amp;"}" &amp; CHAR(10),
"\subsection{" &amp; C43 &amp; "}" &amp; CHAR(10) &amp; "\begin{itemize}" &amp; CHAR(10) &amp;
"  \item Interface Message:\\[1em]\textbf{" &amp; SUBSTITUTE(H43,"_","\_") &amp; "}" &amp; CHAR(10) &amp;
"  \item Development Assertion: " &amp; IF(D43="F","NO",IF(D43="T","YES","ERROR")) &amp; CHAR(10) &amp;
"  \item Implementation Assertion: " &amp; IF(E43="F","NO",IF(E43="T","YES","ERROR")) &amp; CHAR(10) &amp;
"  \item Runtime Assertion: " &amp; IF(F43="F","NO",IF(F43="T","YES","ERROR")) &amp; CHAR(10) &amp;
IF(J43&lt;&gt;"","  \item Message Description:\\[1em]"&amp; SUBSTITUTE(J43,"_","\_")  &amp;CHAR(10),"") &amp;
"\end{itemize}"&amp;CHAR(10)),"")</f>
        <v xml:space="preserve">\subsection{SD-032}
\begin{itemize}
  \item Interface Message:\\[1em]\textbf{Empty pointer to function entry}
  \item Development Assertion: NO
  \item Implementation Assertion: YES
  \item Runtime Assertion: NO
\end{itemize}
</v>
      </c>
      <c r="C43" s="1" t="s">
        <v>286</v>
      </c>
      <c r="D43" s="1" t="s">
        <v>3</v>
      </c>
      <c r="E43" s="1" t="s">
        <v>2</v>
      </c>
      <c r="F43" s="1" t="s">
        <v>3</v>
      </c>
      <c r="G43" s="3">
        <v>0</v>
      </c>
      <c r="H43" s="13" t="s">
        <v>287</v>
      </c>
    </row>
    <row r="44" spans="1:9" s="4" customFormat="1" ht="15" customHeight="1" x14ac:dyDescent="0.25">
      <c r="A44" s="24" t="str">
        <f t="shared" si="0"/>
        <v xml:space="preserve">  // Reporting Issues</v>
      </c>
      <c r="B44" s="24" t="str">
        <f t="shared" si="1"/>
        <v xml:space="preserve">\section{Reporting Issues}
</v>
      </c>
      <c r="C44" s="5" t="s">
        <v>0</v>
      </c>
      <c r="E44" s="5"/>
      <c r="F44" s="5"/>
      <c r="G44" s="8"/>
      <c r="H44" s="6" t="s">
        <v>65</v>
      </c>
      <c r="I44" s="5"/>
    </row>
    <row r="45" spans="1:9" ht="15" customHeight="1" x14ac:dyDescent="0.25">
      <c r="A45" s="25" t="str">
        <f t="shared" si="0"/>
        <v xml:space="preserve">  MessagesDevelopmentAssert.QuickPutEntry_bool("RP-001", false);
  MessagesImplementationAssert.QuickPutEntry_bool("RP-001", true);
  MessagesRuntimeAssert.QuickPutEntry_bool("RP-001", false);
  MessagesDisabling.QuickPutEntry_int("RP-001", 0);
  MessagesCount.QuickPutEntry_int("RP-001", 0);
  MessagesLabel.QuickPutEntry_string("RP-001","Trying to open an already opened stream");</v>
      </c>
      <c r="B45" s="25" t="str">
        <f t="shared" si="1"/>
        <v xml:space="preserve">\subsection{RP-001}
\begin{itemize}
  \item Interface Message:\\[1em]\textbf{Trying to open an already opened stream}
  \item Development Assertion: NO
  \item Implementation Assertion: YES
  \item Runtime Assertion: NO
\end{itemize}
</v>
      </c>
      <c r="C45" s="1" t="s">
        <v>66</v>
      </c>
      <c r="D45" s="1" t="s">
        <v>3</v>
      </c>
      <c r="E45" s="1" t="s">
        <v>2</v>
      </c>
      <c r="F45" s="1" t="s">
        <v>3</v>
      </c>
      <c r="G45" s="3">
        <v>0</v>
      </c>
      <c r="H45" s="13" t="s">
        <v>67</v>
      </c>
      <c r="I45" s="3"/>
    </row>
    <row r="46" spans="1:9" ht="15" customHeight="1" x14ac:dyDescent="0.25">
      <c r="A46" s="25" t="str">
        <f t="shared" si="0"/>
        <v xml:space="preserve">  MessagesDevelopmentAssert.QuickPutEntry_bool("RP-002", false);
  MessagesImplementationAssert.QuickPutEntry_bool("RP-002", true);
  MessagesRuntimeAssert.QuickPutEntry_bool("RP-002", false);
  MessagesDisabling.QuickPutEntry_int("RP-002", 0);
  MessagesCount.QuickPutEntry_int("RP-002", 0);
  MessagesLabel.QuickPutEntry_string("RP-002","Trying to close a non opened stream");</v>
      </c>
      <c r="B46" s="25" t="str">
        <f t="shared" si="1"/>
        <v xml:space="preserve">\subsection{RP-002}
\begin{itemize}
  \item Interface Message:\\[1em]\textbf{Trying to close a non opened stream}
  \item Development Assertion: NO
  \item Implementation Assertion: YES
  \item Runtime Assertion: NO
\end{itemize}
</v>
      </c>
      <c r="C46" s="1" t="s">
        <v>68</v>
      </c>
      <c r="D46" s="1" t="s">
        <v>3</v>
      </c>
      <c r="E46" s="1" t="s">
        <v>2</v>
      </c>
      <c r="F46" s="1" t="s">
        <v>3</v>
      </c>
      <c r="G46" s="3">
        <v>0</v>
      </c>
      <c r="H46" s="13" t="s">
        <v>69</v>
      </c>
      <c r="I46" s="3"/>
    </row>
    <row r="47" spans="1:9" ht="15" customHeight="1" x14ac:dyDescent="0.25">
      <c r="A47" s="25" t="str">
        <f t="shared" ref="A47" si="6">IF(C47&lt;&gt;"",IF(C47="#","  // "&amp;H47,
"  MessagesDevelopmentAssert.QuickPutEntry_bool("""&amp;C47&amp;""", "&amp;IF(D47="F","false",IF(D47="T","true","ERROR"))&amp;");"&amp;CHAR(10)&amp;
"  MessagesImplementationAssert.QuickPutEntry_bool("""&amp;C47&amp;""", "&amp;IF(E47="F","false",IF(E47="T","true","ERROR"))&amp;");"&amp;CHAR(10)&amp;
"  MessagesRuntimeAssert.QuickPutEntry_bool("""&amp;C47&amp;""", "&amp;IF(F47="F","false",IF(F47="T","true","ERROR"))&amp;");"&amp;CHAR(10)&amp;
"  MessagesDisabling.QuickPutEntry_int("""&amp;C47&amp;""", "&amp;G47&amp;");"&amp; CHAR(10) &amp;
"  MessagesCount.QuickPutEntry_int("""&amp;C47&amp;""", 0);"&amp;CHAR(10)&amp;
"  MessagesLabel.QuickPutEntry_string("""&amp;C47&amp;""","""&amp;H47&amp;""");"&amp;
IF(J47&lt;&gt;"",CHAR(10) &amp; "  MessagesText.QuickPutEntry_string("""&amp;C47&amp;""", """&amp;SUBSTITUTE(J47,"""","\""")&amp;""");","")
),"")</f>
        <v xml:space="preserve">  MessagesDevelopmentAssert.QuickPutEntry_bool("RP-003", false);
  MessagesImplementationAssert.QuickPutEntry_bool("RP-003", true);
  MessagesRuntimeAssert.QuickPutEntry_bool("RP-003", false);
  MessagesDisabling.QuickPutEntry_int("RP-003", 0);
  MessagesCount.QuickPutEntry_int("RP-003", 0);
  MessagesLabel.QuickPutEntry_string("RP-003","Stream didn't oppened correctly");</v>
      </c>
      <c r="B47" s="25" t="str">
        <f t="shared" ref="B47" si="7">IF(C47&lt;&gt;"",IF(C47="#","\section{"&amp;H47&amp;"}" &amp; CHAR(10),
"\subsection{" &amp; C47 &amp; "}" &amp; CHAR(10) &amp; "\begin{itemize}" &amp; CHAR(10) &amp;
"  \item Interface Message:\\[1em]\textbf{" &amp; SUBSTITUTE(H47,"_","\_") &amp; "}" &amp; CHAR(10) &amp;
"  \item Development Assertion: " &amp; IF(D47="F","NO",IF(D47="T","YES","ERROR")) &amp; CHAR(10) &amp;
"  \item Implementation Assertion: " &amp; IF(E47="F","NO",IF(E47="T","YES","ERROR")) &amp; CHAR(10) &amp;
"  \item Runtime Assertion: " &amp; IF(F47="F","NO",IF(F47="T","YES","ERROR")) &amp; CHAR(10) &amp;
IF(J47&lt;&gt;"","  \item Message Description:\\[1em]"&amp; SUBSTITUTE(J47,"_","\_")  &amp;CHAR(10),"") &amp;
"\end{itemize}"&amp;CHAR(10)),"")</f>
        <v xml:space="preserve">\subsection{RP-003}
\begin{itemize}
  \item Interface Message:\\[1em]\textbf{Stream didn't oppened correctly}
  \item Development Assertion: NO
  \item Implementation Assertion: YES
  \item Runtime Assertion: NO
\end{itemize}
</v>
      </c>
      <c r="C47" s="1" t="s">
        <v>324</v>
      </c>
      <c r="D47" s="1" t="s">
        <v>3</v>
      </c>
      <c r="E47" s="1" t="s">
        <v>2</v>
      </c>
      <c r="F47" s="1" t="s">
        <v>3</v>
      </c>
      <c r="G47" s="3">
        <v>0</v>
      </c>
      <c r="H47" s="13" t="s">
        <v>325</v>
      </c>
      <c r="I47" s="3"/>
    </row>
    <row r="48" spans="1:9" s="4" customFormat="1" ht="15" customHeight="1" x14ac:dyDescent="0.25">
      <c r="A48" s="24" t="str">
        <f t="shared" si="0"/>
        <v xml:space="preserve">  // Simulator Interface Issues</v>
      </c>
      <c r="B48" s="24" t="str">
        <f t="shared" si="1"/>
        <v xml:space="preserve">\section{Simulator Interface Issues}
</v>
      </c>
      <c r="C48" s="5" t="s">
        <v>0</v>
      </c>
      <c r="E48" s="5"/>
      <c r="F48" s="5"/>
      <c r="G48" s="8"/>
      <c r="H48" s="6" t="s">
        <v>70</v>
      </c>
      <c r="I48" s="5"/>
    </row>
    <row r="49" spans="1:9" ht="15" customHeight="1" x14ac:dyDescent="0.25">
      <c r="A49" s="25" t="str">
        <f t="shared" si="0"/>
        <v xml:space="preserve">  MessagesDevelopmentAssert.QuickPutEntry_bool("SD-001", false);
  MessagesImplementationAssert.QuickPutEntry_bool("SD-001", false);
  MessagesRuntimeAssert.QuickPutEntry_bool("SD-001", true);
  MessagesDisabling.QuickPutEntry_int("SD-001", 0);
  MessagesCount.QuickPutEntry_int("SD-001", 0);
  MessagesLabel.QuickPutEntry_string("SD-001","Simple Simulator Not Initialized");</v>
      </c>
      <c r="B49" s="25" t="str">
        <f t="shared" si="1"/>
        <v xml:space="preserve">\subsection{SD-001}
\begin{itemize}
  \item Interface Message:\\[1em]\textbf{Simple Simulator Not Initialized}
  \item Development Assertion: NO
  \item Implementation Assertion: NO
  \item Runtime Assertion: YES
\end{itemize}
</v>
      </c>
      <c r="C49" s="1" t="s">
        <v>71</v>
      </c>
      <c r="D49" s="1" t="s">
        <v>3</v>
      </c>
      <c r="E49" s="1" t="s">
        <v>3</v>
      </c>
      <c r="F49" s="1" t="s">
        <v>2</v>
      </c>
      <c r="G49" s="3">
        <v>0</v>
      </c>
      <c r="H49" s="13" t="s">
        <v>72</v>
      </c>
    </row>
    <row r="50" spans="1:9" ht="15" customHeight="1" x14ac:dyDescent="0.25">
      <c r="A50" s="25" t="str">
        <f t="shared" si="0"/>
        <v xml:space="preserve">  MessagesDevelopmentAssert.QuickPutEntry_bool("SD-015", false);
  MessagesImplementationAssert.QuickPutEntry_bool("SD-015", false);
  MessagesRuntimeAssert.QuickPutEntry_bool("SD-015", true);
  MessagesDisabling.QuickPutEntry_int("SD-015", 0);
  MessagesCount.QuickPutEntry_int("SD-015", 0);
  MessagesLabel.QuickPutEntry_string("SD-015","No V1_Neuron created");</v>
      </c>
      <c r="B50" s="25" t="str">
        <f t="shared" si="1"/>
        <v xml:space="preserve">\subsection{SD-015}
\begin{itemize}
  \item Interface Message:\\[1em]\textbf{No V1\_Neuron created}
  \item Development Assertion: NO
  \item Implementation Assertion: NO
  \item Runtime Assertion: YES
\end{itemize}
</v>
      </c>
      <c r="C50" s="1" t="s">
        <v>95</v>
      </c>
      <c r="D50" s="1" t="s">
        <v>3</v>
      </c>
      <c r="E50" s="1" t="s">
        <v>3</v>
      </c>
      <c r="F50" s="1" t="s">
        <v>2</v>
      </c>
      <c r="G50" s="3">
        <v>0</v>
      </c>
      <c r="H50" s="13" t="s">
        <v>96</v>
      </c>
    </row>
    <row r="51" spans="1:9" ht="15" customHeight="1" x14ac:dyDescent="0.25">
      <c r="A51" s="25" t="str">
        <f t="shared" si="0"/>
        <v xml:space="preserve">  MessagesDevelopmentAssert.QuickPutEntry_bool("SD-016", false);
  MessagesImplementationAssert.QuickPutEntry_bool("SD-016", false);
  MessagesRuntimeAssert.QuickPutEntry_bool("SD-016", true);
  MessagesDisabling.QuickPutEntry_int("SD-016", 0);
  MessagesCount.QuickPutEntry_int("SD-016", 0);
  MessagesLabel.QuickPutEntry_string("SD-016","No MT_Neuron created");</v>
      </c>
      <c r="B51" s="25" t="str">
        <f t="shared" si="1"/>
        <v xml:space="preserve">\subsection{SD-016}
\begin{itemize}
  \item Interface Message:\\[1em]\textbf{No MT\_Neuron created}
  \item Development Assertion: NO
  \item Implementation Assertion: NO
  \item Runtime Assertion: YES
\end{itemize}
</v>
      </c>
      <c r="C51" s="1" t="s">
        <v>97</v>
      </c>
      <c r="D51" s="1" t="s">
        <v>3</v>
      </c>
      <c r="E51" s="1" t="s">
        <v>3</v>
      </c>
      <c r="F51" s="1" t="s">
        <v>2</v>
      </c>
      <c r="G51" s="3">
        <v>0</v>
      </c>
      <c r="H51" s="13" t="s">
        <v>98</v>
      </c>
    </row>
    <row r="52" spans="1:9" ht="15" customHeight="1" x14ac:dyDescent="0.25">
      <c r="A52" s="25" t="str">
        <f t="shared" si="0"/>
        <v xml:space="preserve">  MessagesDevelopmentAssert.QuickPutEntry_bool("SD-021", false);
  MessagesImplementationAssert.QuickPutEntry_bool("SD-021", false);
  MessagesRuntimeAssert.QuickPutEntry_bool("SD-021", true);
  MessagesDisabling.QuickPutEntry_int("SD-021", 0);
  MessagesCount.QuickPutEntry_int("SD-021", 0);
  MessagesLabel.QuickPutEntry_string("SD-021","Invalid timing for eternal excitation");</v>
      </c>
      <c r="B52" s="25" t="str">
        <f t="shared" si="1"/>
        <v xml:space="preserve">\subsection{SD-021}
\begin{itemize}
  \item Interface Message:\\[1em]\textbf{Invalid timing for eternal excitation}
  \item Development Assertion: NO
  \item Implementation Assertion: NO
  \item Runtime Assertion: YES
\end{itemize}
</v>
      </c>
      <c r="C52" s="1" t="s">
        <v>106</v>
      </c>
      <c r="D52" s="1" t="s">
        <v>3</v>
      </c>
      <c r="E52" s="1" t="s">
        <v>3</v>
      </c>
      <c r="F52" s="1" t="s">
        <v>2</v>
      </c>
      <c r="G52" s="3">
        <v>0</v>
      </c>
      <c r="H52" s="13" t="s">
        <v>107</v>
      </c>
    </row>
    <row r="53" spans="1:9" ht="15" customHeight="1" x14ac:dyDescent="0.25">
      <c r="A53" s="25" t="str">
        <f t="shared" si="0"/>
        <v xml:space="preserve">  MessagesDevelopmentAssert.QuickPutEntry_bool("SD-025", false);
  MessagesImplementationAssert.QuickPutEntry_bool("SD-025", false);
  MessagesRuntimeAssert.QuickPutEntry_bool("SD-025", true);
  MessagesDisabling.QuickPutEntry_int("SD-025", 0);
  MessagesCount.QuickPutEntry_int("SD-025", 0);
  MessagesLabel.QuickPutEntry_string("SD-025","Unordered external excitation phase insertion attempt");</v>
      </c>
      <c r="B53" s="25" t="str">
        <f t="shared" si="1"/>
        <v xml:space="preserve">\subsection{SD-025}
\begin{itemize}
  \item Interface Message:\\[1em]\textbf{Unordered external excitation phase insertion attempt}
  \item Development Assertion: NO
  \item Implementation Assertion: NO
  \item Runtime Assertion: YES
\end{itemize}
</v>
      </c>
      <c r="C53" s="1" t="s">
        <v>110</v>
      </c>
      <c r="D53" s="1" t="s">
        <v>3</v>
      </c>
      <c r="E53" s="1" t="s">
        <v>3</v>
      </c>
      <c r="F53" s="1" t="s">
        <v>2</v>
      </c>
      <c r="G53" s="3">
        <v>0</v>
      </c>
      <c r="H53" s="13" t="s">
        <v>111</v>
      </c>
    </row>
    <row r="54" spans="1:9" ht="15" customHeight="1" x14ac:dyDescent="0.25">
      <c r="A54" s="25" t="str">
        <f t="shared" si="0"/>
        <v xml:space="preserve">  MessagesDevelopmentAssert.QuickPutEntry_bool("SD-027", false);
  MessagesImplementationAssert.QuickPutEntry_bool("SD-027", false);
  MessagesRuntimeAssert.QuickPutEntry_bool("SD-027", true);
  MessagesDisabling.QuickPutEntry_int("SD-027", 0);
  MessagesCount.QuickPutEntry_int("SD-027", 0);
  MessagesLabel.QuickPutEntry_string("SD-027","First diffusion phase should be always zero");</v>
      </c>
      <c r="B54" s="25" t="str">
        <f t="shared" si="1"/>
        <v xml:space="preserve">\subsection{SD-027}
\begin{itemize}
  \item Interface Message:\\[1em]\textbf{First diffusion phase should be always zero}
  \item Development Assertion: NO
  \item Implementation Assertion: NO
  \item Runtime Assertion: YES
\end{itemize}
</v>
      </c>
      <c r="C54" s="1" t="s">
        <v>112</v>
      </c>
      <c r="D54" s="1" t="s">
        <v>3</v>
      </c>
      <c r="E54" s="1" t="s">
        <v>3</v>
      </c>
      <c r="F54" s="1" t="s">
        <v>2</v>
      </c>
      <c r="G54" s="3">
        <v>0</v>
      </c>
      <c r="H54" s="13" t="s">
        <v>113</v>
      </c>
    </row>
    <row r="55" spans="1:9" ht="15" customHeight="1" x14ac:dyDescent="0.25">
      <c r="A55" s="25" t="str">
        <f t="shared" si="0"/>
        <v xml:space="preserve">  MessagesDevelopmentAssert.QuickPutEntry_bool("SD-028", false);
  MessagesImplementationAssert.QuickPutEntry_bool("SD-028", false);
  MessagesRuntimeAssert.QuickPutEntry_bool("SD-028", true);
  MessagesDisabling.QuickPutEntry_int("SD-028", 0);
  MessagesCount.QuickPutEntry_int("SD-028", 0);
  MessagesLabel.QuickPutEntry_string("SD-028","The number of steps for simulate needs to be at least 1");</v>
      </c>
      <c r="B55" s="25" t="str">
        <f t="shared" si="1"/>
        <v xml:space="preserve">\subsection{SD-028}
\begin{itemize}
  \item Interface Message:\\[1em]\textbf{The number of steps for simulate needs to be at least 1}
  \item Development Assertion: NO
  \item Implementation Assertion: NO
  \item Runtime Assertion: YES
\end{itemize}
</v>
      </c>
      <c r="C55" s="1" t="s">
        <v>114</v>
      </c>
      <c r="D55" s="1" t="s">
        <v>3</v>
      </c>
      <c r="E55" s="1" t="s">
        <v>3</v>
      </c>
      <c r="F55" s="1" t="s">
        <v>2</v>
      </c>
      <c r="G55" s="3">
        <v>0</v>
      </c>
      <c r="H55" s="13" t="s">
        <v>115</v>
      </c>
    </row>
    <row r="56" spans="1:9" ht="15" customHeight="1" x14ac:dyDescent="0.25">
      <c r="A56" s="25" t="str">
        <f t="shared" si="0"/>
        <v xml:space="preserve">  MessagesDevelopmentAssert.QuickPutEntry_bool("SD-033", false);
  MessagesImplementationAssert.QuickPutEntry_bool("SD-033", false);
  MessagesRuntimeAssert.QuickPutEntry_bool("SD-033", true);
  MessagesDisabling.QuickPutEntry_int("SD-033", 0);
  MessagesCount.QuickPutEntry_int("SD-033", 0);
  MessagesLabel.QuickPutEntry_string("SD-033","Trying to access an invalid activation TimeStep");</v>
      </c>
      <c r="B56" s="25" t="str">
        <f t="shared" si="1"/>
        <v xml:space="preserve">\subsection{SD-033}
\begin{itemize}
  \item Interface Message:\\[1em]\textbf{Trying to access an invalid activation TimeStep}
  \item Development Assertion: NO
  \item Implementation Assertion: NO
  \item Runtime Assertion: YES
\end{itemize}
</v>
      </c>
      <c r="C56" s="1" t="s">
        <v>120</v>
      </c>
      <c r="D56" s="1" t="s">
        <v>3</v>
      </c>
      <c r="E56" s="1" t="s">
        <v>3</v>
      </c>
      <c r="F56" s="1" t="s">
        <v>2</v>
      </c>
      <c r="G56" s="3">
        <v>0</v>
      </c>
      <c r="H56" s="13" t="s">
        <v>121</v>
      </c>
    </row>
    <row r="57" spans="1:9" ht="15" customHeight="1" x14ac:dyDescent="0.25">
      <c r="A57" s="25" t="str">
        <f t="shared" si="0"/>
        <v xml:space="preserve">  MessagesDevelopmentAssert.QuickPutEntry_bool("SD-036", false);
  MessagesImplementationAssert.QuickPutEntry_bool("SD-036", false);
  MessagesRuntimeAssert.QuickPutEntry_bool("SD-036", true);
  MessagesDisabling.QuickPutEntry_int("SD-036", 0);
  MessagesCount.QuickPutEntry_int("SD-036", 0);
  MessagesLabel.QuickPutEntry_string("SD-036","Setting not recognized");</v>
      </c>
      <c r="B57" s="25" t="str">
        <f t="shared" si="1"/>
        <v xml:space="preserve">\subsection{SD-036}
\begin{itemize}
  \item Interface Message:\\[1em]\textbf{Setting not recognized}
  \item Development Assertion: NO
  \item Implementation Assertion: NO
  \item Runtime Assertion: YES
\end{itemize}
</v>
      </c>
      <c r="C57" s="1" t="s">
        <v>144</v>
      </c>
      <c r="D57" s="1" t="s">
        <v>3</v>
      </c>
      <c r="E57" s="1" t="s">
        <v>3</v>
      </c>
      <c r="F57" s="1" t="s">
        <v>2</v>
      </c>
      <c r="G57" s="3">
        <v>0</v>
      </c>
      <c r="H57" s="13" t="s">
        <v>145</v>
      </c>
    </row>
    <row r="58" spans="1:9" ht="15" customHeight="1" x14ac:dyDescent="0.25">
      <c r="A58" s="25" t="str">
        <f t="shared" si="0"/>
        <v xml:space="preserve">  MessagesDevelopmentAssert.QuickPutEntry_bool("SD-037", false);
  MessagesImplementationAssert.QuickPutEntry_bool("SD-037", false);
  MessagesRuntimeAssert.QuickPutEntry_bool("SD-037", true);
  MessagesDisabling.QuickPutEntry_int("SD-037", 0);
  MessagesCount.QuickPutEntry_int("SD-037", 0);
  MessagesLabel.QuickPutEntry_string("SD-037","Setting required");</v>
      </c>
      <c r="B58" s="25" t="str">
        <f t="shared" si="1"/>
        <v xml:space="preserve">\subsection{SD-037}
\begin{itemize}
  \item Interface Message:\\[1em]\textbf{Setting required}
  \item Development Assertion: NO
  \item Implementation Assertion: NO
  \item Runtime Assertion: YES
\end{itemize}
</v>
      </c>
      <c r="C58" s="1" t="s">
        <v>146</v>
      </c>
      <c r="D58" s="1" t="s">
        <v>3</v>
      </c>
      <c r="E58" s="1" t="s">
        <v>3</v>
      </c>
      <c r="F58" s="1" t="s">
        <v>2</v>
      </c>
      <c r="G58" s="3">
        <v>0</v>
      </c>
      <c r="H58" s="13" t="s">
        <v>147</v>
      </c>
    </row>
    <row r="59" spans="1:9" s="4" customFormat="1" ht="15" customHeight="1" x14ac:dyDescent="0.25">
      <c r="A59" s="24" t="str">
        <f t="shared" si="0"/>
        <v xml:space="preserve">  // Warnings</v>
      </c>
      <c r="B59" s="24" t="str">
        <f t="shared" si="1"/>
        <v xml:space="preserve">\section{Warnings}
</v>
      </c>
      <c r="C59" s="5" t="s">
        <v>0</v>
      </c>
      <c r="E59" s="5"/>
      <c r="F59" s="5"/>
      <c r="G59" s="8"/>
      <c r="H59" s="6" t="s">
        <v>126</v>
      </c>
      <c r="I59" s="5"/>
    </row>
    <row r="60" spans="1:9" ht="15" customHeight="1" x14ac:dyDescent="0.25">
      <c r="A60" s="25" t="str">
        <f t="shared" si="0"/>
        <v xml:space="preserve">  MessagesDevelopmentAssert.QuickPutEntry_bool("WN-006", false);
  MessagesImplementationAssert.QuickPutEntry_bool("WN-006", false);
  MessagesRuntimeAssert.QuickPutEntry_bool("WN-006", false);
  MessagesDisabling.QuickPutEntry_int("WN-006", 1);
  MessagesCount.QuickPutEntry_int("WN-006", 0);
  MessagesLabel.QuickPutEntry_string("WN-006","There are undocumented calculations in use");</v>
      </c>
      <c r="B60" s="25" t="str">
        <f t="shared" si="1"/>
        <v xml:space="preserve">\subsection{WN-006}
\begin{itemize}
  \item Interface Message:\\[1em]\textbf{There are undocumented calculations in use}
  \item Development Assertion: NO
  \item Implementation Assertion: NO
  \item Runtime Assertion: NO
\end{itemize}
</v>
      </c>
      <c r="C60" s="1" t="s">
        <v>143</v>
      </c>
      <c r="D60" s="1" t="s">
        <v>3</v>
      </c>
      <c r="E60" s="1" t="s">
        <v>3</v>
      </c>
      <c r="F60" s="1" t="s">
        <v>3</v>
      </c>
      <c r="G60" s="3">
        <v>1</v>
      </c>
      <c r="H60" s="14" t="s">
        <v>279</v>
      </c>
    </row>
    <row r="61" spans="1:9" s="48" customFormat="1" ht="15" customHeight="1" x14ac:dyDescent="0.25">
      <c r="A61" s="44"/>
      <c r="B61" s="44"/>
      <c r="C61" s="45"/>
      <c r="D61" s="45"/>
      <c r="E61" s="45"/>
      <c r="F61" s="45"/>
      <c r="G61" s="49"/>
      <c r="H61" s="50"/>
      <c r="I61" s="45"/>
    </row>
    <row r="62" spans="1:9" s="4" customFormat="1" ht="15" customHeight="1" x14ac:dyDescent="0.25">
      <c r="A62" s="24" t="str">
        <f t="shared" si="0"/>
        <v xml:space="preserve">  // Deprecated Messages</v>
      </c>
      <c r="B62" s="24" t="str">
        <f t="shared" si="1"/>
        <v xml:space="preserve">\section{Deprecated Messages}
</v>
      </c>
      <c r="C62" s="5" t="s">
        <v>0</v>
      </c>
      <c r="E62" s="5"/>
      <c r="F62" s="5"/>
      <c r="G62" s="8"/>
      <c r="H62" s="6" t="s">
        <v>284</v>
      </c>
      <c r="I62" s="5"/>
    </row>
    <row r="63" spans="1:9" ht="15" customHeight="1" x14ac:dyDescent="0.25">
      <c r="A63" s="25" t="str">
        <f t="shared" si="0"/>
        <v xml:space="preserve">  MessagesDevelopmentAssert.QuickPutEntry_bool("WN-001", false);
  MessagesImplementationAssert.QuickPutEntry_bool("WN-001", false);
  MessagesRuntimeAssert.QuickPutEntry_bool("WN-001", false);
  MessagesDisabling.QuickPutEntry_int("WN-001", 1);
  MessagesCount.QuickPutEntry_int("WN-001", 0);
  MessagesLabel.QuickPutEntry_string("WN-001","Undocumented RFSize Calculation");</v>
      </c>
      <c r="B63" s="25" t="str">
        <f t="shared" si="1"/>
        <v xml:space="preserve">\subsection{WN-001}
\begin{itemize}
  \item Interface Message:\\[1em]\textbf{Undocumented RFSize Calculation}
  \item Development Assertion: NO
  \item Implementation Assertion: NO
  \item Runtime Assertion: NO
\end{itemize}
</v>
      </c>
      <c r="C63" s="1" t="s">
        <v>127</v>
      </c>
      <c r="D63" s="1" t="s">
        <v>3</v>
      </c>
      <c r="E63" s="1" t="s">
        <v>3</v>
      </c>
      <c r="F63" s="1" t="s">
        <v>3</v>
      </c>
      <c r="G63" s="3">
        <v>1</v>
      </c>
      <c r="H63" s="13" t="s">
        <v>128</v>
      </c>
      <c r="I63" s="1" t="s">
        <v>138</v>
      </c>
    </row>
    <row r="64" spans="1:9" ht="15" customHeight="1" x14ac:dyDescent="0.25">
      <c r="A64" s="25" t="str">
        <f t="shared" si="0"/>
        <v xml:space="preserve">  MessagesDevelopmentAssert.QuickPutEntry_bool("WN-002", false);
  MessagesImplementationAssert.QuickPutEntry_bool("WN-002", false);
  MessagesRuntimeAssert.QuickPutEntry_bool("WN-002", false);
  MessagesDisabling.QuickPutEntry_int("WN-002", 1);
  MessagesCount.QuickPutEntry_int("WN-002", 0);
  MessagesLabel.QuickPutEntry_string("WN-002","Undocumented Sigma Calculation");</v>
      </c>
      <c r="B64" s="25" t="str">
        <f t="shared" si="1"/>
        <v xml:space="preserve">\subsection{WN-002}
\begin{itemize}
  \item Interface Message:\\[1em]\textbf{Undocumented Sigma Calculation}
  \item Development Assertion: NO
  \item Implementation Assertion: NO
  \item Runtime Assertion: NO
\end{itemize}
</v>
      </c>
      <c r="C64" s="1" t="s">
        <v>129</v>
      </c>
      <c r="D64" s="1" t="s">
        <v>3</v>
      </c>
      <c r="E64" s="1" t="s">
        <v>3</v>
      </c>
      <c r="F64" s="1" t="s">
        <v>3</v>
      </c>
      <c r="G64" s="3">
        <v>1</v>
      </c>
      <c r="H64" s="13" t="s">
        <v>130</v>
      </c>
      <c r="I64" s="1" t="s">
        <v>138</v>
      </c>
    </row>
    <row r="65" spans="1:9" ht="15" customHeight="1" x14ac:dyDescent="0.25">
      <c r="A65" s="25" t="str">
        <f t="shared" si="0"/>
        <v xml:space="preserve">  MessagesDevelopmentAssert.QuickPutEntry_bool("WN-003", false);
  MessagesImplementationAssert.QuickPutEntry_bool("WN-003", false);
  MessagesRuntimeAssert.QuickPutEntry_bool("WN-003", false);
  MessagesDisabling.QuickPutEntry_int("WN-003", 1);
  MessagesCount.QuickPutEntry_int("WN-003", 0);
  MessagesLabel.QuickPutEntry_string("WN-003","Undocumented AdaptedWeithg Calculation");</v>
      </c>
      <c r="B65" s="25" t="str">
        <f t="shared" si="1"/>
        <v xml:space="preserve">\subsection{WN-003}
\begin{itemize}
  \item Interface Message:\\[1em]\textbf{Undocumented AdaptedWeithg Calculation}
  \item Development Assertion: NO
  \item Implementation Assertion: NO
  \item Runtime Assertion: NO
\end{itemize}
</v>
      </c>
      <c r="C65" s="1" t="s">
        <v>131</v>
      </c>
      <c r="D65" s="1" t="s">
        <v>3</v>
      </c>
      <c r="E65" s="1" t="s">
        <v>3</v>
      </c>
      <c r="F65" s="1" t="s">
        <v>3</v>
      </c>
      <c r="G65" s="3">
        <v>1</v>
      </c>
      <c r="H65" s="13" t="s">
        <v>132</v>
      </c>
      <c r="I65" s="1" t="s">
        <v>138</v>
      </c>
    </row>
    <row r="66" spans="1:9" ht="15" customHeight="1" x14ac:dyDescent="0.25">
      <c r="A66" s="25" t="str">
        <f t="shared" si="0"/>
        <v xml:space="preserve">  MessagesDevelopmentAssert.QuickPutEntry_bool("WN-004", false);
  MessagesImplementationAssert.QuickPutEntry_bool("WN-004", false);
  MessagesRuntimeAssert.QuickPutEntry_bool("WN-004", false);
  MessagesDisabling.QuickPutEntry_int("WN-004", 1);
  MessagesCount.QuickPutEntry_int("WN-004", 0);
  MessagesLabel.QuickPutEntry_string("WN-004","Undocumented AdaptedWeight correction");</v>
      </c>
      <c r="B66" s="25" t="str">
        <f t="shared" si="1"/>
        <v xml:space="preserve">\subsection{WN-004}
\begin{itemize}
  \item Interface Message:\\[1em]\textbf{Undocumented AdaptedWeight correction}
  \item Development Assertion: NO
  \item Implementation Assertion: NO
  \item Runtime Assertion: NO
\end{itemize}
</v>
      </c>
      <c r="C66" s="1" t="s">
        <v>133</v>
      </c>
      <c r="D66" s="1" t="s">
        <v>3</v>
      </c>
      <c r="E66" s="1" t="s">
        <v>3</v>
      </c>
      <c r="F66" s="1" t="s">
        <v>3</v>
      </c>
      <c r="G66" s="3">
        <v>1</v>
      </c>
      <c r="H66" s="13" t="s">
        <v>134</v>
      </c>
      <c r="I66" s="1" t="s">
        <v>138</v>
      </c>
    </row>
    <row r="67" spans="1:9" ht="15" customHeight="1" x14ac:dyDescent="0.25">
      <c r="A67" s="25" t="str">
        <f t="shared" si="0"/>
        <v xml:space="preserve">  MessagesDevelopmentAssert.QuickPutEntry_bool("WN-005", false);
  MessagesImplementationAssert.QuickPutEntry_bool("WN-005", false);
  MessagesRuntimeAssert.QuickPutEntry_bool("WN-005", false);
  MessagesDisabling.QuickPutEntry_int("WN-005", 1);
  MessagesCount.QuickPutEntry_int("WN-005", 0);
  MessagesLabel.QuickPutEntry_string("WN-005","Undocumented BaseWeight correction");</v>
      </c>
      <c r="B67" s="25" t="str">
        <f t="shared" si="1"/>
        <v xml:space="preserve">\subsection{WN-005}
\begin{itemize}
  \item Interface Message:\\[1em]\textbf{Undocumented BaseWeight correction}
  \item Development Assertion: NO
  \item Implementation Assertion: NO
  \item Runtime Assertion: NO
\end{itemize}
</v>
      </c>
      <c r="C67" s="1" t="s">
        <v>135</v>
      </c>
      <c r="D67" s="1" t="s">
        <v>3</v>
      </c>
      <c r="E67" s="1" t="s">
        <v>3</v>
      </c>
      <c r="F67" s="1" t="s">
        <v>3</v>
      </c>
      <c r="G67" s="3">
        <v>1</v>
      </c>
      <c r="H67" s="13" t="s">
        <v>136</v>
      </c>
      <c r="I67" s="1" t="s">
        <v>138</v>
      </c>
    </row>
    <row r="68" spans="1:9" ht="15" customHeight="1" x14ac:dyDescent="0.25">
      <c r="A68" s="25" t="str">
        <f t="shared" si="0"/>
        <v xml:space="preserve">  MessagesDevelopmentAssert.QuickPutEntry_bool("SD-023", false);
  MessagesImplementationAssert.QuickPutEntry_bool("SD-023", false);
  MessagesRuntimeAssert.QuickPutEntry_bool("SD-023", true);
  MessagesDisabling.QuickPutEntry_int("SD-023", 0);
  MessagesCount.QuickPutEntry_int("SD-023", 0);
  MessagesLabel.QuickPutEntry_string("SD-023","Invalid Parameter");</v>
      </c>
      <c r="B68" s="25" t="str">
        <f t="shared" si="1"/>
        <v xml:space="preserve">\subsection{SD-023}
\begin{itemize}
  \item Interface Message:\\[1em]\textbf{Invalid Parameter}
  \item Development Assertion: NO
  \item Implementation Assertion: NO
  \item Runtime Assertion: YES
\end{itemize}
</v>
      </c>
      <c r="C68" s="1" t="s">
        <v>108</v>
      </c>
      <c r="D68" s="1" t="s">
        <v>3</v>
      </c>
      <c r="E68" s="1" t="s">
        <v>3</v>
      </c>
      <c r="F68" s="1" t="s">
        <v>2</v>
      </c>
      <c r="G68" s="3">
        <v>0</v>
      </c>
      <c r="H68" s="13" t="s">
        <v>109</v>
      </c>
      <c r="I68" s="1" t="s">
        <v>138</v>
      </c>
    </row>
    <row r="69" spans="1:9" s="19" customFormat="1" ht="15" customHeight="1" x14ac:dyDescent="0.25">
      <c r="A69" s="27" t="str">
        <f t="shared" si="0"/>
        <v xml:space="preserve">  MessagesDevelopmentAssert.QuickPutEntry_bool("SD-020", false);
  MessagesImplementationAssert.QuickPutEntry_bool("SD-020", false);
  MessagesRuntimeAssert.QuickPutEntry_bool("SD-020", true);
  MessagesDisabling.QuickPutEntry_int("SD-020", 0);
  MessagesCount.QuickPutEntry_int("SD-020", 0);
  MessagesLabel.QuickPutEntry_string("SD-020","V1V1_default_weight is required for calculation");</v>
      </c>
      <c r="B69" s="27" t="str">
        <f t="shared" si="1"/>
        <v xml:space="preserve">\subsection{SD-020}
\begin{itemize}
  \item Interface Message:\\[1em]\textbf{V1V1\_default\_weight is required for calculation}
  \item Development Assertion: NO
  \item Implementation Assertion: NO
  \item Runtime Assertion: YES
\end{itemize}
</v>
      </c>
      <c r="C69" s="20" t="s">
        <v>104</v>
      </c>
      <c r="D69" s="20" t="s">
        <v>3</v>
      </c>
      <c r="E69" s="20" t="s">
        <v>3</v>
      </c>
      <c r="F69" s="20" t="s">
        <v>2</v>
      </c>
      <c r="G69" s="21">
        <v>0</v>
      </c>
      <c r="H69" s="22" t="s">
        <v>105</v>
      </c>
      <c r="I69" s="20" t="s">
        <v>138</v>
      </c>
    </row>
    <row r="70" spans="1:9" s="19" customFormat="1" ht="15" customHeight="1" x14ac:dyDescent="0.25">
      <c r="A70" s="27" t="str">
        <f t="shared" si="0"/>
        <v xml:space="preserve">  MessagesDevelopmentAssert.QuickPutEntry_bool("SD-010", false);
  MessagesImplementationAssert.QuickPutEntry_bool("SD-010", false);
  MessagesRuntimeAssert.QuickPutEntry_bool("SD-010", true);
  MessagesDisabling.QuickPutEntry_int("SD-010", 0);
  MessagesCount.QuickPutEntry_int("SD-010", 0);
  MessagesLabel.QuickPutEntry_string("SD-010","V1MT_sigma is required for calculation");</v>
      </c>
      <c r="B70" s="27" t="str">
        <f t="shared" si="1"/>
        <v xml:space="preserve">\subsection{SD-010}
\begin{itemize}
  \item Interface Message:\\[1em]\textbf{V1MT\_sigma is required for calculation}
  \item Development Assertion: NO
  \item Implementation Assertion: NO
  \item Runtime Assertion: YES
\end{itemize}
</v>
      </c>
      <c r="C70" s="20" t="s">
        <v>87</v>
      </c>
      <c r="D70" s="20" t="s">
        <v>3</v>
      </c>
      <c r="E70" s="20" t="s">
        <v>3</v>
      </c>
      <c r="F70" s="20" t="s">
        <v>2</v>
      </c>
      <c r="G70" s="21">
        <v>0</v>
      </c>
      <c r="H70" s="22" t="s">
        <v>88</v>
      </c>
      <c r="I70" s="20" t="s">
        <v>138</v>
      </c>
    </row>
    <row r="71" spans="1:9" s="19" customFormat="1" ht="15" customHeight="1" x14ac:dyDescent="0.25">
      <c r="A71" s="27" t="str">
        <f t="shared" si="0"/>
        <v xml:space="preserve">  MessagesDevelopmentAssert.QuickPutEntry_bool("SD-011", false);
  MessagesImplementationAssert.QuickPutEntry_bool("SD-011", false);
  MessagesRuntimeAssert.QuickPutEntry_bool("SD-011", true);
  MessagesDisabling.QuickPutEntry_int("SD-011", 0);
  MessagesCount.QuickPutEntry_int("SD-011", 0);
  MessagesLabel.QuickPutEntry_string("SD-011","V1MT_amplification is required for calculation");</v>
      </c>
      <c r="B71" s="27" t="str">
        <f t="shared" si="1"/>
        <v xml:space="preserve">\subsection{SD-011}
\begin{itemize}
  \item Interface Message:\\[1em]\textbf{V1MT\_amplification is required for calculation}
  \item Development Assertion: NO
  \item Implementation Assertion: NO
  \item Runtime Assertion: YES
\end{itemize}
</v>
      </c>
      <c r="C71" s="20" t="s">
        <v>89</v>
      </c>
      <c r="D71" s="20" t="s">
        <v>3</v>
      </c>
      <c r="E71" s="20" t="s">
        <v>3</v>
      </c>
      <c r="F71" s="20" t="s">
        <v>2</v>
      </c>
      <c r="G71" s="21">
        <v>0</v>
      </c>
      <c r="H71" s="22" t="s">
        <v>90</v>
      </c>
      <c r="I71" s="20" t="s">
        <v>138</v>
      </c>
    </row>
    <row r="72" spans="1:9" s="19" customFormat="1" ht="15" customHeight="1" x14ac:dyDescent="0.25">
      <c r="A72" s="27" t="str">
        <f t="shared" ref="A72:A135" si="8">IF(C72&lt;&gt;"",IF(C72="#","  // "&amp;H72,
"  MessagesDevelopmentAssert.QuickPutEntry_bool("""&amp;C72&amp;""", "&amp;IF(D72="F","false",IF(D72="T","true","ERROR"))&amp;");"&amp;CHAR(10)&amp;
"  MessagesImplementationAssert.QuickPutEntry_bool("""&amp;C72&amp;""", "&amp;IF(E72="F","false",IF(E72="T","true","ERROR"))&amp;");"&amp;CHAR(10)&amp;
"  MessagesRuntimeAssert.QuickPutEntry_bool("""&amp;C72&amp;""", "&amp;IF(F72="F","false",IF(F72="T","true","ERROR"))&amp;");"&amp;CHAR(10)&amp;
"  MessagesDisabling.QuickPutEntry_int("""&amp;C72&amp;""", "&amp;G72&amp;");"&amp; CHAR(10) &amp;
"  MessagesCount.QuickPutEntry_int("""&amp;C72&amp;""", 0);"&amp;CHAR(10)&amp;
"  MessagesLabel.QuickPutEntry_string("""&amp;C72&amp;""","""&amp;H72&amp;""");"&amp;
IF(J72&lt;&gt;"",CHAR(10) &amp; "  MessagesText.QuickPutEntry_string("""&amp;C72&amp;""", """&amp;SUBSTITUTE(J72,"""","\""")&amp;""");","")
),"")</f>
        <v xml:space="preserve">  MessagesDevelopmentAssert.QuickPutEntry_bool("SD-012", false);
  MessagesImplementationAssert.QuickPutEntry_bool("SD-012", false);
  MessagesRuntimeAssert.QuickPutEntry_bool("SD-012", true);
  MessagesDisabling.QuickPutEntry_int("SD-012", 0);
  MessagesCount.QuickPutEntry_int("SD-012", 0);
  MessagesLabel.QuickPutEntry_string("SD-012","V1MT_modulation is required for calculation");</v>
      </c>
      <c r="B72" s="27" t="str">
        <f t="shared" ref="B72:B135" si="9">IF(C72&lt;&gt;"",IF(C72="#","\section{"&amp;H72&amp;"}" &amp; CHAR(10),
"\subsection{" &amp; C72 &amp; "}" &amp; CHAR(10) &amp; "\begin{itemize}" &amp; CHAR(10) &amp;
"  \item Interface Message:\\[1em]\textbf{" &amp; SUBSTITUTE(H72,"_","\_") &amp; "}" &amp; CHAR(10) &amp;
"  \item Development Assertion: " &amp; IF(D72="F","NO",IF(D72="T","YES","ERROR")) &amp; CHAR(10) &amp;
"  \item Implementation Assertion: " &amp; IF(E72="F","NO",IF(E72="T","YES","ERROR")) &amp; CHAR(10) &amp;
"  \item Runtime Assertion: " &amp; IF(F72="F","NO",IF(F72="T","YES","ERROR")) &amp; CHAR(10) &amp;
IF(J72&lt;&gt;"","  \item Message Description:\\[1em]"&amp; SUBSTITUTE(J72,"_","\_")  &amp;CHAR(10),"") &amp;
"\end{itemize}"&amp;CHAR(10)),"")</f>
        <v xml:space="preserve">\subsection{SD-012}
\begin{itemize}
  \item Interface Message:\\[1em]\textbf{V1MT\_modulation is required for calculation}
  \item Development Assertion: NO
  \item Implementation Assertion: NO
  \item Runtime Assertion: YES
\end{itemize}
</v>
      </c>
      <c r="C72" s="20" t="s">
        <v>91</v>
      </c>
      <c r="D72" s="20" t="s">
        <v>3</v>
      </c>
      <c r="E72" s="20" t="s">
        <v>3</v>
      </c>
      <c r="F72" s="20" t="s">
        <v>2</v>
      </c>
      <c r="G72" s="21">
        <v>0</v>
      </c>
      <c r="H72" s="22" t="s">
        <v>92</v>
      </c>
      <c r="I72" s="20" t="s">
        <v>138</v>
      </c>
    </row>
    <row r="73" spans="1:9" s="19" customFormat="1" ht="15" customHeight="1" x14ac:dyDescent="0.25">
      <c r="A73" s="27" t="str">
        <f t="shared" si="8"/>
        <v xml:space="preserve">  MessagesDevelopmentAssert.QuickPutEntry_bool("SD-013", false);
  MessagesImplementationAssert.QuickPutEntry_bool("SD-013", false);
  MessagesRuntimeAssert.QuickPutEntry_bool("SD-013", true);
  MessagesDisabling.QuickPutEntry_int("SD-013", 0);
  MessagesCount.QuickPutEntry_int("SD-013", 0);
  MessagesLabel.QuickPutEntry_string("SD-013","V1MT_aperture is required for calculation");</v>
      </c>
      <c r="B73" s="27" t="str">
        <f t="shared" si="9"/>
        <v xml:space="preserve">\subsection{SD-013}
\begin{itemize}
  \item Interface Message:\\[1em]\textbf{V1MT\_aperture is required for calculation}
  \item Development Assertion: NO
  \item Implementation Assertion: NO
  \item Runtime Assertion: YES
\end{itemize}
</v>
      </c>
      <c r="C73" s="20" t="s">
        <v>93</v>
      </c>
      <c r="D73" s="20" t="s">
        <v>3</v>
      </c>
      <c r="E73" s="20" t="s">
        <v>3</v>
      </c>
      <c r="F73" s="20" t="s">
        <v>2</v>
      </c>
      <c r="G73" s="21">
        <v>0</v>
      </c>
      <c r="H73" s="22" t="s">
        <v>94</v>
      </c>
      <c r="I73" s="20" t="s">
        <v>138</v>
      </c>
    </row>
    <row r="74" spans="1:9" s="19" customFormat="1" ht="15" customHeight="1" x14ac:dyDescent="0.25">
      <c r="A74" s="27" t="str">
        <f t="shared" si="8"/>
        <v xml:space="preserve">  MessagesDevelopmentAssert.QuickPutEntry_bool("SD-004", false);
  MessagesImplementationAssert.QuickPutEntry_bool("SD-004", false);
  MessagesRuntimeAssert.QuickPutEntry_bool("SD-004", true);
  MessagesDisabling.QuickPutEntry_int("SD-004", 0);
  MessagesCount.QuickPutEntry_int("SD-004", 0);
  MessagesLabel.QuickPutEntry_string("SD-004","V1_D001_excitatory_factor is required for calculation");</v>
      </c>
      <c r="B74" s="27" t="str">
        <f t="shared" si="9"/>
        <v xml:space="preserve">\subsection{SD-004}
\begin{itemize}
  \item Interface Message:\\[1em]\textbf{V1\_D001\_excitatory\_factor is required for calculation}
  \item Development Assertion: NO
  \item Implementation Assertion: NO
  \item Runtime Assertion: YES
\end{itemize}
</v>
      </c>
      <c r="C74" s="20" t="s">
        <v>77</v>
      </c>
      <c r="D74" s="20" t="s">
        <v>3</v>
      </c>
      <c r="E74" s="20" t="s">
        <v>3</v>
      </c>
      <c r="F74" s="20" t="s">
        <v>2</v>
      </c>
      <c r="G74" s="21">
        <v>0</v>
      </c>
      <c r="H74" s="22" t="s">
        <v>78</v>
      </c>
      <c r="I74" s="20" t="s">
        <v>138</v>
      </c>
    </row>
    <row r="75" spans="1:9" s="19" customFormat="1" ht="15" customHeight="1" x14ac:dyDescent="0.25">
      <c r="A75" s="27" t="str">
        <f t="shared" si="8"/>
        <v xml:space="preserve">  MessagesDevelopmentAssert.QuickPutEntry_bool("SD-005", false);
  MessagesImplementationAssert.QuickPutEntry_bool("SD-005", false);
  MessagesRuntimeAssert.QuickPutEntry_bool("SD-005", true);
  MessagesDisabling.QuickPutEntry_int("SD-005", 0);
  MessagesCount.QuickPutEntry_int("SD-005", 0);
  MessagesLabel.QuickPutEntry_string("SD-005","V1_D001_conductance_leak is required for calculation");</v>
      </c>
      <c r="B75" s="27" t="str">
        <f t="shared" si="9"/>
        <v xml:space="preserve">\subsection{SD-005}
\begin{itemize}
  \item Interface Message:\\[1em]\textbf{V1\_D001\_conductance\_leak is required for calculation}
  \item Development Assertion: NO
  \item Implementation Assertion: NO
  \item Runtime Assertion: YES
\end{itemize}
</v>
      </c>
      <c r="C75" s="20" t="s">
        <v>79</v>
      </c>
      <c r="D75" s="20" t="s">
        <v>3</v>
      </c>
      <c r="E75" s="20" t="s">
        <v>3</v>
      </c>
      <c r="F75" s="20" t="s">
        <v>2</v>
      </c>
      <c r="G75" s="21">
        <v>0</v>
      </c>
      <c r="H75" s="22" t="s">
        <v>80</v>
      </c>
      <c r="I75" s="20" t="s">
        <v>138</v>
      </c>
    </row>
    <row r="76" spans="1:9" s="19" customFormat="1" ht="15" customHeight="1" x14ac:dyDescent="0.25">
      <c r="A76" s="27" t="str">
        <f t="shared" si="8"/>
        <v xml:space="preserve">  MessagesDevelopmentAssert.QuickPutEntry_bool("SD-006", false);
  MessagesImplementationAssert.QuickPutEntry_bool("SD-006", false);
  MessagesRuntimeAssert.QuickPutEntry_bool("SD-006", true);
  MessagesDisabling.QuickPutEntry_int("SD-006", 0);
  MessagesCount.QuickPutEntry_int("SD-006", 0);
  MessagesLabel.QuickPutEntry_string("SD-006","V1_D001_inhibition_factor is required for calculation");</v>
      </c>
      <c r="B76" s="27" t="str">
        <f t="shared" si="9"/>
        <v xml:space="preserve">\subsection{SD-006}
\begin{itemize}
  \item Interface Message:\\[1em]\textbf{V1\_D001\_inhibition\_factor is required for calculation}
  \item Development Assertion: NO
  \item Implementation Assertion: NO
  \item Runtime Assertion: YES
\end{itemize}
</v>
      </c>
      <c r="C76" s="20" t="s">
        <v>81</v>
      </c>
      <c r="D76" s="20" t="s">
        <v>3</v>
      </c>
      <c r="E76" s="20" t="s">
        <v>3</v>
      </c>
      <c r="F76" s="20" t="s">
        <v>2</v>
      </c>
      <c r="G76" s="21">
        <v>0</v>
      </c>
      <c r="H76" s="22" t="s">
        <v>82</v>
      </c>
      <c r="I76" s="20" t="s">
        <v>138</v>
      </c>
    </row>
    <row r="77" spans="1:9" s="15" customFormat="1" ht="15" customHeight="1" x14ac:dyDescent="0.25">
      <c r="A77" s="26" t="str">
        <f t="shared" si="8"/>
        <v xml:space="preserve">  MessagesDevelopmentAssert.QuickPutEntry_bool("SD-019", false);
  MessagesImplementationAssert.QuickPutEntry_bool("SD-019", false);
  MessagesRuntimeAssert.QuickPutEntry_bool("SD-019", true);
  MessagesDisabling.QuickPutEntry_int("SD-019", 0);
  MessagesCount.QuickPutEntry_int("SD-019", 0);
  MessagesLabel.QuickPutEntry_string("SD-019","V1V1_base_weight_source not recognized");</v>
      </c>
      <c r="B77" s="26" t="str">
        <f t="shared" si="9"/>
        <v xml:space="preserve">\subsection{SD-019}
\begin{itemize}
  \item Interface Message:\\[1em]\textbf{V1V1\_base\_weight\_source not recognized}
  \item Development Assertion: NO
  \item Implementation Assertion: NO
  \item Runtime Assertion: YES
\end{itemize}
</v>
      </c>
      <c r="C77" s="16" t="s">
        <v>102</v>
      </c>
      <c r="D77" s="16" t="s">
        <v>3</v>
      </c>
      <c r="E77" s="16" t="s">
        <v>3</v>
      </c>
      <c r="F77" s="16" t="s">
        <v>2</v>
      </c>
      <c r="G77" s="17">
        <v>0</v>
      </c>
      <c r="H77" s="18" t="s">
        <v>103</v>
      </c>
      <c r="I77" s="16" t="s">
        <v>138</v>
      </c>
    </row>
    <row r="78" spans="1:9" s="15" customFormat="1" ht="15" customHeight="1" x14ac:dyDescent="0.25">
      <c r="A78" s="26" t="str">
        <f t="shared" si="8"/>
        <v xml:space="preserve">  MessagesDevelopmentAssert.QuickPutEntry_bool("SD-002", false);
  MessagesImplementationAssert.QuickPutEntry_bool("SD-002", false);
  MessagesRuntimeAssert.QuickPutEntry_bool("SD-002", true);
  MessagesDisabling.QuickPutEntry_int("SD-002", 0);
  MessagesCount.QuickPutEntry_int("SD-002", 0);
  MessagesLabel.QuickPutEntry_string("SD-002","V1V1_weight_adaptation not recognized");</v>
      </c>
      <c r="B78" s="26" t="str">
        <f t="shared" si="9"/>
        <v xml:space="preserve">\subsection{SD-002}
\begin{itemize}
  \item Interface Message:\\[1em]\textbf{V1V1\_weight\_adaptation not recognized}
  \item Development Assertion: NO
  \item Implementation Assertion: NO
  \item Runtime Assertion: YES
\end{itemize}
</v>
      </c>
      <c r="C78" s="16" t="s">
        <v>73</v>
      </c>
      <c r="D78" s="16" t="s">
        <v>3</v>
      </c>
      <c r="E78" s="16" t="s">
        <v>3</v>
      </c>
      <c r="F78" s="16" t="s">
        <v>2</v>
      </c>
      <c r="G78" s="17">
        <v>0</v>
      </c>
      <c r="H78" s="18" t="s">
        <v>74</v>
      </c>
      <c r="I78" s="16" t="s">
        <v>138</v>
      </c>
    </row>
    <row r="79" spans="1:9" s="15" customFormat="1" ht="15" customHeight="1" x14ac:dyDescent="0.25">
      <c r="A79" s="26" t="str">
        <f t="shared" si="8"/>
        <v xml:space="preserve">  MessagesDevelopmentAssert.QuickPutEntry_bool("SD-009", false);
  MessagesImplementationAssert.QuickPutEntry_bool("SD-009", false);
  MessagesRuntimeAssert.QuickPutEntry_bool("SD-009", true);
  MessagesDisabling.QuickPutEntry_int("SD-009", 0);
  MessagesCount.QuickPutEntry_int("SD-009", 0);
  MessagesLabel.QuickPutEntry_string("SD-009","V1_dac_method not recognized");</v>
      </c>
      <c r="B79" s="26" t="str">
        <f t="shared" si="9"/>
        <v xml:space="preserve">\subsection{SD-009}
\begin{itemize}
  \item Interface Message:\\[1em]\textbf{V1\_dac\_method not recognized}
  \item Development Assertion: NO
  \item Implementation Assertion: NO
  \item Runtime Assertion: YES
\end{itemize}
</v>
      </c>
      <c r="C79" s="16" t="s">
        <v>85</v>
      </c>
      <c r="D79" s="16" t="s">
        <v>3</v>
      </c>
      <c r="E79" s="16" t="s">
        <v>3</v>
      </c>
      <c r="F79" s="16" t="s">
        <v>2</v>
      </c>
      <c r="G79" s="17">
        <v>0</v>
      </c>
      <c r="H79" s="18" t="s">
        <v>86</v>
      </c>
      <c r="I79" s="16" t="s">
        <v>138</v>
      </c>
    </row>
    <row r="80" spans="1:9" s="15" customFormat="1" ht="15" customHeight="1" x14ac:dyDescent="0.25">
      <c r="A80" s="26" t="str">
        <f t="shared" si="8"/>
        <v xml:space="preserve">  MessagesDevelopmentAssert.QuickPutEntry_bool("SD-034", false);
  MessagesImplementationAssert.QuickPutEntry_bool("SD-034", false);
  MessagesRuntimeAssert.QuickPutEntry_bool("SD-034", true);
  MessagesDisabling.QuickPutEntry_int("SD-034", 0);
  MessagesCount.QuickPutEntry_int("SD-034", 0);
  MessagesLabel.QuickPutEntry_string("SD-034","V1_act_method not recognized");</v>
      </c>
      <c r="B80" s="26" t="str">
        <f t="shared" si="9"/>
        <v xml:space="preserve">\subsection{SD-034}
\begin{itemize}
  \item Interface Message:\\[1em]\textbf{V1\_act\_method not recognized}
  \item Development Assertion: NO
  \item Implementation Assertion: NO
  \item Runtime Assertion: YES
\end{itemize}
</v>
      </c>
      <c r="C80" s="16" t="s">
        <v>122</v>
      </c>
      <c r="D80" s="16" t="s">
        <v>3</v>
      </c>
      <c r="E80" s="16" t="s">
        <v>3</v>
      </c>
      <c r="F80" s="16" t="s">
        <v>2</v>
      </c>
      <c r="G80" s="17">
        <v>0</v>
      </c>
      <c r="H80" s="18" t="s">
        <v>123</v>
      </c>
      <c r="I80" s="16" t="s">
        <v>138</v>
      </c>
    </row>
    <row r="81" spans="1:9" s="15" customFormat="1" ht="15" customHeight="1" x14ac:dyDescent="0.25">
      <c r="A81" s="26" t="str">
        <f t="shared" si="8"/>
        <v xml:space="preserve">  MessagesDevelopmentAssert.QuickPutEntry_bool("SD-035", false);
  MessagesImplementationAssert.QuickPutEntry_bool("SD-035", false);
  MessagesRuntimeAssert.QuickPutEntry_bool("SD-035", true);
  MessagesDisabling.QuickPutEntry_int("SD-035", 0);
  MessagesCount.QuickPutEntry_int("SD-035", 0);
  MessagesLabel.QuickPutEntry_string("SD-035","V1_external_excitation_method not recognized");</v>
      </c>
      <c r="B81" s="26" t="str">
        <f t="shared" si="9"/>
        <v xml:space="preserve">\subsection{SD-035}
\begin{itemize}
  \item Interface Message:\\[1em]\textbf{V1\_external\_excitation\_method not recognized}
  \item Development Assertion: NO
  \item Implementation Assertion: NO
  \item Runtime Assertion: YES
\end{itemize}
</v>
      </c>
      <c r="C81" s="16" t="s">
        <v>124</v>
      </c>
      <c r="D81" s="16" t="s">
        <v>3</v>
      </c>
      <c r="E81" s="16" t="s">
        <v>3</v>
      </c>
      <c r="F81" s="16" t="s">
        <v>2</v>
      </c>
      <c r="G81" s="17">
        <v>0</v>
      </c>
      <c r="H81" s="18" t="s">
        <v>125</v>
      </c>
      <c r="I81" s="16" t="s">
        <v>138</v>
      </c>
    </row>
    <row r="82" spans="1:9" s="15" customFormat="1" ht="15" customHeight="1" x14ac:dyDescent="0.25">
      <c r="A82" s="26" t="str">
        <f t="shared" si="8"/>
        <v xml:space="preserve">  MessagesDevelopmentAssert.QuickPutEntry_bool("SD-003", false);
  MessagesImplementationAssert.QuickPutEntry_bool("SD-003", false);
  MessagesRuntimeAssert.QuickPutEntry_bool("SD-003", true);
  MessagesDisabling.QuickPutEntry_int("SD-003", 0);
  MessagesCount.QuickPutEntry_int("SD-003", 0);
  MessagesLabel.QuickPutEntry_string("SD-003","MT_act_method not recognized");</v>
      </c>
      <c r="B82" s="26" t="str">
        <f t="shared" si="9"/>
        <v xml:space="preserve">\subsection{SD-003}
\begin{itemize}
  \item Interface Message:\\[1em]\textbf{MT\_act\_method not recognized}
  \item Development Assertion: NO
  \item Implementation Assertion: NO
  \item Runtime Assertion: YES
\end{itemize}
</v>
      </c>
      <c r="C82" s="16" t="s">
        <v>75</v>
      </c>
      <c r="D82" s="16" t="s">
        <v>3</v>
      </c>
      <c r="E82" s="16" t="s">
        <v>3</v>
      </c>
      <c r="F82" s="16" t="s">
        <v>2</v>
      </c>
      <c r="G82" s="17">
        <v>0</v>
      </c>
      <c r="H82" s="18" t="s">
        <v>76</v>
      </c>
      <c r="I82" s="16" t="s">
        <v>138</v>
      </c>
    </row>
    <row r="83" spans="1:9" s="15" customFormat="1" ht="15" customHeight="1" x14ac:dyDescent="0.25">
      <c r="A83" s="26" t="str">
        <f t="shared" si="8"/>
        <v xml:space="preserve">  MessagesDevelopmentAssert.QuickPutEntry_bool("SD-007", false);
  MessagesImplementationAssert.QuickPutEntry_bool("SD-007", false);
  MessagesRuntimeAssert.QuickPutEntry_bool("SD-007", true);
  MessagesDisabling.QuickPutEntry_int("SD-007", 0);
  MessagesCount.QuickPutEntry_int("SD-007", 0);
  MessagesLabel.QuickPutEntry_string("SD-007","V1MT_connection_method not recognized");</v>
      </c>
      <c r="B83" s="26" t="str">
        <f t="shared" si="9"/>
        <v xml:space="preserve">\subsection{SD-007}
\begin{itemize}
  \item Interface Message:\\[1em]\textbf{V1MT\_connection\_method not recognized}
  \item Development Assertion: NO
  \item Implementation Assertion: NO
  \item Runtime Assertion: YES
\end{itemize}
</v>
      </c>
      <c r="C83" s="16" t="s">
        <v>83</v>
      </c>
      <c r="D83" s="16" t="s">
        <v>3</v>
      </c>
      <c r="E83" s="16" t="s">
        <v>3</v>
      </c>
      <c r="F83" s="16" t="s">
        <v>2</v>
      </c>
      <c r="G83" s="17">
        <v>0</v>
      </c>
      <c r="H83" s="18" t="s">
        <v>84</v>
      </c>
      <c r="I83" s="16" t="s">
        <v>138</v>
      </c>
    </row>
    <row r="84" spans="1:9" s="15" customFormat="1" ht="15" customHeight="1" x14ac:dyDescent="0.25">
      <c r="A84" s="26" t="str">
        <f t="shared" si="8"/>
        <v xml:space="preserve">  MessagesDevelopmentAssert.QuickPutEntry_bool("SD-017", false);
  MessagesImplementationAssert.QuickPutEntry_bool("SD-017", false);
  MessagesRuntimeAssert.QuickPutEntry_bool("SD-017", true);
  MessagesDisabling.QuickPutEntry_int("SD-017", 0);
  MessagesCount.QuickPutEntry_int("SD-017", 0);
  MessagesLabel.QuickPutEntry_string("SD-017","MT_act_method not recognized");</v>
      </c>
      <c r="B84" s="26" t="str">
        <f t="shared" si="9"/>
        <v xml:space="preserve">\subsection{SD-017}
\begin{itemize}
  \item Interface Message:\\[1em]\textbf{MT\_act\_method not recognized}
  \item Development Assertion: NO
  \item Implementation Assertion: NO
  \item Runtime Assertion: YES
\end{itemize}
</v>
      </c>
      <c r="C84" s="16" t="s">
        <v>99</v>
      </c>
      <c r="D84" s="16" t="s">
        <v>3</v>
      </c>
      <c r="E84" s="16" t="s">
        <v>3</v>
      </c>
      <c r="F84" s="16" t="s">
        <v>2</v>
      </c>
      <c r="G84" s="17">
        <v>0</v>
      </c>
      <c r="H84" s="18" t="s">
        <v>76</v>
      </c>
      <c r="I84" s="16" t="s">
        <v>138</v>
      </c>
    </row>
    <row r="85" spans="1:9" s="15" customFormat="1" ht="15" customHeight="1" x14ac:dyDescent="0.25">
      <c r="A85" s="26" t="str">
        <f t="shared" si="8"/>
        <v xml:space="preserve">  MessagesDevelopmentAssert.QuickPutEntry_bool("SD-018", false);
  MessagesImplementationAssert.QuickPutEntry_bool("SD-018", false);
  MessagesRuntimeAssert.QuickPutEntry_bool("SD-018", true);
  MessagesDisabling.QuickPutEntry_int("SD-018", 0);
  MessagesCount.QuickPutEntry_int("SD-018", 0);
  MessagesLabel.QuickPutEntry_string("SD-018","MT_dac_method not recognized");</v>
      </c>
      <c r="B85" s="26" t="str">
        <f t="shared" si="9"/>
        <v xml:space="preserve">\subsection{SD-018}
\begin{itemize}
  \item Interface Message:\\[1em]\textbf{MT\_dac\_method not recognized}
  \item Development Assertion: NO
  \item Implementation Assertion: NO
  \item Runtime Assertion: YES
\end{itemize}
</v>
      </c>
      <c r="C85" s="16" t="s">
        <v>100</v>
      </c>
      <c r="D85" s="16" t="s">
        <v>3</v>
      </c>
      <c r="E85" s="16" t="s">
        <v>3</v>
      </c>
      <c r="F85" s="16" t="s">
        <v>2</v>
      </c>
      <c r="G85" s="17">
        <v>0</v>
      </c>
      <c r="H85" s="18" t="s">
        <v>101</v>
      </c>
      <c r="I85" s="16" t="s">
        <v>138</v>
      </c>
    </row>
    <row r="86" spans="1:9" ht="15" customHeight="1" x14ac:dyDescent="0.25">
      <c r="A86" s="25" t="str">
        <f t="shared" si="8"/>
        <v/>
      </c>
      <c r="B86" s="25" t="str">
        <f t="shared" si="9"/>
        <v/>
      </c>
    </row>
    <row r="87" spans="1:9" ht="15" customHeight="1" x14ac:dyDescent="0.25">
      <c r="A87" s="25" t="str">
        <f t="shared" si="8"/>
        <v/>
      </c>
      <c r="B87" s="25" t="str">
        <f t="shared" si="9"/>
        <v/>
      </c>
    </row>
    <row r="88" spans="1:9" ht="15" customHeight="1" x14ac:dyDescent="0.25">
      <c r="A88" s="25" t="str">
        <f t="shared" si="8"/>
        <v/>
      </c>
      <c r="B88" s="25" t="str">
        <f t="shared" si="9"/>
        <v/>
      </c>
    </row>
    <row r="89" spans="1:9" ht="15" customHeight="1" x14ac:dyDescent="0.25">
      <c r="A89" s="25" t="str">
        <f t="shared" si="8"/>
        <v/>
      </c>
      <c r="B89" s="25" t="str">
        <f t="shared" si="9"/>
        <v/>
      </c>
    </row>
    <row r="90" spans="1:9" ht="15" customHeight="1" x14ac:dyDescent="0.25">
      <c r="A90" s="25" t="str">
        <f t="shared" si="8"/>
        <v/>
      </c>
      <c r="B90" s="25" t="str">
        <f t="shared" si="9"/>
        <v/>
      </c>
    </row>
    <row r="91" spans="1:9" ht="15" customHeight="1" x14ac:dyDescent="0.25">
      <c r="A91" s="25" t="str">
        <f t="shared" si="8"/>
        <v/>
      </c>
      <c r="B91" s="25" t="str">
        <f t="shared" si="9"/>
        <v/>
      </c>
    </row>
    <row r="92" spans="1:9" ht="15" customHeight="1" x14ac:dyDescent="0.25">
      <c r="A92" s="25" t="str">
        <f t="shared" si="8"/>
        <v/>
      </c>
      <c r="B92" s="25" t="str">
        <f t="shared" si="9"/>
        <v/>
      </c>
    </row>
    <row r="93" spans="1:9" ht="15" customHeight="1" x14ac:dyDescent="0.25">
      <c r="A93" s="25" t="str">
        <f t="shared" si="8"/>
        <v/>
      </c>
      <c r="B93" s="25" t="str">
        <f t="shared" si="9"/>
        <v/>
      </c>
    </row>
    <row r="94" spans="1:9" ht="15" customHeight="1" x14ac:dyDescent="0.25">
      <c r="A94" s="25" t="str">
        <f t="shared" si="8"/>
        <v/>
      </c>
      <c r="B94" s="25" t="str">
        <f t="shared" si="9"/>
        <v/>
      </c>
    </row>
    <row r="95" spans="1:9" ht="15" customHeight="1" x14ac:dyDescent="0.25">
      <c r="A95" s="25" t="str">
        <f t="shared" si="8"/>
        <v/>
      </c>
      <c r="B95" s="25" t="str">
        <f t="shared" si="9"/>
        <v/>
      </c>
    </row>
    <row r="96" spans="1:9" ht="15" customHeight="1" x14ac:dyDescent="0.25">
      <c r="A96" s="25" t="str">
        <f t="shared" si="8"/>
        <v/>
      </c>
      <c r="B96" s="25" t="str">
        <f t="shared" si="9"/>
        <v/>
      </c>
    </row>
    <row r="97" spans="1:2" ht="15" customHeight="1" x14ac:dyDescent="0.25">
      <c r="A97" s="25" t="str">
        <f t="shared" si="8"/>
        <v/>
      </c>
      <c r="B97" s="25" t="str">
        <f t="shared" si="9"/>
        <v/>
      </c>
    </row>
    <row r="98" spans="1:2" ht="15" customHeight="1" x14ac:dyDescent="0.25">
      <c r="A98" s="25" t="str">
        <f t="shared" si="8"/>
        <v/>
      </c>
      <c r="B98" s="25" t="str">
        <f t="shared" si="9"/>
        <v/>
      </c>
    </row>
    <row r="99" spans="1:2" ht="15" customHeight="1" x14ac:dyDescent="0.25">
      <c r="A99" s="25" t="str">
        <f t="shared" si="8"/>
        <v/>
      </c>
      <c r="B99" s="25" t="str">
        <f t="shared" si="9"/>
        <v/>
      </c>
    </row>
    <row r="100" spans="1:2" ht="15" customHeight="1" x14ac:dyDescent="0.25">
      <c r="A100" s="25" t="str">
        <f t="shared" si="8"/>
        <v/>
      </c>
      <c r="B100" s="25" t="str">
        <f t="shared" si="9"/>
        <v/>
      </c>
    </row>
    <row r="101" spans="1:2" ht="15" customHeight="1" x14ac:dyDescent="0.25">
      <c r="A101" s="25" t="str">
        <f t="shared" si="8"/>
        <v/>
      </c>
      <c r="B101" s="25" t="str">
        <f t="shared" si="9"/>
        <v/>
      </c>
    </row>
    <row r="102" spans="1:2" ht="15" customHeight="1" x14ac:dyDescent="0.25">
      <c r="A102" s="25" t="str">
        <f t="shared" si="8"/>
        <v/>
      </c>
      <c r="B102" s="25" t="str">
        <f t="shared" si="9"/>
        <v/>
      </c>
    </row>
    <row r="103" spans="1:2" ht="15" customHeight="1" x14ac:dyDescent="0.25">
      <c r="A103" s="25" t="str">
        <f t="shared" si="8"/>
        <v/>
      </c>
      <c r="B103" s="25" t="str">
        <f t="shared" si="9"/>
        <v/>
      </c>
    </row>
    <row r="104" spans="1:2" ht="15" customHeight="1" x14ac:dyDescent="0.25">
      <c r="A104" s="25" t="str">
        <f t="shared" si="8"/>
        <v/>
      </c>
      <c r="B104" s="25" t="str">
        <f t="shared" si="9"/>
        <v/>
      </c>
    </row>
    <row r="105" spans="1:2" ht="15" customHeight="1" x14ac:dyDescent="0.25">
      <c r="A105" s="25" t="str">
        <f t="shared" si="8"/>
        <v/>
      </c>
      <c r="B105" s="25" t="str">
        <f t="shared" si="9"/>
        <v/>
      </c>
    </row>
    <row r="106" spans="1:2" ht="15" customHeight="1" x14ac:dyDescent="0.25">
      <c r="A106" s="25" t="str">
        <f t="shared" si="8"/>
        <v/>
      </c>
      <c r="B106" s="25" t="str">
        <f t="shared" si="9"/>
        <v/>
      </c>
    </row>
    <row r="107" spans="1:2" ht="15" customHeight="1" x14ac:dyDescent="0.25">
      <c r="A107" s="25" t="str">
        <f t="shared" si="8"/>
        <v/>
      </c>
      <c r="B107" s="25" t="str">
        <f t="shared" si="9"/>
        <v/>
      </c>
    </row>
    <row r="108" spans="1:2" ht="15" customHeight="1" x14ac:dyDescent="0.25">
      <c r="A108" s="25" t="str">
        <f t="shared" si="8"/>
        <v/>
      </c>
      <c r="B108" s="25" t="str">
        <f t="shared" si="9"/>
        <v/>
      </c>
    </row>
    <row r="109" spans="1:2" ht="15" customHeight="1" x14ac:dyDescent="0.25">
      <c r="A109" s="25" t="str">
        <f t="shared" si="8"/>
        <v/>
      </c>
      <c r="B109" s="25" t="str">
        <f t="shared" si="9"/>
        <v/>
      </c>
    </row>
    <row r="110" spans="1:2" ht="15" customHeight="1" x14ac:dyDescent="0.25">
      <c r="A110" s="25" t="str">
        <f t="shared" si="8"/>
        <v/>
      </c>
      <c r="B110" s="25" t="str">
        <f t="shared" si="9"/>
        <v/>
      </c>
    </row>
    <row r="111" spans="1:2" ht="15" customHeight="1" x14ac:dyDescent="0.25">
      <c r="A111" s="25" t="str">
        <f t="shared" si="8"/>
        <v/>
      </c>
      <c r="B111" s="25" t="str">
        <f t="shared" si="9"/>
        <v/>
      </c>
    </row>
    <row r="112" spans="1:2" ht="15" customHeight="1" x14ac:dyDescent="0.25">
      <c r="A112" s="25" t="str">
        <f t="shared" si="8"/>
        <v/>
      </c>
      <c r="B112" s="25" t="str">
        <f t="shared" si="9"/>
        <v/>
      </c>
    </row>
    <row r="113" spans="1:2" ht="15" customHeight="1" x14ac:dyDescent="0.25">
      <c r="A113" s="25" t="str">
        <f t="shared" si="8"/>
        <v/>
      </c>
      <c r="B113" s="25" t="str">
        <f t="shared" si="9"/>
        <v/>
      </c>
    </row>
    <row r="114" spans="1:2" ht="15" customHeight="1" x14ac:dyDescent="0.25">
      <c r="A114" s="25" t="str">
        <f t="shared" si="8"/>
        <v/>
      </c>
      <c r="B114" s="25" t="str">
        <f t="shared" si="9"/>
        <v/>
      </c>
    </row>
    <row r="115" spans="1:2" ht="15" customHeight="1" x14ac:dyDescent="0.25">
      <c r="A115" s="25" t="str">
        <f t="shared" si="8"/>
        <v/>
      </c>
      <c r="B115" s="25" t="str">
        <f t="shared" si="9"/>
        <v/>
      </c>
    </row>
    <row r="116" spans="1:2" ht="15" customHeight="1" x14ac:dyDescent="0.25">
      <c r="A116" s="25" t="str">
        <f t="shared" si="8"/>
        <v/>
      </c>
      <c r="B116" s="25" t="str">
        <f t="shared" si="9"/>
        <v/>
      </c>
    </row>
    <row r="117" spans="1:2" ht="15" customHeight="1" x14ac:dyDescent="0.25">
      <c r="A117" s="25" t="str">
        <f t="shared" si="8"/>
        <v/>
      </c>
      <c r="B117" s="25" t="str">
        <f t="shared" si="9"/>
        <v/>
      </c>
    </row>
    <row r="118" spans="1:2" ht="15" customHeight="1" x14ac:dyDescent="0.25">
      <c r="A118" s="25" t="str">
        <f t="shared" si="8"/>
        <v/>
      </c>
      <c r="B118" s="25" t="str">
        <f t="shared" si="9"/>
        <v/>
      </c>
    </row>
    <row r="119" spans="1:2" ht="15" customHeight="1" x14ac:dyDescent="0.25">
      <c r="A119" s="25" t="str">
        <f t="shared" si="8"/>
        <v/>
      </c>
      <c r="B119" s="25" t="str">
        <f t="shared" si="9"/>
        <v/>
      </c>
    </row>
    <row r="120" spans="1:2" ht="15" customHeight="1" x14ac:dyDescent="0.25">
      <c r="A120" s="25" t="str">
        <f t="shared" si="8"/>
        <v/>
      </c>
      <c r="B120" s="25" t="str">
        <f t="shared" si="9"/>
        <v/>
      </c>
    </row>
    <row r="121" spans="1:2" ht="15" customHeight="1" x14ac:dyDescent="0.25">
      <c r="A121" s="25" t="str">
        <f t="shared" si="8"/>
        <v/>
      </c>
      <c r="B121" s="25" t="str">
        <f t="shared" si="9"/>
        <v/>
      </c>
    </row>
    <row r="122" spans="1:2" ht="15" customHeight="1" x14ac:dyDescent="0.25">
      <c r="A122" s="25" t="str">
        <f t="shared" si="8"/>
        <v/>
      </c>
      <c r="B122" s="25" t="str">
        <f t="shared" si="9"/>
        <v/>
      </c>
    </row>
    <row r="123" spans="1:2" ht="15" customHeight="1" x14ac:dyDescent="0.25">
      <c r="A123" s="25" t="str">
        <f t="shared" si="8"/>
        <v/>
      </c>
      <c r="B123" s="25" t="str">
        <f t="shared" si="9"/>
        <v/>
      </c>
    </row>
    <row r="124" spans="1:2" ht="15" customHeight="1" x14ac:dyDescent="0.25">
      <c r="A124" s="25" t="str">
        <f t="shared" si="8"/>
        <v/>
      </c>
      <c r="B124" s="25" t="str">
        <f t="shared" si="9"/>
        <v/>
      </c>
    </row>
    <row r="125" spans="1:2" ht="15" customHeight="1" x14ac:dyDescent="0.25">
      <c r="A125" s="25" t="str">
        <f t="shared" si="8"/>
        <v/>
      </c>
      <c r="B125" s="25" t="str">
        <f t="shared" si="9"/>
        <v/>
      </c>
    </row>
    <row r="126" spans="1:2" ht="15" customHeight="1" x14ac:dyDescent="0.25">
      <c r="A126" s="25" t="str">
        <f t="shared" si="8"/>
        <v/>
      </c>
      <c r="B126" s="25" t="str">
        <f t="shared" si="9"/>
        <v/>
      </c>
    </row>
    <row r="127" spans="1:2" ht="15" customHeight="1" x14ac:dyDescent="0.25">
      <c r="A127" s="25" t="str">
        <f t="shared" si="8"/>
        <v/>
      </c>
      <c r="B127" s="25" t="str">
        <f t="shared" si="9"/>
        <v/>
      </c>
    </row>
    <row r="128" spans="1:2" ht="15" customHeight="1" x14ac:dyDescent="0.25">
      <c r="A128" s="25" t="str">
        <f t="shared" si="8"/>
        <v/>
      </c>
      <c r="B128" s="25" t="str">
        <f t="shared" si="9"/>
        <v/>
      </c>
    </row>
    <row r="129" spans="1:2" ht="15" customHeight="1" x14ac:dyDescent="0.25">
      <c r="A129" s="25" t="str">
        <f t="shared" si="8"/>
        <v/>
      </c>
      <c r="B129" s="25" t="str">
        <f t="shared" si="9"/>
        <v/>
      </c>
    </row>
    <row r="130" spans="1:2" ht="15" customHeight="1" x14ac:dyDescent="0.25">
      <c r="A130" s="25" t="str">
        <f t="shared" si="8"/>
        <v/>
      </c>
      <c r="B130" s="25" t="str">
        <f t="shared" si="9"/>
        <v/>
      </c>
    </row>
    <row r="131" spans="1:2" ht="15" customHeight="1" x14ac:dyDescent="0.25">
      <c r="A131" s="25" t="str">
        <f t="shared" si="8"/>
        <v/>
      </c>
      <c r="B131" s="25" t="str">
        <f t="shared" si="9"/>
        <v/>
      </c>
    </row>
    <row r="132" spans="1:2" ht="15" customHeight="1" x14ac:dyDescent="0.25">
      <c r="A132" s="25" t="str">
        <f t="shared" si="8"/>
        <v/>
      </c>
      <c r="B132" s="25" t="str">
        <f t="shared" si="9"/>
        <v/>
      </c>
    </row>
    <row r="133" spans="1:2" ht="15" customHeight="1" x14ac:dyDescent="0.25">
      <c r="A133" s="25" t="str">
        <f t="shared" si="8"/>
        <v/>
      </c>
      <c r="B133" s="25" t="str">
        <f t="shared" si="9"/>
        <v/>
      </c>
    </row>
    <row r="134" spans="1:2" ht="15" customHeight="1" x14ac:dyDescent="0.25">
      <c r="A134" s="25" t="str">
        <f t="shared" si="8"/>
        <v/>
      </c>
      <c r="B134" s="25" t="str">
        <f t="shared" si="9"/>
        <v/>
      </c>
    </row>
    <row r="135" spans="1:2" ht="15" customHeight="1" x14ac:dyDescent="0.25">
      <c r="A135" s="25" t="str">
        <f t="shared" si="8"/>
        <v/>
      </c>
      <c r="B135" s="25" t="str">
        <f t="shared" si="9"/>
        <v/>
      </c>
    </row>
    <row r="136" spans="1:2" ht="15" customHeight="1" x14ac:dyDescent="0.25">
      <c r="A136" s="25" t="str">
        <f t="shared" ref="A136:A199" si="10">IF(C136&lt;&gt;"",IF(C136="#","  // "&amp;H136,
"  MessagesDevelopmentAssert.QuickPutEntry_bool("""&amp;C136&amp;""", "&amp;IF(D136="F","false",IF(D136="T","true","ERROR"))&amp;");"&amp;CHAR(10)&amp;
"  MessagesImplementationAssert.QuickPutEntry_bool("""&amp;C136&amp;""", "&amp;IF(E136="F","false",IF(E136="T","true","ERROR"))&amp;");"&amp;CHAR(10)&amp;
"  MessagesRuntimeAssert.QuickPutEntry_bool("""&amp;C136&amp;""", "&amp;IF(F136="F","false",IF(F136="T","true","ERROR"))&amp;");"&amp;CHAR(10)&amp;
"  MessagesDisabling.QuickPutEntry_int("""&amp;C136&amp;""", "&amp;G136&amp;");"&amp; CHAR(10) &amp;
"  MessagesCount.QuickPutEntry_int("""&amp;C136&amp;""", 0);"&amp;CHAR(10)&amp;
"  MessagesLabel.QuickPutEntry_string("""&amp;C136&amp;""","""&amp;H136&amp;""");"&amp;
IF(J136&lt;&gt;"",CHAR(10) &amp; "  MessagesText.QuickPutEntry_string("""&amp;C136&amp;""", """&amp;SUBSTITUTE(J136,"""","\""")&amp;""");","")
),"")</f>
        <v/>
      </c>
      <c r="B136" s="25" t="str">
        <f t="shared" ref="B136:B199" si="11">IF(C136&lt;&gt;"",IF(C136="#","\section{"&amp;H136&amp;"}" &amp; CHAR(10),
"\subsection{" &amp; C136 &amp; "}" &amp; CHAR(10) &amp; "\begin{itemize}" &amp; CHAR(10) &amp;
"  \item Interface Message:\\[1em]\textbf{" &amp; SUBSTITUTE(H136,"_","\_") &amp; "}" &amp; CHAR(10) &amp;
"  \item Development Assertion: " &amp; IF(D136="F","NO",IF(D136="T","YES","ERROR")) &amp; CHAR(10) &amp;
"  \item Implementation Assertion: " &amp; IF(E136="F","NO",IF(E136="T","YES","ERROR")) &amp; CHAR(10) &amp;
"  \item Runtime Assertion: " &amp; IF(F136="F","NO",IF(F136="T","YES","ERROR")) &amp; CHAR(10) &amp;
IF(J136&lt;&gt;"","  \item Message Description:\\[1em]"&amp; SUBSTITUTE(J136,"_","\_")  &amp;CHAR(10),"") &amp;
"\end{itemize}"&amp;CHAR(10)),"")</f>
        <v/>
      </c>
    </row>
    <row r="137" spans="1:2" ht="15" customHeight="1" x14ac:dyDescent="0.25">
      <c r="A137" s="25" t="str">
        <f t="shared" si="10"/>
        <v/>
      </c>
      <c r="B137" s="25" t="str">
        <f t="shared" si="11"/>
        <v/>
      </c>
    </row>
    <row r="138" spans="1:2" ht="15" customHeight="1" x14ac:dyDescent="0.25">
      <c r="A138" s="25" t="str">
        <f t="shared" si="10"/>
        <v/>
      </c>
      <c r="B138" s="25" t="str">
        <f t="shared" si="11"/>
        <v/>
      </c>
    </row>
    <row r="139" spans="1:2" ht="15" customHeight="1" x14ac:dyDescent="0.25">
      <c r="A139" s="25" t="str">
        <f t="shared" si="10"/>
        <v/>
      </c>
      <c r="B139" s="25" t="str">
        <f t="shared" si="11"/>
        <v/>
      </c>
    </row>
    <row r="140" spans="1:2" ht="15" customHeight="1" x14ac:dyDescent="0.25">
      <c r="A140" s="25" t="str">
        <f t="shared" si="10"/>
        <v/>
      </c>
      <c r="B140" s="25" t="str">
        <f t="shared" si="11"/>
        <v/>
      </c>
    </row>
    <row r="141" spans="1:2" ht="15" customHeight="1" x14ac:dyDescent="0.25">
      <c r="A141" s="25" t="str">
        <f t="shared" si="10"/>
        <v/>
      </c>
      <c r="B141" s="25" t="str">
        <f t="shared" si="11"/>
        <v/>
      </c>
    </row>
    <row r="142" spans="1:2" ht="15" customHeight="1" x14ac:dyDescent="0.25">
      <c r="A142" s="25" t="str">
        <f t="shared" si="10"/>
        <v/>
      </c>
      <c r="B142" s="25" t="str">
        <f t="shared" si="11"/>
        <v/>
      </c>
    </row>
    <row r="143" spans="1:2" ht="15" customHeight="1" x14ac:dyDescent="0.25">
      <c r="A143" s="25" t="str">
        <f t="shared" si="10"/>
        <v/>
      </c>
      <c r="B143" s="25" t="str">
        <f t="shared" si="11"/>
        <v/>
      </c>
    </row>
    <row r="144" spans="1:2" ht="15" customHeight="1" x14ac:dyDescent="0.25">
      <c r="A144" s="25" t="str">
        <f t="shared" si="10"/>
        <v/>
      </c>
      <c r="B144" s="25" t="str">
        <f t="shared" si="11"/>
        <v/>
      </c>
    </row>
    <row r="145" spans="1:2" ht="15" customHeight="1" x14ac:dyDescent="0.25">
      <c r="A145" s="25" t="str">
        <f t="shared" si="10"/>
        <v/>
      </c>
      <c r="B145" s="25" t="str">
        <f t="shared" si="11"/>
        <v/>
      </c>
    </row>
    <row r="146" spans="1:2" ht="15" customHeight="1" x14ac:dyDescent="0.25">
      <c r="A146" s="25" t="str">
        <f t="shared" si="10"/>
        <v/>
      </c>
      <c r="B146" s="25" t="str">
        <f t="shared" si="11"/>
        <v/>
      </c>
    </row>
    <row r="147" spans="1:2" ht="15" customHeight="1" x14ac:dyDescent="0.25">
      <c r="A147" s="25" t="str">
        <f t="shared" si="10"/>
        <v/>
      </c>
      <c r="B147" s="25" t="str">
        <f t="shared" si="11"/>
        <v/>
      </c>
    </row>
    <row r="148" spans="1:2" ht="15" customHeight="1" x14ac:dyDescent="0.25">
      <c r="A148" s="25" t="str">
        <f t="shared" si="10"/>
        <v/>
      </c>
      <c r="B148" s="25" t="str">
        <f t="shared" si="11"/>
        <v/>
      </c>
    </row>
    <row r="149" spans="1:2" ht="15" customHeight="1" x14ac:dyDescent="0.25">
      <c r="A149" s="25" t="str">
        <f t="shared" si="10"/>
        <v/>
      </c>
      <c r="B149" s="25" t="str">
        <f t="shared" si="11"/>
        <v/>
      </c>
    </row>
    <row r="150" spans="1:2" ht="15" customHeight="1" x14ac:dyDescent="0.25">
      <c r="A150" s="25" t="str">
        <f t="shared" si="10"/>
        <v/>
      </c>
      <c r="B150" s="25" t="str">
        <f t="shared" si="11"/>
        <v/>
      </c>
    </row>
    <row r="151" spans="1:2" ht="15" customHeight="1" x14ac:dyDescent="0.25">
      <c r="A151" s="25" t="str">
        <f t="shared" si="10"/>
        <v/>
      </c>
      <c r="B151" s="25" t="str">
        <f t="shared" si="11"/>
        <v/>
      </c>
    </row>
    <row r="152" spans="1:2" ht="15" customHeight="1" x14ac:dyDescent="0.25">
      <c r="A152" s="25" t="str">
        <f t="shared" si="10"/>
        <v/>
      </c>
      <c r="B152" s="25" t="str">
        <f t="shared" si="11"/>
        <v/>
      </c>
    </row>
    <row r="153" spans="1:2" ht="15" customHeight="1" x14ac:dyDescent="0.25">
      <c r="A153" s="25" t="str">
        <f t="shared" si="10"/>
        <v/>
      </c>
      <c r="B153" s="25" t="str">
        <f t="shared" si="11"/>
        <v/>
      </c>
    </row>
    <row r="154" spans="1:2" ht="15" customHeight="1" x14ac:dyDescent="0.25">
      <c r="A154" s="25" t="str">
        <f t="shared" si="10"/>
        <v/>
      </c>
      <c r="B154" s="25" t="str">
        <f t="shared" si="11"/>
        <v/>
      </c>
    </row>
    <row r="155" spans="1:2" ht="15" customHeight="1" x14ac:dyDescent="0.25">
      <c r="A155" s="25" t="str">
        <f t="shared" si="10"/>
        <v/>
      </c>
      <c r="B155" s="25" t="str">
        <f t="shared" si="11"/>
        <v/>
      </c>
    </row>
    <row r="156" spans="1:2" ht="15" customHeight="1" x14ac:dyDescent="0.25">
      <c r="A156" s="25" t="str">
        <f t="shared" si="10"/>
        <v/>
      </c>
      <c r="B156" s="25" t="str">
        <f t="shared" si="11"/>
        <v/>
      </c>
    </row>
    <row r="157" spans="1:2" ht="15" customHeight="1" x14ac:dyDescent="0.25">
      <c r="A157" s="25" t="str">
        <f t="shared" si="10"/>
        <v/>
      </c>
      <c r="B157" s="25" t="str">
        <f t="shared" si="11"/>
        <v/>
      </c>
    </row>
    <row r="158" spans="1:2" ht="15" customHeight="1" x14ac:dyDescent="0.25">
      <c r="A158" s="25" t="str">
        <f t="shared" si="10"/>
        <v/>
      </c>
      <c r="B158" s="25" t="str">
        <f t="shared" si="11"/>
        <v/>
      </c>
    </row>
    <row r="159" spans="1:2" ht="15" customHeight="1" x14ac:dyDescent="0.25">
      <c r="A159" s="25" t="str">
        <f t="shared" si="10"/>
        <v/>
      </c>
      <c r="B159" s="25" t="str">
        <f t="shared" si="11"/>
        <v/>
      </c>
    </row>
    <row r="160" spans="1:2" ht="15" customHeight="1" x14ac:dyDescent="0.25">
      <c r="A160" s="25" t="str">
        <f t="shared" si="10"/>
        <v/>
      </c>
      <c r="B160" s="25" t="str">
        <f t="shared" si="11"/>
        <v/>
      </c>
    </row>
    <row r="161" spans="1:2" ht="15" customHeight="1" x14ac:dyDescent="0.25">
      <c r="A161" s="25" t="str">
        <f t="shared" si="10"/>
        <v/>
      </c>
      <c r="B161" s="25" t="str">
        <f t="shared" si="11"/>
        <v/>
      </c>
    </row>
    <row r="162" spans="1:2" ht="15" customHeight="1" x14ac:dyDescent="0.25">
      <c r="A162" s="25" t="str">
        <f t="shared" si="10"/>
        <v/>
      </c>
      <c r="B162" s="25" t="str">
        <f t="shared" si="11"/>
        <v/>
      </c>
    </row>
    <row r="163" spans="1:2" ht="15" customHeight="1" x14ac:dyDescent="0.25">
      <c r="A163" s="25" t="str">
        <f t="shared" si="10"/>
        <v/>
      </c>
      <c r="B163" s="25" t="str">
        <f t="shared" si="11"/>
        <v/>
      </c>
    </row>
    <row r="164" spans="1:2" ht="15" customHeight="1" x14ac:dyDescent="0.25">
      <c r="A164" s="25" t="str">
        <f t="shared" si="10"/>
        <v/>
      </c>
      <c r="B164" s="25" t="str">
        <f t="shared" si="11"/>
        <v/>
      </c>
    </row>
    <row r="165" spans="1:2" ht="15" customHeight="1" x14ac:dyDescent="0.25">
      <c r="A165" s="25" t="str">
        <f t="shared" si="10"/>
        <v/>
      </c>
      <c r="B165" s="25" t="str">
        <f t="shared" si="11"/>
        <v/>
      </c>
    </row>
    <row r="166" spans="1:2" ht="15" customHeight="1" x14ac:dyDescent="0.25">
      <c r="A166" s="25" t="str">
        <f t="shared" si="10"/>
        <v/>
      </c>
      <c r="B166" s="25" t="str">
        <f t="shared" si="11"/>
        <v/>
      </c>
    </row>
    <row r="167" spans="1:2" ht="15" customHeight="1" x14ac:dyDescent="0.25">
      <c r="A167" s="25" t="str">
        <f t="shared" si="10"/>
        <v/>
      </c>
      <c r="B167" s="25" t="str">
        <f t="shared" si="11"/>
        <v/>
      </c>
    </row>
    <row r="168" spans="1:2" ht="15" customHeight="1" x14ac:dyDescent="0.25">
      <c r="A168" s="25" t="str">
        <f t="shared" si="10"/>
        <v/>
      </c>
      <c r="B168" s="25" t="str">
        <f t="shared" si="11"/>
        <v/>
      </c>
    </row>
    <row r="169" spans="1:2" ht="15" customHeight="1" x14ac:dyDescent="0.25">
      <c r="A169" s="25" t="str">
        <f t="shared" si="10"/>
        <v/>
      </c>
      <c r="B169" s="25" t="str">
        <f t="shared" si="11"/>
        <v/>
      </c>
    </row>
    <row r="170" spans="1:2" ht="15" customHeight="1" x14ac:dyDescent="0.25">
      <c r="A170" s="25" t="str">
        <f t="shared" si="10"/>
        <v/>
      </c>
      <c r="B170" s="25" t="str">
        <f t="shared" si="11"/>
        <v/>
      </c>
    </row>
    <row r="171" spans="1:2" ht="15" customHeight="1" x14ac:dyDescent="0.25">
      <c r="A171" s="25" t="str">
        <f t="shared" si="10"/>
        <v/>
      </c>
      <c r="B171" s="25" t="str">
        <f t="shared" si="11"/>
        <v/>
      </c>
    </row>
    <row r="172" spans="1:2" ht="15" customHeight="1" x14ac:dyDescent="0.25">
      <c r="A172" s="25" t="str">
        <f t="shared" si="10"/>
        <v/>
      </c>
      <c r="B172" s="25" t="str">
        <f t="shared" si="11"/>
        <v/>
      </c>
    </row>
    <row r="173" spans="1:2" ht="15" customHeight="1" x14ac:dyDescent="0.25">
      <c r="A173" s="25" t="str">
        <f t="shared" si="10"/>
        <v/>
      </c>
      <c r="B173" s="25" t="str">
        <f t="shared" si="11"/>
        <v/>
      </c>
    </row>
    <row r="174" spans="1:2" ht="15" customHeight="1" x14ac:dyDescent="0.25">
      <c r="A174" s="25" t="str">
        <f t="shared" si="10"/>
        <v/>
      </c>
      <c r="B174" s="25" t="str">
        <f t="shared" si="11"/>
        <v/>
      </c>
    </row>
    <row r="175" spans="1:2" ht="15" customHeight="1" x14ac:dyDescent="0.25">
      <c r="A175" s="25" t="str">
        <f t="shared" si="10"/>
        <v/>
      </c>
      <c r="B175" s="25" t="str">
        <f t="shared" si="11"/>
        <v/>
      </c>
    </row>
    <row r="176" spans="1:2" ht="15" customHeight="1" x14ac:dyDescent="0.25">
      <c r="A176" s="25" t="str">
        <f t="shared" si="10"/>
        <v/>
      </c>
      <c r="B176" s="25" t="str">
        <f t="shared" si="11"/>
        <v/>
      </c>
    </row>
    <row r="177" spans="1:2" ht="15" customHeight="1" x14ac:dyDescent="0.25">
      <c r="A177" s="25" t="str">
        <f t="shared" si="10"/>
        <v/>
      </c>
      <c r="B177" s="25" t="str">
        <f t="shared" si="11"/>
        <v/>
      </c>
    </row>
    <row r="178" spans="1:2" ht="15" customHeight="1" x14ac:dyDescent="0.25">
      <c r="A178" s="25" t="str">
        <f t="shared" si="10"/>
        <v/>
      </c>
      <c r="B178" s="25" t="str">
        <f t="shared" si="11"/>
        <v/>
      </c>
    </row>
    <row r="179" spans="1:2" ht="15" customHeight="1" x14ac:dyDescent="0.25">
      <c r="A179" s="25" t="str">
        <f t="shared" si="10"/>
        <v/>
      </c>
      <c r="B179" s="25" t="str">
        <f t="shared" si="11"/>
        <v/>
      </c>
    </row>
    <row r="180" spans="1:2" ht="15" customHeight="1" x14ac:dyDescent="0.25">
      <c r="A180" s="25" t="str">
        <f t="shared" si="10"/>
        <v/>
      </c>
      <c r="B180" s="25" t="str">
        <f t="shared" si="11"/>
        <v/>
      </c>
    </row>
    <row r="181" spans="1:2" ht="15" customHeight="1" x14ac:dyDescent="0.25">
      <c r="A181" s="25" t="str">
        <f t="shared" si="10"/>
        <v/>
      </c>
      <c r="B181" s="25" t="str">
        <f t="shared" si="11"/>
        <v/>
      </c>
    </row>
    <row r="182" spans="1:2" ht="15" customHeight="1" x14ac:dyDescent="0.25">
      <c r="A182" s="25" t="str">
        <f t="shared" si="10"/>
        <v/>
      </c>
      <c r="B182" s="25" t="str">
        <f t="shared" si="11"/>
        <v/>
      </c>
    </row>
    <row r="183" spans="1:2" ht="15" customHeight="1" x14ac:dyDescent="0.25">
      <c r="A183" s="25" t="str">
        <f t="shared" si="10"/>
        <v/>
      </c>
      <c r="B183" s="25" t="str">
        <f t="shared" si="11"/>
        <v/>
      </c>
    </row>
    <row r="184" spans="1:2" ht="15" customHeight="1" x14ac:dyDescent="0.25">
      <c r="A184" s="25" t="str">
        <f t="shared" si="10"/>
        <v/>
      </c>
      <c r="B184" s="25" t="str">
        <f t="shared" si="11"/>
        <v/>
      </c>
    </row>
    <row r="185" spans="1:2" ht="15" customHeight="1" x14ac:dyDescent="0.25">
      <c r="A185" s="25" t="str">
        <f t="shared" si="10"/>
        <v/>
      </c>
      <c r="B185" s="25" t="str">
        <f t="shared" si="11"/>
        <v/>
      </c>
    </row>
    <row r="186" spans="1:2" ht="15" customHeight="1" x14ac:dyDescent="0.25">
      <c r="A186" s="25" t="str">
        <f t="shared" si="10"/>
        <v/>
      </c>
      <c r="B186" s="25" t="str">
        <f t="shared" si="11"/>
        <v/>
      </c>
    </row>
    <row r="187" spans="1:2" ht="15" customHeight="1" x14ac:dyDescent="0.25">
      <c r="A187" s="25" t="str">
        <f t="shared" si="10"/>
        <v/>
      </c>
      <c r="B187" s="25" t="str">
        <f t="shared" si="11"/>
        <v/>
      </c>
    </row>
    <row r="188" spans="1:2" ht="15" customHeight="1" x14ac:dyDescent="0.25">
      <c r="A188" s="25" t="str">
        <f t="shared" si="10"/>
        <v/>
      </c>
      <c r="B188" s="25" t="str">
        <f t="shared" si="11"/>
        <v/>
      </c>
    </row>
    <row r="189" spans="1:2" ht="15" customHeight="1" x14ac:dyDescent="0.25">
      <c r="A189" s="25" t="str">
        <f t="shared" si="10"/>
        <v/>
      </c>
      <c r="B189" s="25" t="str">
        <f t="shared" si="11"/>
        <v/>
      </c>
    </row>
    <row r="190" spans="1:2" ht="15" customHeight="1" x14ac:dyDescent="0.25">
      <c r="A190" s="25" t="str">
        <f t="shared" si="10"/>
        <v/>
      </c>
      <c r="B190" s="25" t="str">
        <f t="shared" si="11"/>
        <v/>
      </c>
    </row>
    <row r="191" spans="1:2" ht="15" customHeight="1" x14ac:dyDescent="0.25">
      <c r="A191" s="25" t="str">
        <f t="shared" si="10"/>
        <v/>
      </c>
      <c r="B191" s="25" t="str">
        <f t="shared" si="11"/>
        <v/>
      </c>
    </row>
    <row r="192" spans="1:2" ht="15" customHeight="1" x14ac:dyDescent="0.25">
      <c r="A192" s="25" t="str">
        <f t="shared" si="10"/>
        <v/>
      </c>
      <c r="B192" s="25" t="str">
        <f t="shared" si="11"/>
        <v/>
      </c>
    </row>
    <row r="193" spans="1:2" ht="15" customHeight="1" x14ac:dyDescent="0.25">
      <c r="A193" s="25" t="str">
        <f t="shared" si="10"/>
        <v/>
      </c>
      <c r="B193" s="25" t="str">
        <f t="shared" si="11"/>
        <v/>
      </c>
    </row>
    <row r="194" spans="1:2" ht="15" customHeight="1" x14ac:dyDescent="0.25">
      <c r="A194" s="25" t="str">
        <f t="shared" si="10"/>
        <v/>
      </c>
      <c r="B194" s="25" t="str">
        <f t="shared" si="11"/>
        <v/>
      </c>
    </row>
    <row r="195" spans="1:2" ht="15" customHeight="1" x14ac:dyDescent="0.25">
      <c r="A195" s="25" t="str">
        <f t="shared" si="10"/>
        <v/>
      </c>
      <c r="B195" s="25" t="str">
        <f t="shared" si="11"/>
        <v/>
      </c>
    </row>
    <row r="196" spans="1:2" ht="15" customHeight="1" x14ac:dyDescent="0.25">
      <c r="A196" s="25" t="str">
        <f t="shared" si="10"/>
        <v/>
      </c>
      <c r="B196" s="25" t="str">
        <f t="shared" si="11"/>
        <v/>
      </c>
    </row>
    <row r="197" spans="1:2" ht="15" customHeight="1" x14ac:dyDescent="0.25">
      <c r="A197" s="25" t="str">
        <f t="shared" si="10"/>
        <v/>
      </c>
      <c r="B197" s="25" t="str">
        <f t="shared" si="11"/>
        <v/>
      </c>
    </row>
    <row r="198" spans="1:2" ht="15" customHeight="1" x14ac:dyDescent="0.25">
      <c r="A198" s="25" t="str">
        <f t="shared" si="10"/>
        <v/>
      </c>
      <c r="B198" s="25" t="str">
        <f t="shared" si="11"/>
        <v/>
      </c>
    </row>
    <row r="199" spans="1:2" ht="15" customHeight="1" x14ac:dyDescent="0.25">
      <c r="A199" s="25" t="str">
        <f t="shared" si="10"/>
        <v/>
      </c>
      <c r="B199" s="25" t="str">
        <f t="shared" si="1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2"/>
  <sheetViews>
    <sheetView workbookViewId="0">
      <selection activeCell="C1" sqref="C1"/>
    </sheetView>
  </sheetViews>
  <sheetFormatPr defaultRowHeight="15" x14ac:dyDescent="0.25"/>
  <cols>
    <col min="1" max="1" width="2.85546875" customWidth="1"/>
    <col min="2" max="2" width="2.85546875" style="1" customWidth="1"/>
    <col min="3" max="3" width="30.5703125" bestFit="1" customWidth="1"/>
    <col min="4" max="4" width="22.140625" bestFit="1" customWidth="1"/>
    <col min="5" max="5" width="10.85546875" bestFit="1" customWidth="1"/>
  </cols>
  <sheetData>
    <row r="1" spans="1:5" x14ac:dyDescent="0.25">
      <c r="C1" s="43" t="s">
        <v>299</v>
      </c>
    </row>
    <row r="2" spans="1:5" x14ac:dyDescent="0.25">
      <c r="B2" s="1" t="s">
        <v>2</v>
      </c>
      <c r="C2" t="s">
        <v>291</v>
      </c>
      <c r="D2" t="s">
        <v>292</v>
      </c>
      <c r="E2" t="s">
        <v>293</v>
      </c>
    </row>
    <row r="3" spans="1:5" x14ac:dyDescent="0.25">
      <c r="A3" t="str">
        <f>IF(B3="D","  Commands.QuickPutEntry_function(string("&amp;C3&amp;") + string("&amp;D3&amp;"), (void*) InterpreterManager::"&amp;E3&amp;");",IF(B3="C","  // "&amp;C3,""))</f>
        <v xml:space="preserve">  // Environment Settings</v>
      </c>
      <c r="B3" s="1" t="s">
        <v>152</v>
      </c>
      <c r="C3" t="s">
        <v>301</v>
      </c>
    </row>
    <row r="4" spans="1:5" x14ac:dyDescent="0.25">
      <c r="A4" t="str">
        <f t="shared" ref="A4:A22" si="0">IF(B4="D","  Commands.QuickPutEntry_function(string("&amp;C4&amp;") + string("&amp;D4&amp;"), (void*) InterpreterManager::"&amp;E4&amp;");",IF(B4="C","  // "&amp;C4,""))</f>
        <v xml:space="preserve">  Commands.QuickPutEntry_function(string(LABEL_ENVIRONMENT_SETTINGS) + string(), (void*) InterpreterManager::SetenvCall);</v>
      </c>
      <c r="B4" s="1" t="s">
        <v>138</v>
      </c>
      <c r="C4" t="s">
        <v>220</v>
      </c>
      <c r="E4" t="s">
        <v>294</v>
      </c>
    </row>
    <row r="5" spans="1:5" x14ac:dyDescent="0.25">
      <c r="A5" t="str">
        <f t="shared" si="0"/>
        <v xml:space="preserve">  // Simulator Settings</v>
      </c>
      <c r="B5" s="1" t="s">
        <v>152</v>
      </c>
      <c r="C5" t="s">
        <v>300</v>
      </c>
    </row>
    <row r="6" spans="1:5" x14ac:dyDescent="0.25">
      <c r="A6" t="str">
        <f t="shared" si="0"/>
        <v xml:space="preserve">  Commands.QuickPutEntry_function(string(LABEL_SIMULATOR_SETTINGS) + string(), (void*) InterpreterManager::SetsimCall);</v>
      </c>
      <c r="B6" s="1" t="s">
        <v>138</v>
      </c>
      <c r="C6" t="s">
        <v>221</v>
      </c>
      <c r="E6" t="s">
        <v>295</v>
      </c>
    </row>
    <row r="7" spans="1:5" x14ac:dyDescent="0.25">
      <c r="A7" t="str">
        <f t="shared" si="0"/>
        <v xml:space="preserve">  // Run Commands</v>
      </c>
      <c r="B7" s="1" t="s">
        <v>152</v>
      </c>
      <c r="C7" t="s">
        <v>302</v>
      </c>
    </row>
    <row r="8" spans="1:5" x14ac:dyDescent="0.25">
      <c r="A8" t="str">
        <f t="shared" si="0"/>
        <v xml:space="preserve">  Commands.QuickPutEntry_function(string(LABEL_RUN_SIMULATION) + string(SS_INITIALIZE), (void*) InterpreterManager::RunsimCall);</v>
      </c>
      <c r="B8" s="1" t="s">
        <v>138</v>
      </c>
      <c r="C8" t="s">
        <v>222</v>
      </c>
      <c r="D8" t="s">
        <v>235</v>
      </c>
      <c r="E8" t="s">
        <v>296</v>
      </c>
    </row>
    <row r="9" spans="1:5" x14ac:dyDescent="0.25">
      <c r="A9" t="str">
        <f t="shared" si="0"/>
        <v xml:space="preserve">  Commands.QuickPutEntry_function(string(LABEL_RUN_SIMULATION) + string(SS_ADD_V1_DIFFUSION), (void*) InterpreterManager::RunsimCall);</v>
      </c>
      <c r="B9" s="1" t="s">
        <v>138</v>
      </c>
      <c r="C9" t="s">
        <v>222</v>
      </c>
      <c r="D9" t="s">
        <v>236</v>
      </c>
      <c r="E9" t="s">
        <v>296</v>
      </c>
    </row>
    <row r="10" spans="1:5" x14ac:dyDescent="0.25">
      <c r="A10" t="str">
        <f t="shared" si="0"/>
        <v xml:space="preserve">  Commands.QuickPutEntry_function(string(LABEL_RUN_SIMULATION) + string(SS_SIMULATE), (void*) InterpreterManager::RunsimCall);</v>
      </c>
      <c r="B10" s="1" t="s">
        <v>138</v>
      </c>
      <c r="C10" t="s">
        <v>222</v>
      </c>
      <c r="D10" t="s">
        <v>237</v>
      </c>
      <c r="E10" t="s">
        <v>296</v>
      </c>
    </row>
    <row r="11" spans="1:5" x14ac:dyDescent="0.25">
      <c r="A11" t="str">
        <f t="shared" si="0"/>
        <v xml:space="preserve">  // Reporting Commands</v>
      </c>
      <c r="B11" s="1" t="s">
        <v>152</v>
      </c>
      <c r="C11" t="s">
        <v>303</v>
      </c>
    </row>
    <row r="12" spans="1:5" x14ac:dyDescent="0.25">
      <c r="A12" t="str">
        <f t="shared" si="0"/>
        <v xml:space="preserve">  Commands.QuickPutEntry_function(string(LABEL_REPORTING) + string(PRINT_ENV), (void*) InterpreterManager::ReportCall);</v>
      </c>
      <c r="B12" s="1" t="s">
        <v>138</v>
      </c>
      <c r="C12" t="s">
        <v>223</v>
      </c>
      <c r="D12" t="s">
        <v>239</v>
      </c>
      <c r="E12" t="s">
        <v>297</v>
      </c>
    </row>
    <row r="13" spans="1:5" x14ac:dyDescent="0.25">
      <c r="A13" t="str">
        <f t="shared" si="0"/>
        <v xml:space="preserve">  Commands.QuickPutEntry_function(string(LABEL_REPORTING) + string(PRINT_SIM), (void*) InterpreterManager::ReportCall);</v>
      </c>
      <c r="B13" s="1" t="s">
        <v>138</v>
      </c>
      <c r="C13" t="s">
        <v>223</v>
      </c>
      <c r="D13" t="s">
        <v>240</v>
      </c>
      <c r="E13" t="s">
        <v>297</v>
      </c>
    </row>
    <row r="14" spans="1:5" x14ac:dyDescent="0.25">
      <c r="A14" t="str">
        <f t="shared" si="0"/>
        <v xml:space="preserve">  Commands.QuickPutEntry_function(string(LABEL_REPORTING) + string(SS_PRINT_V1_ACTIVATION), (void*) InterpreterManager::ReportCall);</v>
      </c>
      <c r="B14" s="1" t="s">
        <v>138</v>
      </c>
      <c r="C14" t="s">
        <v>223</v>
      </c>
      <c r="D14" t="s">
        <v>241</v>
      </c>
      <c r="E14" t="s">
        <v>297</v>
      </c>
    </row>
    <row r="15" spans="1:5" x14ac:dyDescent="0.25">
      <c r="A15" t="str">
        <f t="shared" si="0"/>
        <v xml:space="preserve">  Commands.QuickPutEntry_function(string(LABEL_REPORTING) + string(SS_PRINT_V1_ACTIVATION_HORIZONTAL), (void*) InterpreterManager::ReportCall);</v>
      </c>
      <c r="B15" s="1" t="s">
        <v>138</v>
      </c>
      <c r="C15" t="s">
        <v>223</v>
      </c>
      <c r="D15" t="s">
        <v>242</v>
      </c>
      <c r="E15" t="s">
        <v>297</v>
      </c>
    </row>
    <row r="16" spans="1:5" x14ac:dyDescent="0.25">
      <c r="A16" t="str">
        <f t="shared" si="0"/>
        <v xml:space="preserve">  Commands.QuickPutEntry_function(string(LABEL_REPORTING) + string(SS_PRINT_V1_EXTERNAL_EXCITATION), (void*) InterpreterManager::ReportCall);</v>
      </c>
      <c r="B16" s="1" t="s">
        <v>138</v>
      </c>
      <c r="C16" t="s">
        <v>223</v>
      </c>
      <c r="D16" t="s">
        <v>243</v>
      </c>
      <c r="E16" t="s">
        <v>297</v>
      </c>
    </row>
    <row r="17" spans="1:5" x14ac:dyDescent="0.25">
      <c r="A17" t="str">
        <f t="shared" si="0"/>
        <v xml:space="preserve">  Commands.QuickPutEntry_function(string(LABEL_REPORTING) + string(SS_PRINT_MT_ACTIVATION), (void*) InterpreterManager::ReportCall);</v>
      </c>
      <c r="B17" s="1" t="s">
        <v>138</v>
      </c>
      <c r="C17" t="s">
        <v>223</v>
      </c>
      <c r="D17" t="s">
        <v>244</v>
      </c>
      <c r="E17" t="s">
        <v>297</v>
      </c>
    </row>
    <row r="18" spans="1:5" x14ac:dyDescent="0.25">
      <c r="A18" t="str">
        <f t="shared" si="0"/>
        <v xml:space="preserve">  Commands.QuickPutEntry_function(string(LABEL_REPORTING) + string(SS_PRINT_MT_ACTIVATION_HORIZONTAL), (void*) InterpreterManager::ReportCall);</v>
      </c>
      <c r="B18" s="1" t="s">
        <v>138</v>
      </c>
      <c r="C18" t="s">
        <v>223</v>
      </c>
      <c r="D18" t="s">
        <v>245</v>
      </c>
      <c r="E18" t="s">
        <v>297</v>
      </c>
    </row>
    <row r="19" spans="1:5" x14ac:dyDescent="0.25">
      <c r="A19" t="str">
        <f t="shared" si="0"/>
        <v xml:space="preserve">  // I/O Interaction Commands</v>
      </c>
      <c r="B19" s="1" t="s">
        <v>152</v>
      </c>
      <c r="C19" t="s">
        <v>304</v>
      </c>
    </row>
    <row r="20" spans="1:5" x14ac:dyDescent="0.25">
      <c r="A20" t="str">
        <f t="shared" si="0"/>
        <v xml:space="preserve">  Commands.QuickPutEntry_function(string(LABEL_IO_INTERACTIONS) + string(NPROC), (void*) InterpreterManager::RescueCall_NPROC);</v>
      </c>
      <c r="B20" s="1" t="s">
        <v>138</v>
      </c>
      <c r="C20" t="s">
        <v>224</v>
      </c>
      <c r="D20" t="s">
        <v>247</v>
      </c>
      <c r="E20" t="s">
        <v>326</v>
      </c>
    </row>
    <row r="21" spans="1:5" s="48" customFormat="1" x14ac:dyDescent="0.25">
      <c r="B21" s="45"/>
      <c r="C21" s="48" t="s">
        <v>307</v>
      </c>
    </row>
    <row r="22" spans="1:5" x14ac:dyDescent="0.25">
      <c r="A22" t="str">
        <f t="shared" si="0"/>
        <v xml:space="preserve">  Commands.QuickPutEntry_function(string(LABEL_IO_INTERACTIONS) + string(NPROC_SILENT), (void*) InterpreterManager::RescueCall);</v>
      </c>
      <c r="B22" s="1" t="s">
        <v>138</v>
      </c>
      <c r="C22" t="s">
        <v>224</v>
      </c>
      <c r="D22" t="s">
        <v>248</v>
      </c>
      <c r="E22" t="s">
        <v>298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2"/>
  <sheetViews>
    <sheetView workbookViewId="0">
      <pane ySplit="1" topLeftCell="A17" activePane="bottomLeft" state="frozen"/>
      <selection pane="bottomLeft" activeCell="E1" sqref="E1"/>
    </sheetView>
  </sheetViews>
  <sheetFormatPr defaultRowHeight="15" customHeight="1" x14ac:dyDescent="0.25"/>
  <cols>
    <col min="1" max="2" width="2.85546875" style="25" customWidth="1"/>
    <col min="3" max="4" width="2.85546875" style="1" customWidth="1"/>
    <col min="5" max="5" width="35.7109375" customWidth="1"/>
    <col min="6" max="6" width="30.28515625" style="13" bestFit="1" customWidth="1"/>
    <col min="7" max="7" width="12.28515625" style="13" bestFit="1" customWidth="1"/>
    <col min="8" max="8" width="12.28515625" style="13" customWidth="1"/>
    <col min="9" max="9" width="34.7109375" style="13" bestFit="1" customWidth="1"/>
  </cols>
  <sheetData>
    <row r="1" spans="1:10" ht="15" customHeight="1" x14ac:dyDescent="0.25">
      <c r="E1" s="37" t="s">
        <v>285</v>
      </c>
    </row>
    <row r="2" spans="1:10" s="32" customFormat="1" ht="15" customHeight="1" x14ac:dyDescent="0.25">
      <c r="A2" s="29" t="str">
        <f>IF(C2="","",IF(C2="C",CHAR(10) &amp; "// " &amp; E2,IF(C2="I","#define " &amp; E2 &amp; " " &amp; I2,IF(C2="P","#define " &amp; E2 &amp; " """ &amp; F2 &amp; """" &amp; CHAR(10) &amp; "#define DEFAULT_" &amp; E2 &amp; " " &amp; I2,IF(C2="S","","ERROR")))))</f>
        <v xml:space="preserve">
// Math</v>
      </c>
      <c r="B2" s="29" t="str">
        <f>IF(C2="","",IF(C2="C","  // "&amp;E2,IF(C2="P",IF(D2="E","  Environment.",IF(D2="S","  Simulation.","ERROR"))&amp;"SetSetting("&amp;E2&amp;", "&amp;G2&amp;", "&amp;H2&amp;");",IF(C2="S",
IF(K2=1,"  for (int i = 0; i &lt; "&amp;M2&amp;"; i++) {"&amp;CHAR(10)&amp;IF(D2="E","    Environment.",IF(D2="S","    Simulation.","ERROR"))&amp;"SetSetting("&amp;L2&amp;" + "&amp;N2&amp;", "&amp;G2&amp;", "&amp;H2&amp;");"&amp;CHAR(10)&amp;"  }",
IF(K2=2,"  for (int i = 0; i &lt; "&amp;M2&amp;"; i++) {"&amp;CHAR(10)&amp;"    for (int j = 0; j &lt; "&amp;P2&amp;"; j++) {"&amp;CHAR(10)&amp;IF(D2="E","      Environment.",IF(D2="S","      Simulation.","ERROR"))&amp;"SetSetting("&amp;L2&amp;" + "&amp;N2&amp;" + "&amp;O2&amp;" + "&amp;Q2&amp;", "&amp;G2&amp;", "&amp;H2&amp;");"&amp;CHAR(10)&amp;"    }"&amp;CHAR(10)&amp;"  }","ERROR")),""))))</f>
        <v xml:space="preserve">  // Math</v>
      </c>
      <c r="C2" s="30" t="s">
        <v>152</v>
      </c>
      <c r="D2" s="30"/>
      <c r="E2" s="32" t="s">
        <v>151</v>
      </c>
      <c r="F2" s="31"/>
      <c r="G2" s="31"/>
      <c r="H2" s="31"/>
      <c r="I2" s="31"/>
    </row>
    <row r="3" spans="1:10" s="36" customFormat="1" ht="15" customHeight="1" x14ac:dyDescent="0.25">
      <c r="A3" s="33" t="str">
        <f t="shared" ref="A3:A92" si="0">IF(C3="","",IF(C3="C",CHAR(10) &amp; "// " &amp; E3,IF(C3="I","#define " &amp; E3 &amp; " " &amp; I3,IF(C3="P","#define " &amp; E3 &amp; " """ &amp; F3 &amp; """" &amp; CHAR(10) &amp; "#define DEFAULT_" &amp; E3 &amp; " " &amp; I3,IF(C3="S","","ERROR")))))</f>
        <v>#define PI 3.1415926535</v>
      </c>
      <c r="B3" s="33" t="str">
        <f t="shared" ref="B3:B88" si="1">IF(C3="","",IF(C3="C","  // "&amp;E3,IF(C3="P",IF(D3="E","  Environment.",IF(D3="S","  Simulation.","ERROR"))&amp;"SetSetting("&amp;E3&amp;", "&amp;G3&amp;", "&amp;H3&amp;");",IF(C3="S",
IF(K3=1,"  for (int i = 0; i &lt; "&amp;M3&amp;"; i++) {"&amp;CHAR(10)&amp;IF(D3="E","    Environment.",IF(D3="S","    Simulation.","ERROR"))&amp;"SetSetting("&amp;L3&amp;" + "&amp;N3&amp;", "&amp;G3&amp;", "&amp;H3&amp;");"&amp;CHAR(10)&amp;"  }",
IF(K3=2,"  for (int i = 0; i &lt; "&amp;M3&amp;"; i++) {"&amp;CHAR(10)&amp;"    for (int j = 0; j &lt; "&amp;P3&amp;"; j++) {"&amp;CHAR(10)&amp;IF(D3="E","      Environment.",IF(D3="S","      Simulation.","ERROR"))&amp;"SetSetting("&amp;L3&amp;" + "&amp;N3&amp;" + "&amp;O3&amp;" + "&amp;Q3&amp;", "&amp;G3&amp;", "&amp;H3&amp;");"&amp;CHAR(10)&amp;"    }"&amp;CHAR(10)&amp;"  }","ERROR")),""))))</f>
        <v/>
      </c>
      <c r="C3" s="28" t="s">
        <v>139</v>
      </c>
      <c r="D3" s="28"/>
      <c r="E3" s="36" t="s">
        <v>153</v>
      </c>
      <c r="F3" s="35"/>
      <c r="G3" s="35"/>
      <c r="H3" s="35"/>
      <c r="I3" s="41" t="s">
        <v>162</v>
      </c>
      <c r="J3" s="36" t="s">
        <v>157</v>
      </c>
    </row>
    <row r="4" spans="1:10" s="32" customFormat="1" ht="15" customHeight="1" x14ac:dyDescent="0.25">
      <c r="A4" s="29" t="str">
        <f t="shared" si="0"/>
        <v xml:space="preserve">
// HashTable</v>
      </c>
      <c r="B4" s="29" t="str">
        <f t="shared" si="1"/>
        <v xml:space="preserve">  // HashTable</v>
      </c>
      <c r="C4" s="30" t="s">
        <v>152</v>
      </c>
      <c r="D4" s="30"/>
      <c r="E4" s="32" t="s">
        <v>154</v>
      </c>
      <c r="F4" s="31"/>
      <c r="G4" s="31"/>
      <c r="H4" s="31"/>
      <c r="I4" s="31"/>
    </row>
    <row r="5" spans="1:10" s="36" customFormat="1" ht="15" customHeight="1" x14ac:dyDescent="0.25">
      <c r="A5" s="33" t="str">
        <f t="shared" si="0"/>
        <v>#define HASH_A 611057</v>
      </c>
      <c r="B5" s="33" t="str">
        <f t="shared" si="1"/>
        <v/>
      </c>
      <c r="C5" s="28" t="s">
        <v>139</v>
      </c>
      <c r="D5" s="28"/>
      <c r="E5" s="36" t="s">
        <v>168</v>
      </c>
      <c r="F5" s="35"/>
      <c r="G5" s="35"/>
      <c r="H5" s="35"/>
      <c r="I5" s="35">
        <v>611057</v>
      </c>
      <c r="J5" s="36" t="s">
        <v>280</v>
      </c>
    </row>
    <row r="6" spans="1:10" s="36" customFormat="1" ht="15" customHeight="1" x14ac:dyDescent="0.25">
      <c r="A6" s="33" t="str">
        <f t="shared" si="0"/>
        <v>#define HASH_B 286421</v>
      </c>
      <c r="B6" s="33" t="str">
        <f t="shared" si="1"/>
        <v/>
      </c>
      <c r="C6" s="28" t="s">
        <v>139</v>
      </c>
      <c r="D6" s="28"/>
      <c r="E6" s="36" t="s">
        <v>169</v>
      </c>
      <c r="F6" s="35"/>
      <c r="G6" s="35"/>
      <c r="H6" s="35"/>
      <c r="I6" s="35">
        <v>286421</v>
      </c>
      <c r="J6" s="36" t="s">
        <v>281</v>
      </c>
    </row>
    <row r="7" spans="1:10" s="36" customFormat="1" ht="15" customHeight="1" x14ac:dyDescent="0.25">
      <c r="A7" s="33" t="str">
        <f t="shared" si="0"/>
        <v>#define HASH_C 126989</v>
      </c>
      <c r="B7" s="33" t="str">
        <f t="shared" si="1"/>
        <v/>
      </c>
      <c r="C7" s="28" t="s">
        <v>139</v>
      </c>
      <c r="D7" s="28"/>
      <c r="E7" s="36" t="s">
        <v>155</v>
      </c>
      <c r="F7" s="35"/>
      <c r="G7" s="35"/>
      <c r="H7" s="35"/>
      <c r="I7" s="35">
        <v>126989</v>
      </c>
      <c r="J7" s="36" t="s">
        <v>282</v>
      </c>
    </row>
    <row r="8" spans="1:10" s="36" customFormat="1" ht="15" customHeight="1" x14ac:dyDescent="0.25">
      <c r="A8" s="33" t="str">
        <f t="shared" si="0"/>
        <v>#define HASH_SIZE 2097152</v>
      </c>
      <c r="B8" s="33" t="str">
        <f t="shared" si="1"/>
        <v/>
      </c>
      <c r="C8" s="28" t="s">
        <v>139</v>
      </c>
      <c r="D8" s="28"/>
      <c r="E8" s="36" t="s">
        <v>156</v>
      </c>
      <c r="F8" s="35"/>
      <c r="G8" s="35"/>
      <c r="H8" s="35"/>
      <c r="I8" s="35">
        <v>2097152</v>
      </c>
      <c r="J8" s="36" t="s">
        <v>283</v>
      </c>
    </row>
    <row r="9" spans="1:10" s="32" customFormat="1" ht="15" customHeight="1" x14ac:dyDescent="0.25">
      <c r="A9" s="29" t="str">
        <f t="shared" si="0"/>
        <v xml:space="preserve">
// Default Log Verbose Behavior</v>
      </c>
      <c r="B9" s="29" t="str">
        <f t="shared" si="1"/>
        <v xml:space="preserve">  // Default Log Verbose Behavior</v>
      </c>
      <c r="C9" s="30" t="s">
        <v>152</v>
      </c>
      <c r="D9" s="30"/>
      <c r="E9" s="32" t="s">
        <v>327</v>
      </c>
      <c r="F9" s="31"/>
      <c r="G9" s="31"/>
      <c r="H9" s="31"/>
      <c r="I9" s="31"/>
    </row>
    <row r="10" spans="1:10" ht="15" customHeight="1" x14ac:dyDescent="0.25">
      <c r="A10" s="25" t="str">
        <f t="shared" si="0"/>
        <v>#define DEFAULT_MESSAGES true</v>
      </c>
      <c r="B10" s="25" t="str">
        <f t="shared" si="1"/>
        <v/>
      </c>
      <c r="C10" s="1" t="s">
        <v>139</v>
      </c>
      <c r="E10" t="s">
        <v>158</v>
      </c>
      <c r="I10" s="39" t="s">
        <v>160</v>
      </c>
      <c r="J10" t="s">
        <v>164</v>
      </c>
    </row>
    <row r="11" spans="1:10" ht="15" customHeight="1" x14ac:dyDescent="0.25">
      <c r="A11" s="25" t="str">
        <f t="shared" si="0"/>
        <v>#define DEFAULT_SILENT_OUTPUT false</v>
      </c>
      <c r="B11" s="25" t="str">
        <f t="shared" si="1"/>
        <v/>
      </c>
      <c r="C11" s="1" t="s">
        <v>139</v>
      </c>
      <c r="E11" t="s">
        <v>159</v>
      </c>
      <c r="I11" s="39" t="s">
        <v>161</v>
      </c>
      <c r="J11" t="s">
        <v>165</v>
      </c>
    </row>
    <row r="12" spans="1:10" s="32" customFormat="1" ht="15" customHeight="1" x14ac:dyDescent="0.25">
      <c r="A12" s="29" t="str">
        <f t="shared" si="0"/>
        <v xml:space="preserve">
// Environment Variables</v>
      </c>
      <c r="B12" s="29" t="str">
        <f t="shared" si="1"/>
        <v xml:space="preserve">  // Environment Variables</v>
      </c>
      <c r="C12" s="30" t="s">
        <v>152</v>
      </c>
      <c r="D12" s="30"/>
      <c r="E12" s="32" t="s">
        <v>163</v>
      </c>
      <c r="F12" s="31"/>
      <c r="G12" s="31"/>
      <c r="H12" s="31"/>
      <c r="I12" s="31"/>
    </row>
    <row r="13" spans="1:10" ht="15" customHeight="1" x14ac:dyDescent="0.25">
      <c r="A13" s="25" t="str">
        <f t="shared" ref="A13" si="2">IF(C13="","",IF(C13="C",CHAR(10) &amp; "// " &amp; E13,IF(C13="I","#define " &amp; E13 &amp; " " &amp; I13,IF(C13="P","#define " &amp; E13 &amp; " """ &amp; F13 &amp; """" &amp; CHAR(10) &amp; "#define DEFAULT_" &amp; E13 &amp; " " &amp; I13,IF(C13="S","","ERROR")))))</f>
        <v>#define HIDE_END "hide_end"
#define DEFAULT_HIDE_END false</v>
      </c>
      <c r="B13" s="25" t="str">
        <f t="shared" ref="B13" si="3">IF(C13="","",IF(C13="C","  // "&amp;E13,IF(C13="P",IF(D13="E","  Environment.",IF(D13="S","  Simulation.","ERROR"))&amp;"SetSetting("&amp;E13&amp;", "&amp;G13&amp;", "&amp;H13&amp;");",IF(C13="S",
IF(K13=1,"  for (int i = 0; i &lt; "&amp;M13&amp;"; i++) {"&amp;CHAR(10)&amp;IF(D13="E","    Environment.",IF(D13="S","    Simulation.","ERROR"))&amp;"SetSetting("&amp;L13&amp;" + "&amp;N13&amp;", "&amp;G13&amp;", "&amp;H13&amp;");"&amp;CHAR(10)&amp;"  }",
IF(K13=2,"  for (int i = 0; i &lt; "&amp;M13&amp;"; i++) {"&amp;CHAR(10)&amp;"    for (int j = 0; j &lt; "&amp;P13&amp;"; j++) {"&amp;CHAR(10)&amp;IF(D13="E","      Environment.",IF(D13="S","      Simulation.","ERROR"))&amp;"SetSetting("&amp;L13&amp;" + "&amp;N13&amp;" + "&amp;O13&amp;" + "&amp;Q13&amp;", "&amp;G13&amp;", "&amp;H13&amp;");"&amp;CHAR(10)&amp;"    }"&amp;CHAR(10)&amp;"  }","ERROR")),""))))</f>
        <v xml:space="preserve">  Environment.SetSetting(HIDE_END, Data_bool, 1);</v>
      </c>
      <c r="C13" s="1" t="s">
        <v>166</v>
      </c>
      <c r="D13" s="1" t="s">
        <v>269</v>
      </c>
      <c r="E13" s="38" t="s">
        <v>288</v>
      </c>
      <c r="F13" s="13" t="s">
        <v>289</v>
      </c>
      <c r="G13" s="13" t="s">
        <v>167</v>
      </c>
      <c r="H13" s="13">
        <v>1</v>
      </c>
      <c r="I13" s="39" t="s">
        <v>161</v>
      </c>
      <c r="J13" s="13" t="s">
        <v>290</v>
      </c>
    </row>
    <row r="14" spans="1:10" ht="15" customHeight="1" x14ac:dyDescent="0.25">
      <c r="A14" s="25" t="str">
        <f>IF(C14="","",IF(C14="C",CHAR(10) &amp; "// " &amp; E14,IF(C14="I","#define " &amp; E14 &amp; " " &amp; I14,IF(C14="P","#define " &amp; E14 &amp; " """ &amp; F14 &amp; """" &amp; CHAR(10) &amp; "#define DEFAULT_" &amp; E14 &amp; " " &amp; I14,IF(C14="S","","ERROR")))))</f>
        <v>#define NEURONS_NAME_SIZE 6</v>
      </c>
      <c r="B14" s="25" t="str">
        <f>IF(C14="","",IF(C14="C","  // "&amp;E14,IF(C14="P",IF(D14="E","  Environment.",IF(D14="S","  Simulation.","ERROR"))&amp;"SetSetting("&amp;E14&amp;", "&amp;G14&amp;", "&amp;H14&amp;");",IF(C14="S",
IF(K14=1,"  for (int i = 0; i &lt; "&amp;M14&amp;"; i++) {"&amp;CHAR(10)&amp;IF(D14="E","    Environment.",IF(D14="S","    Simulation.","ERROR"))&amp;"SetSetting("&amp;L14&amp;" + "&amp;N14&amp;", "&amp;G14&amp;", "&amp;H14&amp;");"&amp;CHAR(10)&amp;"  }",
IF(K14=2,"  for (int i = 0; i &lt; "&amp;M14&amp;"; i++) {"&amp;CHAR(10)&amp;"    for (int j = 0; j &lt; "&amp;P14&amp;"; j++) {"&amp;CHAR(10)&amp;IF(D14="E","      Environment.",IF(D14="S","      Simulation.","ERROR"))&amp;"SetSetting("&amp;L14&amp;" + "&amp;N14&amp;" + "&amp;O14&amp;" + "&amp;Q14&amp;", "&amp;G14&amp;", "&amp;H14&amp;");"&amp;CHAR(10)&amp;"    }"&amp;CHAR(10)&amp;"  }","ERROR")),""))))</f>
        <v/>
      </c>
      <c r="C14" s="1" t="s">
        <v>139</v>
      </c>
      <c r="E14" s="38" t="s">
        <v>274</v>
      </c>
      <c r="I14" s="13">
        <v>6</v>
      </c>
      <c r="J14" t="s">
        <v>173</v>
      </c>
    </row>
    <row r="15" spans="1:10" s="48" customFormat="1" ht="15" customHeight="1" x14ac:dyDescent="0.25">
      <c r="A15" s="44"/>
      <c r="B15" s="44"/>
      <c r="C15" s="45" t="s">
        <v>141</v>
      </c>
      <c r="D15" s="45"/>
      <c r="E15" s="46" t="s">
        <v>305</v>
      </c>
      <c r="F15" s="47"/>
      <c r="G15" s="47"/>
      <c r="H15" s="47"/>
      <c r="I15" s="47"/>
    </row>
    <row r="16" spans="1:10" s="60" customFormat="1" ht="15" customHeight="1" x14ac:dyDescent="0.25">
      <c r="A16" s="58" t="str">
        <f t="shared" ref="A16" si="4">IF(C16="","",IF(C16="C",CHAR(10) &amp; "// " &amp; E16,IF(C16="I","#define " &amp; E16 &amp; " " &amp; I16,IF(C16="P","#define " &amp; E16 &amp; " """ &amp; F16 &amp; """" &amp; CHAR(10) &amp; "#define DEFAULT_" &amp; E16 &amp; " " &amp; I16,IF(C16="S","","ERROR")))))</f>
        <v xml:space="preserve">
// V1 Neuron Settings</v>
      </c>
      <c r="B16" s="58" t="str">
        <f t="shared" ref="B16" si="5">IF(C16="","",IF(C16="C","  // "&amp;E16,IF(C16="P",IF(D16="E","  Environment.",IF(D16="S","  Simulation.","ERROR"))&amp;"SetSetting("&amp;E16&amp;", "&amp;G16&amp;", "&amp;H16&amp;");",IF(C16="S",
IF(K16=1,"  for (int i = 0; i &lt; "&amp;M16&amp;"; i++) {"&amp;CHAR(10)&amp;IF(D16="E","    Environment.",IF(D16="S","    Simulation.","ERROR"))&amp;"SetSetting("&amp;L16&amp;" + "&amp;N16&amp;", "&amp;G16&amp;", "&amp;H16&amp;");"&amp;CHAR(10)&amp;"  }",
IF(K16=2,"  for (int i = 0; i &lt; "&amp;M16&amp;"; i++) {"&amp;CHAR(10)&amp;"    for (int j = 0; j &lt; "&amp;P16&amp;"; j++) {"&amp;CHAR(10)&amp;IF(D16="E","      Environment.",IF(D16="S","      Simulation.","ERROR"))&amp;"SetSetting("&amp;L16&amp;" + "&amp;N16&amp;" + "&amp;O16&amp;" + "&amp;Q16&amp;", "&amp;G16&amp;", "&amp;H16&amp;");"&amp;CHAR(10)&amp;"    }"&amp;CHAR(10)&amp;"  }","ERROR")),""))))</f>
        <v xml:space="preserve">  // V1 Neuron Settings</v>
      </c>
      <c r="C16" s="59" t="s">
        <v>152</v>
      </c>
      <c r="D16" s="59"/>
      <c r="E16" s="60" t="s">
        <v>340</v>
      </c>
      <c r="F16" s="61"/>
      <c r="G16" s="61"/>
      <c r="H16" s="61"/>
      <c r="I16" s="61"/>
    </row>
    <row r="17" spans="1:14" s="32" customFormat="1" ht="15" customHeight="1" x14ac:dyDescent="0.25">
      <c r="A17" s="29" t="str">
        <f t="shared" si="0"/>
        <v xml:space="preserve">
// V1 Neuron Parameters</v>
      </c>
      <c r="B17" s="29" t="str">
        <f t="shared" si="1"/>
        <v xml:space="preserve">  // V1 Neuron Parameters</v>
      </c>
      <c r="C17" s="30" t="s">
        <v>152</v>
      </c>
      <c r="D17" s="30"/>
      <c r="E17" s="32" t="s">
        <v>171</v>
      </c>
      <c r="F17" s="31"/>
      <c r="G17" s="31"/>
      <c r="H17" s="31"/>
      <c r="I17" s="31"/>
    </row>
    <row r="18" spans="1:14" s="36" customFormat="1" ht="15" customHeight="1" x14ac:dyDescent="0.25">
      <c r="A18" s="33" t="str">
        <f t="shared" si="0"/>
        <v>#define V1_LABEL "V1"</v>
      </c>
      <c r="B18" s="33" t="str">
        <f t="shared" si="1"/>
        <v/>
      </c>
      <c r="C18" s="28" t="s">
        <v>139</v>
      </c>
      <c r="D18" s="28"/>
      <c r="E18" s="42" t="s">
        <v>270</v>
      </c>
      <c r="F18" s="35"/>
      <c r="G18" s="35"/>
      <c r="H18" s="35"/>
      <c r="I18" s="35" t="s">
        <v>271</v>
      </c>
    </row>
    <row r="19" spans="1:14" ht="15" customHeight="1" x14ac:dyDescent="0.25">
      <c r="A19" s="25" t="str">
        <f t="shared" si="0"/>
        <v>#define MAX_V1_NEURONS 600</v>
      </c>
      <c r="B19" s="25" t="str">
        <f t="shared" si="1"/>
        <v/>
      </c>
      <c r="C19" s="1" t="s">
        <v>139</v>
      </c>
      <c r="E19" s="38" t="s">
        <v>172</v>
      </c>
      <c r="I19" s="13">
        <v>600</v>
      </c>
      <c r="J19" t="s">
        <v>330</v>
      </c>
    </row>
    <row r="20" spans="1:14" ht="15" customHeight="1" x14ac:dyDescent="0.25">
      <c r="A20" s="25" t="str">
        <f>IF(C20="","",IF(C20="C",CHAR(10) &amp; "// " &amp; E20,IF(C20="I","#define " &amp; E20 &amp; " " &amp; I20,IF(C20="P","#define " &amp; E20 &amp; " """ &amp; F20 &amp; """" &amp; CHAR(10) &amp; "#define DEFAULT_" &amp; E20 &amp; " " &amp; I20,IF(C20="S","","ERROR")))))</f>
        <v/>
      </c>
      <c r="B20" s="25" t="str">
        <f t="shared" si="1"/>
        <v xml:space="preserve">  for (int i = 0; i &lt; MAX_V1_NEURONS; i++) {
    Simulation.SetSetting(V1_LABEL + NNumber(i), Data_double, 8);
  }</v>
      </c>
      <c r="C20" s="1" t="s">
        <v>268</v>
      </c>
      <c r="D20" s="1" t="s">
        <v>268</v>
      </c>
      <c r="E20" s="38"/>
      <c r="G20" s="13" t="s">
        <v>186</v>
      </c>
      <c r="H20" s="13">
        <v>8</v>
      </c>
      <c r="K20">
        <v>1</v>
      </c>
      <c r="L20" t="s">
        <v>270</v>
      </c>
      <c r="M20" t="s">
        <v>172</v>
      </c>
      <c r="N20" t="s">
        <v>275</v>
      </c>
    </row>
    <row r="21" spans="1:14" ht="15" customHeight="1" x14ac:dyDescent="0.25">
      <c r="A21" s="25" t="str">
        <f t="shared" ref="A21" si="6">IF(C21="","",IF(C21="C",CHAR(10) &amp; "// " &amp; E21,IF(C21="I","#define " &amp; E21 &amp; " " &amp; I21,IF(C21="P","#define " &amp; E21 &amp; " """ &amp; F21 &amp; """" &amp; CHAR(10) &amp; "#define DEFAULT_" &amp; E21 &amp; " " &amp; I21,IF(C21="S","","ERROR")))))</f>
        <v>#define V1_FIRST_CALCULATION "V1_first_calculation"
#define DEFAULT_V1_FIRST_CALCULATION "none"</v>
      </c>
      <c r="B21" s="25" t="str">
        <f t="shared" ref="B21" si="7">IF(C21="","",IF(C21="C","  // "&amp;E21,IF(C21="P",IF(D21="E","  Environment.",IF(D21="S","  Simulation.","ERROR"))&amp;"SetSetting("&amp;E21&amp;", "&amp;G21&amp;", "&amp;H21&amp;");",IF(C21="S",
IF(K21=1,"  for (int i = 0; i &lt; "&amp;M21&amp;"; i++) {"&amp;CHAR(10)&amp;IF(D21="E","    Environment.",IF(D21="S","    Simulation.","ERROR"))&amp;"SetSetting("&amp;L21&amp;" + "&amp;N21&amp;", "&amp;G21&amp;", "&amp;H21&amp;");"&amp;CHAR(10)&amp;"  }",
IF(K21=2,"  for (int i = 0; i &lt; "&amp;M21&amp;"; i++) {"&amp;CHAR(10)&amp;"    for (int j = 0; j &lt; "&amp;P21&amp;"; j++) {"&amp;CHAR(10)&amp;IF(D21="E","      Environment.",IF(D21="S","      Simulation.","ERROR"))&amp;"SetSetting("&amp;L21&amp;" + "&amp;N21&amp;" + "&amp;O21&amp;" + "&amp;Q21&amp;", "&amp;G21&amp;", "&amp;H21&amp;");"&amp;CHAR(10)&amp;"    }"&amp;CHAR(10)&amp;"  }","ERROR")),""))))</f>
        <v xml:space="preserve">  Simulation.SetSetting(V1_FIRST_CALCULATION, Data_string, 1);</v>
      </c>
      <c r="C21" s="1" t="s">
        <v>166</v>
      </c>
      <c r="D21" s="1" t="s">
        <v>268</v>
      </c>
      <c r="E21" s="38" t="s">
        <v>364</v>
      </c>
      <c r="F21" s="13" t="s">
        <v>365</v>
      </c>
      <c r="G21" s="13" t="s">
        <v>176</v>
      </c>
      <c r="H21" s="13">
        <v>1</v>
      </c>
      <c r="I21" s="13" t="s">
        <v>177</v>
      </c>
      <c r="J21" t="s">
        <v>366</v>
      </c>
    </row>
    <row r="22" spans="1:14" ht="15" customHeight="1" x14ac:dyDescent="0.25">
      <c r="A22" s="25" t="str">
        <f t="shared" si="0"/>
        <v>#define V1_ACTIVATION_METHOD "V1_act_method"
#define DEFAULT_V1_ACTIVATION_METHOD "none"</v>
      </c>
      <c r="B22" s="25" t="str">
        <f t="shared" si="1"/>
        <v xml:space="preserve">  Simulation.SetSetting(V1_ACTIVATION_METHOD, Data_string, 1);</v>
      </c>
      <c r="C22" s="1" t="s">
        <v>166</v>
      </c>
      <c r="D22" s="1" t="s">
        <v>268</v>
      </c>
      <c r="E22" s="38" t="s">
        <v>174</v>
      </c>
      <c r="F22" s="13" t="s">
        <v>175</v>
      </c>
      <c r="G22" s="13" t="s">
        <v>176</v>
      </c>
      <c r="H22" s="13">
        <v>1</v>
      </c>
      <c r="I22" s="13" t="s">
        <v>177</v>
      </c>
      <c r="J22" t="s">
        <v>181</v>
      </c>
    </row>
    <row r="23" spans="1:14" ht="15" customHeight="1" x14ac:dyDescent="0.25">
      <c r="A23" s="25" t="str">
        <f t="shared" si="0"/>
        <v>#define V1_DACTIVATION_METHOD "V1_dac_method"
#define DEFAULT_V1_DACTIVATION_METHOD "none"</v>
      </c>
      <c r="B23" s="25" t="str">
        <f t="shared" si="1"/>
        <v xml:space="preserve">  Simulation.SetSetting(V1_DACTIVATION_METHOD, Data_string, 1);</v>
      </c>
      <c r="C23" s="1" t="s">
        <v>166</v>
      </c>
      <c r="D23" s="1" t="s">
        <v>268</v>
      </c>
      <c r="E23" s="38" t="s">
        <v>178</v>
      </c>
      <c r="F23" s="13" t="s">
        <v>179</v>
      </c>
      <c r="G23" s="13" t="s">
        <v>176</v>
      </c>
      <c r="H23" s="13">
        <v>1</v>
      </c>
      <c r="I23" s="13" t="s">
        <v>177</v>
      </c>
      <c r="J23" t="s">
        <v>180</v>
      </c>
    </row>
    <row r="24" spans="1:14" ht="15" customHeight="1" x14ac:dyDescent="0.25">
      <c r="A24" s="25" t="str">
        <f t="shared" si="0"/>
        <v>#define V1_EXTERNAL_EXCITATION_METHOD "V1_external_excitation_method"
#define DEFAULT_V1_EXTERNAL_EXCITATION_METHOD "none"</v>
      </c>
      <c r="B24" s="25" t="str">
        <f t="shared" si="1"/>
        <v xml:space="preserve">  Simulation.SetSetting(V1_EXTERNAL_EXCITATION_METHOD, Data_string, 1);</v>
      </c>
      <c r="C24" s="1" t="s">
        <v>166</v>
      </c>
      <c r="D24" s="1" t="s">
        <v>268</v>
      </c>
      <c r="E24" s="38" t="s">
        <v>266</v>
      </c>
      <c r="F24" s="13" t="s">
        <v>267</v>
      </c>
      <c r="G24" s="13" t="s">
        <v>176</v>
      </c>
      <c r="H24" s="13">
        <v>1</v>
      </c>
      <c r="I24" s="13" t="s">
        <v>177</v>
      </c>
    </row>
    <row r="25" spans="1:14" s="64" customFormat="1" ht="15" customHeight="1" x14ac:dyDescent="0.25">
      <c r="A25" s="62" t="str">
        <f t="shared" ref="A25:A33" si="8">IF(C25="","",IF(C25="C",CHAR(10) &amp; "// " &amp; E25,IF(C25="I","#define " &amp; E25 &amp; " " &amp; I25,IF(C25="P","#define " &amp; E25 &amp; " """ &amp; F25 &amp; """" &amp; CHAR(10) &amp; "#define DEFAULT_" &amp; E25 &amp; " " &amp; I25,IF(C25="S","","ERROR")))))</f>
        <v xml:space="preserve">
// V1 Activation Methods</v>
      </c>
      <c r="B25" s="62" t="str">
        <f t="shared" ref="B25:B33" si="9">IF(C25="","",IF(C25="C","  // "&amp;E25,IF(C25="P",IF(D25="E","  Environment.",IF(D25="S","  Simulation.","ERROR"))&amp;"SetSetting("&amp;E25&amp;", "&amp;G25&amp;", "&amp;H25&amp;");",IF(C25="S",
IF(K25=1,"  for (int i = 0; i &lt; "&amp;M25&amp;"; i++) {"&amp;CHAR(10)&amp;IF(D25="E","    Environment.",IF(D25="S","    Simulation.","ERROR"))&amp;"SetSetting("&amp;L25&amp;" + "&amp;N25&amp;", "&amp;G25&amp;", "&amp;H25&amp;");"&amp;CHAR(10)&amp;"  }",
IF(K25=2,"  for (int i = 0; i &lt; "&amp;M25&amp;"; i++) {"&amp;CHAR(10)&amp;"    for (int j = 0; j &lt; "&amp;P25&amp;"; j++) {"&amp;CHAR(10)&amp;IF(D25="E","      Environment.",IF(D25="S","      Simulation.","ERROR"))&amp;"SetSetting("&amp;L25&amp;" + "&amp;N25&amp;" + "&amp;O25&amp;" + "&amp;Q25&amp;", "&amp;G25&amp;", "&amp;H25&amp;");"&amp;CHAR(10)&amp;"    }"&amp;CHAR(10)&amp;"  }","ERROR")),""))))</f>
        <v xml:space="preserve">  // V1 Activation Methods</v>
      </c>
      <c r="C25" s="63" t="s">
        <v>152</v>
      </c>
      <c r="D25" s="63"/>
      <c r="E25" s="66" t="s">
        <v>331</v>
      </c>
      <c r="F25" s="65"/>
      <c r="G25" s="65"/>
      <c r="H25" s="65"/>
      <c r="I25" s="65"/>
    </row>
    <row r="26" spans="1:14" ht="15" customHeight="1" x14ac:dyDescent="0.25">
      <c r="A26" s="25" t="str">
        <f t="shared" si="8"/>
        <v>#define V1_A001 "V1_A001"</v>
      </c>
      <c r="B26" s="25" t="str">
        <f t="shared" si="9"/>
        <v/>
      </c>
      <c r="C26" s="1" t="s">
        <v>139</v>
      </c>
      <c r="E26" s="38" t="s">
        <v>332</v>
      </c>
      <c r="I26" s="13" t="s">
        <v>333</v>
      </c>
      <c r="J26" t="s">
        <v>334</v>
      </c>
    </row>
    <row r="27" spans="1:14" s="32" customFormat="1" ht="15" customHeight="1" x14ac:dyDescent="0.25">
      <c r="A27" s="29" t="str">
        <f t="shared" si="8"/>
        <v xml:space="preserve">
// V1_A001 Method Parameters</v>
      </c>
      <c r="B27" s="29" t="str">
        <f t="shared" si="9"/>
        <v xml:space="preserve">  // V1_A001 Method Parameters</v>
      </c>
      <c r="C27" s="30" t="s">
        <v>152</v>
      </c>
      <c r="D27" s="30"/>
      <c r="E27" s="40" t="s">
        <v>337</v>
      </c>
      <c r="F27" s="31"/>
      <c r="G27" s="31"/>
      <c r="H27" s="31"/>
      <c r="I27" s="31"/>
    </row>
    <row r="28" spans="1:14" ht="15" customHeight="1" x14ac:dyDescent="0.25">
      <c r="A28" s="25" t="str">
        <f t="shared" ref="A28:A30" si="10">IF(C28="","",IF(C28="C",CHAR(10) &amp; "// " &amp; E28,IF(C28="I","#define " &amp; E28 &amp; " " &amp; I28,IF(C28="P","#define " &amp; E28 &amp; " """ &amp; F28 &amp; """" &amp; CHAR(10) &amp; "#define DEFAULT_" &amp; E28 &amp; " " &amp; I28,IF(C28="S","","ERROR")))))</f>
        <v>#define V1_A001_NL_MAX "V1_A001_nl_max"
#define DEFAULT_V1_A001_NL_MAX 1</v>
      </c>
      <c r="B28" s="25" t="str">
        <f t="shared" ref="B28:B30" si="11">IF(C28="","",IF(C28="C","  // "&amp;E28,IF(C28="P",IF(D28="E","  Environment.",IF(D28="S","  Simulation.","ERROR"))&amp;"SetSetting("&amp;E28&amp;", "&amp;G28&amp;", "&amp;H28&amp;");",IF(C28="S",
IF(K28=1,"  for (int i = 0; i &lt; "&amp;M28&amp;"; i++) {"&amp;CHAR(10)&amp;IF(D28="E","    Environment.",IF(D28="S","    Simulation.","ERROR"))&amp;"SetSetting("&amp;L28&amp;" + "&amp;N28&amp;", "&amp;G28&amp;", "&amp;H28&amp;");"&amp;CHAR(10)&amp;"  }",
IF(K28=2,"  for (int i = 0; i &lt; "&amp;M28&amp;"; i++) {"&amp;CHAR(10)&amp;"    for (int j = 0; j &lt; "&amp;P28&amp;"; j++) {"&amp;CHAR(10)&amp;IF(D28="E","      Environment.",IF(D28="S","      Simulation.","ERROR"))&amp;"SetSetting("&amp;L28&amp;" + "&amp;N28&amp;" + "&amp;O28&amp;" + "&amp;Q28&amp;", "&amp;G28&amp;", "&amp;H28&amp;");"&amp;CHAR(10)&amp;"    }"&amp;CHAR(10)&amp;"  }","ERROR")),""))))</f>
        <v xml:space="preserve">  Simulation.SetSetting(V1_A001_NL_MAX, Data_double, 1);</v>
      </c>
      <c r="C28" s="1" t="s">
        <v>166</v>
      </c>
      <c r="D28" s="1" t="s">
        <v>268</v>
      </c>
      <c r="E28" s="38" t="s">
        <v>373</v>
      </c>
      <c r="F28" s="13" t="s">
        <v>376</v>
      </c>
      <c r="G28" s="13" t="s">
        <v>186</v>
      </c>
      <c r="H28" s="13">
        <v>1</v>
      </c>
      <c r="I28" s="13">
        <v>1</v>
      </c>
    </row>
    <row r="29" spans="1:14" ht="15" customHeight="1" x14ac:dyDescent="0.25">
      <c r="A29" s="25" t="str">
        <f t="shared" si="10"/>
        <v>#define V1_A001_NL_A "V1_A001_nl_a"
#define DEFAULT_V1_A001_NL_A 5</v>
      </c>
      <c r="B29" s="25" t="str">
        <f t="shared" si="11"/>
        <v xml:space="preserve">  Simulation.SetSetting(V1_A001_NL_A, Data_double, 1);</v>
      </c>
      <c r="C29" s="1" t="s">
        <v>166</v>
      </c>
      <c r="D29" s="1" t="s">
        <v>268</v>
      </c>
      <c r="E29" s="38" t="s">
        <v>374</v>
      </c>
      <c r="F29" s="13" t="s">
        <v>377</v>
      </c>
      <c r="G29" s="13" t="s">
        <v>186</v>
      </c>
      <c r="H29" s="13">
        <v>1</v>
      </c>
      <c r="I29" s="13">
        <v>5</v>
      </c>
    </row>
    <row r="30" spans="1:14" ht="15" customHeight="1" x14ac:dyDescent="0.25">
      <c r="A30" s="25" t="str">
        <f t="shared" si="10"/>
        <v>#define V1_A001_NL_B "V1_A001_nl_b"
#define DEFAULT_V1_A001_NL_B 0.17</v>
      </c>
      <c r="B30" s="25" t="str">
        <f t="shared" si="11"/>
        <v xml:space="preserve">  Simulation.SetSetting(V1_A001_NL_B, Data_double, 1);</v>
      </c>
      <c r="C30" s="1" t="s">
        <v>166</v>
      </c>
      <c r="D30" s="1" t="s">
        <v>268</v>
      </c>
      <c r="E30" s="38" t="s">
        <v>375</v>
      </c>
      <c r="F30" s="13" t="s">
        <v>378</v>
      </c>
      <c r="G30" s="13" t="s">
        <v>186</v>
      </c>
      <c r="H30" s="13">
        <v>1</v>
      </c>
      <c r="I30" s="13">
        <v>0.17</v>
      </c>
    </row>
    <row r="31" spans="1:14" s="32" customFormat="1" ht="15" customHeight="1" x14ac:dyDescent="0.25">
      <c r="A31" s="29" t="str">
        <f t="shared" ref="A31" si="12">IF(C31="","",IF(C31="C",CHAR(10) &amp; "// " &amp; E31,IF(C31="I","#define " &amp; E31 &amp; " " &amp; I31,IF(C31="P","#define " &amp; E31 &amp; " """ &amp; F31 &amp; """" &amp; CHAR(10) &amp; "#define DEFAULT_" &amp; E31 &amp; " " &amp; I31,IF(C31="S","","ERROR")))))</f>
        <v xml:space="preserve">
// None</v>
      </c>
      <c r="B31" s="29" t="str">
        <f t="shared" ref="B31" si="13">IF(C31="","",IF(C31="C","  // "&amp;E31,IF(C31="P",IF(D31="E","  Environment.",IF(D31="S","  Simulation.","ERROR"))&amp;"SetSetting("&amp;E31&amp;", "&amp;G31&amp;", "&amp;H31&amp;");",IF(C31="S",
IF(K31=1,"  for (int i = 0; i &lt; "&amp;M31&amp;"; i++) {"&amp;CHAR(10)&amp;IF(D31="E","    Environment.",IF(D31="S","    Simulation.","ERROR"))&amp;"SetSetting("&amp;L31&amp;" + "&amp;N31&amp;", "&amp;G31&amp;", "&amp;H31&amp;");"&amp;CHAR(10)&amp;"  }",
IF(K31=2,"  for (int i = 0; i &lt; "&amp;M31&amp;"; i++) {"&amp;CHAR(10)&amp;"    for (int j = 0; j &lt; "&amp;P31&amp;"; j++) {"&amp;CHAR(10)&amp;IF(D31="E","      Environment.",IF(D31="S","      Simulation.","ERROR"))&amp;"SetSetting("&amp;L31&amp;" + "&amp;N31&amp;" + "&amp;O31&amp;" + "&amp;Q31&amp;", "&amp;G31&amp;", "&amp;H31&amp;");"&amp;CHAR(10)&amp;"    }"&amp;CHAR(10)&amp;"  }","ERROR")),""))))</f>
        <v xml:space="preserve">  // None</v>
      </c>
      <c r="C31" s="30" t="s">
        <v>152</v>
      </c>
      <c r="D31" s="30"/>
      <c r="E31" s="40" t="s">
        <v>343</v>
      </c>
      <c r="F31" s="31"/>
      <c r="G31" s="31"/>
      <c r="H31" s="31"/>
      <c r="I31" s="31"/>
    </row>
    <row r="32" spans="1:14" s="64" customFormat="1" ht="15" customHeight="1" x14ac:dyDescent="0.25">
      <c r="A32" s="62" t="str">
        <f t="shared" si="8"/>
        <v xml:space="preserve">
// V1 Derivate Activation Methods</v>
      </c>
      <c r="B32" s="62" t="str">
        <f t="shared" si="9"/>
        <v xml:space="preserve">  // V1 Derivate Activation Methods</v>
      </c>
      <c r="C32" s="63" t="s">
        <v>152</v>
      </c>
      <c r="D32" s="63"/>
      <c r="E32" s="66" t="s">
        <v>335</v>
      </c>
      <c r="F32" s="65"/>
      <c r="G32" s="65"/>
      <c r="H32" s="65"/>
      <c r="I32" s="65"/>
    </row>
    <row r="33" spans="1:10" ht="15" customHeight="1" x14ac:dyDescent="0.25">
      <c r="A33" s="25" t="str">
        <f t="shared" si="8"/>
        <v>#define V1_D001 "V1_D001"</v>
      </c>
      <c r="B33" s="25" t="str">
        <f t="shared" si="9"/>
        <v/>
      </c>
      <c r="C33" s="1" t="s">
        <v>139</v>
      </c>
      <c r="E33" s="38" t="s">
        <v>182</v>
      </c>
      <c r="I33" s="13" t="s">
        <v>250</v>
      </c>
      <c r="J33" t="s">
        <v>183</v>
      </c>
    </row>
    <row r="34" spans="1:10" s="32" customFormat="1" ht="15" customHeight="1" x14ac:dyDescent="0.25">
      <c r="A34" s="29" t="str">
        <f t="shared" si="0"/>
        <v xml:space="preserve">
// V1_D001 Method Parameters</v>
      </c>
      <c r="B34" s="29" t="str">
        <f t="shared" si="1"/>
        <v xml:space="preserve">  // V1_D001 Method Parameters</v>
      </c>
      <c r="C34" s="30" t="s">
        <v>152</v>
      </c>
      <c r="D34" s="30"/>
      <c r="E34" s="40" t="s">
        <v>336</v>
      </c>
      <c r="F34" s="31"/>
      <c r="G34" s="31"/>
      <c r="H34" s="31"/>
      <c r="I34" s="31"/>
    </row>
    <row r="35" spans="1:10" ht="15" customHeight="1" x14ac:dyDescent="0.25">
      <c r="A35" s="25" t="str">
        <f t="shared" si="0"/>
        <v>#define V1_D001_CONDUCTANCE_LEAK "V1_D001_conductance_leak"
#define DEFAULT_V1_D001_CONDUCTANCE_LEAK -0.1</v>
      </c>
      <c r="B35" s="25" t="str">
        <f t="shared" si="1"/>
        <v xml:space="preserve">  Simulation.SetSetting(V1_D001_CONDUCTANCE_LEAK, Data_double, 1);</v>
      </c>
      <c r="C35" s="1" t="s">
        <v>166</v>
      </c>
      <c r="D35" s="1" t="s">
        <v>268</v>
      </c>
      <c r="E35" s="38" t="s">
        <v>184</v>
      </c>
      <c r="F35" s="13" t="s">
        <v>185</v>
      </c>
      <c r="G35" s="13" t="s">
        <v>186</v>
      </c>
      <c r="H35" s="13">
        <v>1</v>
      </c>
      <c r="I35" s="13">
        <v>-0.1</v>
      </c>
    </row>
    <row r="36" spans="1:10" ht="15" customHeight="1" x14ac:dyDescent="0.25">
      <c r="A36" s="25" t="str">
        <f t="shared" si="0"/>
        <v>#define V1_D001_EXCITATORY_FACTOR "V1_D001_excitatory_factor"
#define DEFAULT_V1_D001_EXCITATORY_FACTOR 0.2</v>
      </c>
      <c r="B36" s="25" t="str">
        <f t="shared" si="1"/>
        <v xml:space="preserve">  Simulation.SetSetting(V1_D001_EXCITATORY_FACTOR, Data_double, 1);</v>
      </c>
      <c r="C36" s="1" t="s">
        <v>166</v>
      </c>
      <c r="D36" s="1" t="s">
        <v>268</v>
      </c>
      <c r="E36" s="38" t="s">
        <v>187</v>
      </c>
      <c r="F36" s="13" t="s">
        <v>188</v>
      </c>
      <c r="G36" s="13" t="s">
        <v>186</v>
      </c>
      <c r="H36" s="13">
        <v>1</v>
      </c>
      <c r="I36" s="13">
        <v>0.2</v>
      </c>
    </row>
    <row r="37" spans="1:10" ht="15" customHeight="1" x14ac:dyDescent="0.25">
      <c r="A37" s="25" t="str">
        <f t="shared" si="0"/>
        <v>#define V1_D001_INHIBITION_FACTOR "V1_D001_inhibition_factor"
#define DEFAULT_V1_D001_INHIBITION_FACTOR -0.8</v>
      </c>
      <c r="B37" s="25" t="str">
        <f t="shared" si="1"/>
        <v xml:space="preserve">  Simulation.SetSetting(V1_D001_INHIBITION_FACTOR, Data_double, 1);</v>
      </c>
      <c r="C37" s="1" t="s">
        <v>166</v>
      </c>
      <c r="D37" s="1" t="s">
        <v>268</v>
      </c>
      <c r="E37" s="38" t="s">
        <v>189</v>
      </c>
      <c r="F37" s="13" t="s">
        <v>190</v>
      </c>
      <c r="G37" s="13" t="s">
        <v>186</v>
      </c>
      <c r="H37" s="13">
        <v>1</v>
      </c>
      <c r="I37" s="13">
        <v>-0.8</v>
      </c>
    </row>
    <row r="38" spans="1:10" s="64" customFormat="1" ht="15" customHeight="1" x14ac:dyDescent="0.25">
      <c r="A38" s="62" t="str">
        <f t="shared" ref="A38:A39" si="14">IF(C38="","",IF(C38="C",CHAR(10) &amp; "// " &amp; E38,IF(C38="I","#define " &amp; E38 &amp; " " &amp; I38,IF(C38="P","#define " &amp; E38 &amp; " """ &amp; F38 &amp; """" &amp; CHAR(10) &amp; "#define DEFAULT_" &amp; E38 &amp; " " &amp; I38,IF(C38="S","","ERROR")))))</f>
        <v xml:space="preserve">
// V1 Diffusion Imput Methods</v>
      </c>
      <c r="B38" s="62" t="str">
        <f t="shared" ref="B38:B39" si="15">IF(C38="","",IF(C38="C","  // "&amp;E38,IF(C38="P",IF(D38="E","  Environment.",IF(D38="S","  Simulation.","ERROR"))&amp;"SetSetting("&amp;E38&amp;", "&amp;G38&amp;", "&amp;H38&amp;");",IF(C38="S",
IF(K38=1,"  for (int i = 0; i &lt; "&amp;M38&amp;"; i++) {"&amp;CHAR(10)&amp;IF(D38="E","    Environment.",IF(D38="S","    Simulation.","ERROR"))&amp;"SetSetting("&amp;L38&amp;" + "&amp;N38&amp;", "&amp;G38&amp;", "&amp;H38&amp;");"&amp;CHAR(10)&amp;"  }",
IF(K38=2,"  for (int i = 0; i &lt; "&amp;M38&amp;"; i++) {"&amp;CHAR(10)&amp;"    for (int j = 0; j &lt; "&amp;P38&amp;"; j++) {"&amp;CHAR(10)&amp;IF(D38="E","      Environment.",IF(D38="S","      Simulation.","ERROR"))&amp;"SetSetting("&amp;L38&amp;" + "&amp;N38&amp;" + "&amp;O38&amp;" + "&amp;Q38&amp;", "&amp;G38&amp;", "&amp;H38&amp;");"&amp;CHAR(10)&amp;"    }"&amp;CHAR(10)&amp;"  }","ERROR")),""))))</f>
        <v xml:space="preserve">  // V1 Diffusion Imput Methods</v>
      </c>
      <c r="C38" s="63" t="s">
        <v>152</v>
      </c>
      <c r="D38" s="63"/>
      <c r="E38" s="64" t="s">
        <v>338</v>
      </c>
      <c r="F38" s="65"/>
      <c r="G38" s="65"/>
      <c r="H38" s="65"/>
      <c r="I38" s="65"/>
    </row>
    <row r="39" spans="1:10" s="36" customFormat="1" ht="15" customHeight="1" x14ac:dyDescent="0.25">
      <c r="A39" s="33" t="str">
        <f t="shared" si="14"/>
        <v>#define V1_F001 "V1_F001"</v>
      </c>
      <c r="B39" s="33" t="str">
        <f t="shared" si="15"/>
        <v/>
      </c>
      <c r="C39" s="28" t="s">
        <v>139</v>
      </c>
      <c r="D39" s="28"/>
      <c r="E39" s="36" t="s">
        <v>205</v>
      </c>
      <c r="F39" s="35"/>
      <c r="G39" s="35"/>
      <c r="H39" s="35"/>
      <c r="I39" s="35" t="s">
        <v>251</v>
      </c>
    </row>
    <row r="40" spans="1:10" s="32" customFormat="1" ht="15" customHeight="1" x14ac:dyDescent="0.25">
      <c r="A40" s="29" t="str">
        <f t="shared" si="0"/>
        <v xml:space="preserve">
// V1_F001 Method Parameters</v>
      </c>
      <c r="B40" s="29" t="str">
        <f t="shared" si="1"/>
        <v xml:space="preserve">  // V1_F001 Method Parameters</v>
      </c>
      <c r="C40" s="30" t="s">
        <v>152</v>
      </c>
      <c r="D40" s="30"/>
      <c r="E40" s="32" t="s">
        <v>339</v>
      </c>
      <c r="F40" s="31"/>
      <c r="G40" s="31"/>
      <c r="H40" s="31"/>
      <c r="I40" s="31"/>
    </row>
    <row r="41" spans="1:10" ht="15" customHeight="1" x14ac:dyDescent="0.25">
      <c r="A41" s="25" t="str">
        <f t="shared" si="0"/>
        <v>#define V1_F001_A "V1_F001_a"
#define DEFAULT_V1_F001_A 0</v>
      </c>
      <c r="B41" s="25" t="str">
        <f t="shared" si="1"/>
        <v xml:space="preserve">  Simulation.SetSetting(V1_F001_A, Data_double, 1);</v>
      </c>
      <c r="C41" s="1" t="s">
        <v>166</v>
      </c>
      <c r="D41" s="1" t="s">
        <v>268</v>
      </c>
      <c r="E41" t="s">
        <v>191</v>
      </c>
      <c r="F41" t="s">
        <v>198</v>
      </c>
      <c r="G41" s="13" t="s">
        <v>186</v>
      </c>
      <c r="H41" s="13">
        <v>1</v>
      </c>
      <c r="I41" s="13">
        <v>0</v>
      </c>
    </row>
    <row r="42" spans="1:10" ht="15" customHeight="1" x14ac:dyDescent="0.25">
      <c r="A42" s="25" t="str">
        <f t="shared" si="0"/>
        <v>#define V1_F001_B "V1_F001_b"
#define DEFAULT_V1_F001_B 0</v>
      </c>
      <c r="B42" s="25" t="str">
        <f t="shared" si="1"/>
        <v xml:space="preserve">  Simulation.SetSetting(V1_F001_B, Data_double, 1);</v>
      </c>
      <c r="C42" s="1" t="s">
        <v>166</v>
      </c>
      <c r="D42" s="1" t="s">
        <v>268</v>
      </c>
      <c r="E42" t="s">
        <v>192</v>
      </c>
      <c r="F42" t="s">
        <v>199</v>
      </c>
      <c r="G42" s="13" t="s">
        <v>186</v>
      </c>
      <c r="H42" s="13">
        <v>1</v>
      </c>
      <c r="I42" s="13">
        <v>0</v>
      </c>
    </row>
    <row r="43" spans="1:10" ht="15" customHeight="1" x14ac:dyDescent="0.25">
      <c r="A43" s="25" t="str">
        <f t="shared" si="0"/>
        <v>#define V1_F001_ORIENTATION "V1_F001_orientation"
#define DEFAULT_V1_F001_ORIENTATION 0</v>
      </c>
      <c r="B43" s="25" t="str">
        <f t="shared" si="1"/>
        <v xml:space="preserve">  Simulation.SetSetting(V1_F001_ORIENTATION, Data_double, 1);</v>
      </c>
      <c r="C43" s="1" t="s">
        <v>166</v>
      </c>
      <c r="D43" s="1" t="s">
        <v>268</v>
      </c>
      <c r="E43" t="s">
        <v>193</v>
      </c>
      <c r="F43" t="s">
        <v>200</v>
      </c>
      <c r="G43" s="13" t="s">
        <v>186</v>
      </c>
      <c r="H43" s="13">
        <v>1</v>
      </c>
      <c r="I43" s="13">
        <v>0</v>
      </c>
    </row>
    <row r="44" spans="1:10" ht="15" customHeight="1" x14ac:dyDescent="0.25">
      <c r="A44" s="25" t="str">
        <f t="shared" si="0"/>
        <v>#define V1_F001_SPATIAL_FREQUENCY "V1_F001_spatial_frequency"
#define DEFAULT_V1_F001_SPATIAL_FREQUENCY 0</v>
      </c>
      <c r="B44" s="25" t="str">
        <f t="shared" si="1"/>
        <v xml:space="preserve">  Simulation.SetSetting(V1_F001_SPATIAL_FREQUENCY, Data_double, 1);</v>
      </c>
      <c r="C44" s="1" t="s">
        <v>166</v>
      </c>
      <c r="D44" s="1" t="s">
        <v>268</v>
      </c>
      <c r="E44" t="s">
        <v>194</v>
      </c>
      <c r="F44" t="s">
        <v>201</v>
      </c>
      <c r="G44" s="13" t="s">
        <v>186</v>
      </c>
      <c r="H44" s="13">
        <v>1</v>
      </c>
      <c r="I44" s="13">
        <v>0</v>
      </c>
    </row>
    <row r="45" spans="1:10" ht="15" customHeight="1" x14ac:dyDescent="0.25">
      <c r="A45" s="25" t="str">
        <f t="shared" si="0"/>
        <v>#define V1_F001_TEMPORAL_FREQUENCY "V1_F001_temporal_frequency"
#define DEFAULT_V1_F001_TEMPORAL_FREQUENCY 0</v>
      </c>
      <c r="B45" s="25" t="str">
        <f t="shared" si="1"/>
        <v xml:space="preserve">  Simulation.SetSetting(V1_F001_TEMPORAL_FREQUENCY, Data_double, 1);</v>
      </c>
      <c r="C45" s="1" t="s">
        <v>166</v>
      </c>
      <c r="D45" s="1" t="s">
        <v>268</v>
      </c>
      <c r="E45" t="s">
        <v>195</v>
      </c>
      <c r="F45" t="s">
        <v>202</v>
      </c>
      <c r="G45" s="13" t="s">
        <v>186</v>
      </c>
      <c r="H45" s="13">
        <v>1</v>
      </c>
      <c r="I45" s="13">
        <v>0</v>
      </c>
    </row>
    <row r="46" spans="1:10" ht="15" customHeight="1" x14ac:dyDescent="0.25">
      <c r="A46" s="25" t="str">
        <f t="shared" si="0"/>
        <v>#define V1_F001_MAGNITUDE "V1_F001_magnitude"
#define DEFAULT_V1_F001_MAGNITUDE 0</v>
      </c>
      <c r="B46" s="25" t="str">
        <f t="shared" si="1"/>
        <v xml:space="preserve">  Simulation.SetSetting(V1_F001_MAGNITUDE, Data_double, 1);</v>
      </c>
      <c r="C46" s="1" t="s">
        <v>166</v>
      </c>
      <c r="D46" s="1" t="s">
        <v>268</v>
      </c>
      <c r="E46" t="s">
        <v>196</v>
      </c>
      <c r="F46" t="s">
        <v>203</v>
      </c>
      <c r="G46" s="13" t="s">
        <v>186</v>
      </c>
      <c r="H46" s="13">
        <v>1</v>
      </c>
      <c r="I46" s="13">
        <v>0</v>
      </c>
    </row>
    <row r="47" spans="1:10" ht="15" customHeight="1" x14ac:dyDescent="0.25">
      <c r="A47" s="25" t="str">
        <f t="shared" si="0"/>
        <v>#define V1_F001_PHASE "V1_F001_phase"
#define DEFAULT_V1_F001_PHASE 0</v>
      </c>
      <c r="B47" s="25" t="str">
        <f t="shared" si="1"/>
        <v xml:space="preserve">  Simulation.SetSetting(V1_F001_PHASE, Data_int, 1);</v>
      </c>
      <c r="C47" s="1" t="s">
        <v>166</v>
      </c>
      <c r="D47" s="1" t="s">
        <v>268</v>
      </c>
      <c r="E47" t="s">
        <v>197</v>
      </c>
      <c r="F47" t="s">
        <v>204</v>
      </c>
      <c r="G47" s="13" t="s">
        <v>278</v>
      </c>
      <c r="H47" s="13">
        <v>1</v>
      </c>
      <c r="I47" s="13">
        <v>0</v>
      </c>
    </row>
    <row r="48" spans="1:10" s="60" customFormat="1" ht="15" customHeight="1" x14ac:dyDescent="0.25">
      <c r="A48" s="58" t="str">
        <f t="shared" ref="A48" si="16">IF(C48="","",IF(C48="C",CHAR(10) &amp; "// " &amp; E48,IF(C48="I","#define " &amp; E48 &amp; " " &amp; I48,IF(C48="P","#define " &amp; E48 &amp; " """ &amp; F48 &amp; """" &amp; CHAR(10) &amp; "#define DEFAULT_" &amp; E48 &amp; " " &amp; I48,IF(C48="S","","ERROR")))))</f>
        <v xml:space="preserve">
// MT Neuron Settings</v>
      </c>
      <c r="B48" s="58" t="str">
        <f t="shared" ref="B48" si="17">IF(C48="","",IF(C48="C","  // "&amp;E48,IF(C48="P",IF(D48="E","  Environment.",IF(D48="S","  Simulation.","ERROR"))&amp;"SetSetting("&amp;E48&amp;", "&amp;G48&amp;", "&amp;H48&amp;");",IF(C48="S",
IF(K48=1,"  for (int i = 0; i &lt; "&amp;M48&amp;"; i++) {"&amp;CHAR(10)&amp;IF(D48="E","    Environment.",IF(D48="S","    Simulation.","ERROR"))&amp;"SetSetting("&amp;L48&amp;" + "&amp;N48&amp;", "&amp;G48&amp;", "&amp;H48&amp;");"&amp;CHAR(10)&amp;"  }",
IF(K48=2,"  for (int i = 0; i &lt; "&amp;M48&amp;"; i++) {"&amp;CHAR(10)&amp;"    for (int j = 0; j &lt; "&amp;P48&amp;"; j++) {"&amp;CHAR(10)&amp;IF(D48="E","      Environment.",IF(D48="S","      Simulation.","ERROR"))&amp;"SetSetting("&amp;L48&amp;" + "&amp;N48&amp;" + "&amp;O48&amp;" + "&amp;Q48&amp;", "&amp;G48&amp;", "&amp;H48&amp;");"&amp;CHAR(10)&amp;"    }"&amp;CHAR(10)&amp;"  }","ERROR")),""))))</f>
        <v xml:space="preserve">  // MT Neuron Settings</v>
      </c>
      <c r="C48" s="59" t="s">
        <v>152</v>
      </c>
      <c r="D48" s="59"/>
      <c r="E48" s="60" t="s">
        <v>341</v>
      </c>
      <c r="F48" s="61"/>
      <c r="G48" s="61"/>
      <c r="H48" s="61"/>
      <c r="I48" s="61"/>
    </row>
    <row r="49" spans="1:14" s="32" customFormat="1" ht="15" customHeight="1" x14ac:dyDescent="0.25">
      <c r="A49" s="29" t="str">
        <f t="shared" si="0"/>
        <v xml:space="preserve">
// MT Neuron Parameters</v>
      </c>
      <c r="B49" s="29" t="str">
        <f t="shared" si="1"/>
        <v xml:space="preserve">  // MT Neuron Parameters</v>
      </c>
      <c r="C49" s="30" t="s">
        <v>152</v>
      </c>
      <c r="D49" s="30"/>
      <c r="E49" s="32" t="s">
        <v>206</v>
      </c>
      <c r="F49" s="31"/>
      <c r="G49" s="31"/>
      <c r="H49" s="31"/>
      <c r="I49" s="31"/>
    </row>
    <row r="50" spans="1:14" s="36" customFormat="1" ht="15" customHeight="1" x14ac:dyDescent="0.25">
      <c r="A50" s="33" t="str">
        <f t="shared" ref="A50" si="18">IF(C50="","",IF(C50="C",CHAR(10) &amp; "// " &amp; E50,IF(C50="I","#define " &amp; E50 &amp; " " &amp; I50,IF(C50="P","#define " &amp; E50 &amp; " """ &amp; F50 &amp; """" &amp; CHAR(10) &amp; "#define DEFAULT_" &amp; E50 &amp; " " &amp; I50,IF(C50="S","","ERROR")))))</f>
        <v>#define MT_LABEL "MT"</v>
      </c>
      <c r="B50" s="33" t="str">
        <f t="shared" si="1"/>
        <v/>
      </c>
      <c r="C50" s="28" t="s">
        <v>139</v>
      </c>
      <c r="D50" s="28"/>
      <c r="E50" s="42" t="s">
        <v>272</v>
      </c>
      <c r="F50" s="35"/>
      <c r="G50" s="35"/>
      <c r="H50" s="35"/>
      <c r="I50" s="35" t="s">
        <v>273</v>
      </c>
    </row>
    <row r="51" spans="1:14" ht="15" customHeight="1" x14ac:dyDescent="0.25">
      <c r="A51" s="25" t="str">
        <f t="shared" si="0"/>
        <v>#define MAX_MT_NEURONS 10</v>
      </c>
      <c r="B51" s="25" t="str">
        <f t="shared" si="1"/>
        <v/>
      </c>
      <c r="C51" s="1" t="s">
        <v>139</v>
      </c>
      <c r="E51" t="s">
        <v>207</v>
      </c>
      <c r="I51" s="13">
        <v>10</v>
      </c>
    </row>
    <row r="52" spans="1:14" ht="15" customHeight="1" x14ac:dyDescent="0.25">
      <c r="A52" s="25" t="str">
        <f>IF(C52="","",IF(C52="C",CHAR(10) &amp; "// " &amp; E52,IF(C52="I","#define " &amp; E52 &amp; " " &amp; I52,IF(C52="P","#define " &amp; E52 &amp; " """ &amp; F52 &amp; """" &amp; CHAR(10) &amp; "#define DEFAULT_" &amp; E52 &amp; " " &amp; I52,IF(C52="S","","ERROR")))))</f>
        <v/>
      </c>
      <c r="B52" s="25" t="str">
        <f t="shared" si="1"/>
        <v xml:space="preserve">  for (int i = 0; i &lt; MAX_MT_NEURONS; i++) {
    Simulation.SetSetting(MT_LABEL + NNumber(i), Data_double, 6);
  }</v>
      </c>
      <c r="C52" s="1" t="s">
        <v>268</v>
      </c>
      <c r="D52" s="1" t="s">
        <v>268</v>
      </c>
      <c r="E52" s="38"/>
      <c r="G52" s="13" t="s">
        <v>186</v>
      </c>
      <c r="H52" s="13">
        <v>6</v>
      </c>
      <c r="K52">
        <v>1</v>
      </c>
      <c r="L52" t="s">
        <v>272</v>
      </c>
      <c r="M52" t="s">
        <v>207</v>
      </c>
      <c r="N52" t="s">
        <v>275</v>
      </c>
    </row>
    <row r="53" spans="1:14" ht="15" customHeight="1" x14ac:dyDescent="0.25">
      <c r="A53" s="25" t="str">
        <f t="shared" ref="A53" si="19">IF(C53="","",IF(C53="C",CHAR(10) &amp; "// " &amp; E53,IF(C53="I","#define " &amp; E53 &amp; " " &amp; I53,IF(C53="P","#define " &amp; E53 &amp; " """ &amp; F53 &amp; """" &amp; CHAR(10) &amp; "#define DEFAULT_" &amp; E53 &amp; " " &amp; I53,IF(C53="S","","ERROR")))))</f>
        <v>#define MT_FIRST_CALCULATION "MT_first_calculation"
#define DEFAULT_MT_FIRST_CALCULATION "none"</v>
      </c>
      <c r="B53" s="25" t="str">
        <f t="shared" si="1"/>
        <v xml:space="preserve">  Simulation.SetSetting(MT_FIRST_CALCULATION, Data_string, 1);</v>
      </c>
      <c r="C53" s="1" t="s">
        <v>166</v>
      </c>
      <c r="D53" s="1" t="s">
        <v>268</v>
      </c>
      <c r="E53" s="38" t="s">
        <v>367</v>
      </c>
      <c r="F53" s="13" t="s">
        <v>368</v>
      </c>
      <c r="G53" s="13" t="s">
        <v>176</v>
      </c>
      <c r="H53" s="13">
        <v>1</v>
      </c>
      <c r="I53" s="13" t="s">
        <v>177</v>
      </c>
      <c r="J53" t="s">
        <v>366</v>
      </c>
    </row>
    <row r="54" spans="1:14" ht="15" customHeight="1" x14ac:dyDescent="0.25">
      <c r="A54" s="25" t="str">
        <f t="shared" si="0"/>
        <v>#define MT_ACTIVATION_METHOD "MT_act_method"
#define DEFAULT_MT_ACTIVATION_METHOD "none"</v>
      </c>
      <c r="B54" s="25" t="str">
        <f t="shared" si="1"/>
        <v xml:space="preserve">  Simulation.SetSetting(MT_ACTIVATION_METHOD, Data_string, 1);</v>
      </c>
      <c r="C54" s="1" t="s">
        <v>166</v>
      </c>
      <c r="D54" s="1" t="s">
        <v>268</v>
      </c>
      <c r="E54" t="s">
        <v>208</v>
      </c>
      <c r="F54" s="13" t="s">
        <v>209</v>
      </c>
      <c r="G54" s="13" t="s">
        <v>176</v>
      </c>
      <c r="H54" s="13">
        <v>1</v>
      </c>
      <c r="I54" s="13" t="s">
        <v>177</v>
      </c>
    </row>
    <row r="55" spans="1:14" ht="15" customHeight="1" x14ac:dyDescent="0.25">
      <c r="A55" s="25" t="str">
        <f t="shared" si="0"/>
        <v>#define MT_DACTIVATION_METHOD "MT_dac_method"
#define DEFAULT_MT_DACTIVATION_METHOD "none"</v>
      </c>
      <c r="B55" s="25" t="str">
        <f t="shared" si="1"/>
        <v xml:space="preserve">  Simulation.SetSetting(MT_DACTIVATION_METHOD, Data_string, 1);</v>
      </c>
      <c r="C55" s="1" t="s">
        <v>166</v>
      </c>
      <c r="D55" s="1" t="s">
        <v>268</v>
      </c>
      <c r="E55" t="s">
        <v>210</v>
      </c>
      <c r="F55" s="13" t="s">
        <v>211</v>
      </c>
      <c r="G55" s="13" t="s">
        <v>176</v>
      </c>
      <c r="H55" s="13">
        <v>1</v>
      </c>
      <c r="I55" s="13" t="s">
        <v>177</v>
      </c>
    </row>
    <row r="56" spans="1:14" s="64" customFormat="1" ht="15" customHeight="1" x14ac:dyDescent="0.25">
      <c r="A56" s="62" t="str">
        <f t="shared" si="0"/>
        <v xml:space="preserve">
// MT Activation Methods</v>
      </c>
      <c r="B56" s="62" t="str">
        <f t="shared" si="1"/>
        <v xml:space="preserve">  // MT Activation Methods</v>
      </c>
      <c r="C56" s="63" t="s">
        <v>152</v>
      </c>
      <c r="D56" s="63"/>
      <c r="E56" s="64" t="s">
        <v>344</v>
      </c>
      <c r="F56" s="65"/>
      <c r="G56" s="65"/>
      <c r="H56" s="65"/>
      <c r="I56" s="65"/>
    </row>
    <row r="57" spans="1:14" ht="15" customHeight="1" x14ac:dyDescent="0.25">
      <c r="A57" s="25" t="str">
        <f t="shared" si="0"/>
        <v>#define MT_A001 "MT_A001"</v>
      </c>
      <c r="B57" s="25" t="str">
        <f t="shared" si="1"/>
        <v/>
      </c>
      <c r="C57" s="1" t="s">
        <v>139</v>
      </c>
      <c r="E57" t="s">
        <v>212</v>
      </c>
      <c r="I57" s="13" t="s">
        <v>252</v>
      </c>
    </row>
    <row r="58" spans="1:14" s="32" customFormat="1" ht="15" customHeight="1" x14ac:dyDescent="0.25">
      <c r="A58" s="29" t="str">
        <f t="shared" ref="A58:A61" si="20">IF(C58="","",IF(C58="C",CHAR(10) &amp; "// " &amp; E58,IF(C58="I","#define " &amp; E58 &amp; " " &amp; I58,IF(C58="P","#define " &amp; E58 &amp; " """ &amp; F58 &amp; """" &amp; CHAR(10) &amp; "#define DEFAULT_" &amp; E58 &amp; " " &amp; I58,IF(C58="S","","ERROR")))))</f>
        <v xml:space="preserve">
// MT_A001 Parameters</v>
      </c>
      <c r="B58" s="29" t="str">
        <f t="shared" ref="B58:B61" si="21">IF(C58="","",IF(C58="C","  // "&amp;E58,IF(C58="P",IF(D58="E","  Environment.",IF(D58="S","  Simulation.","ERROR"))&amp;"SetSetting("&amp;E58&amp;", "&amp;G58&amp;", "&amp;H58&amp;");",IF(C58="S",
IF(K58=1,"  for (int i = 0; i &lt; "&amp;M58&amp;"; i++) {"&amp;CHAR(10)&amp;IF(D58="E","    Environment.",IF(D58="S","    Simulation.","ERROR"))&amp;"SetSetting("&amp;L58&amp;" + "&amp;N58&amp;", "&amp;G58&amp;", "&amp;H58&amp;");"&amp;CHAR(10)&amp;"  }",
IF(K58=2,"  for (int i = 0; i &lt; "&amp;M58&amp;"; i++) {"&amp;CHAR(10)&amp;"    for (int j = 0; j &lt; "&amp;P58&amp;"; j++) {"&amp;CHAR(10)&amp;IF(D58="E","      Environment.",IF(D58="S","      Simulation.","ERROR"))&amp;"SetSetting("&amp;L58&amp;" + "&amp;N58&amp;" + "&amp;O58&amp;" + "&amp;Q58&amp;", "&amp;G58&amp;", "&amp;H58&amp;");"&amp;CHAR(10)&amp;"    }"&amp;CHAR(10)&amp;"  }","ERROR")),""))))</f>
        <v xml:space="preserve">  // MT_A001 Parameters</v>
      </c>
      <c r="C58" s="30" t="s">
        <v>152</v>
      </c>
      <c r="D58" s="30"/>
      <c r="E58" s="32" t="s">
        <v>342</v>
      </c>
      <c r="F58" s="31"/>
      <c r="G58" s="31"/>
      <c r="H58" s="31"/>
      <c r="I58" s="31"/>
    </row>
    <row r="59" spans="1:14" s="32" customFormat="1" ht="15" customHeight="1" x14ac:dyDescent="0.25">
      <c r="A59" s="29" t="str">
        <f t="shared" si="20"/>
        <v xml:space="preserve">
// None</v>
      </c>
      <c r="B59" s="29" t="str">
        <f t="shared" si="21"/>
        <v xml:space="preserve">  // None</v>
      </c>
      <c r="C59" s="30" t="s">
        <v>152</v>
      </c>
      <c r="D59" s="30"/>
      <c r="E59" s="32" t="s">
        <v>343</v>
      </c>
      <c r="F59" s="31"/>
      <c r="G59" s="31"/>
      <c r="H59" s="31"/>
      <c r="I59" s="31"/>
    </row>
    <row r="60" spans="1:14" s="64" customFormat="1" ht="15" customHeight="1" x14ac:dyDescent="0.25">
      <c r="A60" s="62" t="str">
        <f t="shared" si="20"/>
        <v xml:space="preserve">
// MT Derivate Activation Methods</v>
      </c>
      <c r="B60" s="62" t="str">
        <f t="shared" si="21"/>
        <v xml:space="preserve">  // MT Derivate Activation Methods</v>
      </c>
      <c r="C60" s="63" t="s">
        <v>152</v>
      </c>
      <c r="D60" s="63"/>
      <c r="E60" s="64" t="s">
        <v>345</v>
      </c>
      <c r="F60" s="65"/>
      <c r="G60" s="65"/>
      <c r="H60" s="65"/>
      <c r="I60" s="65"/>
    </row>
    <row r="61" spans="1:14" ht="15" customHeight="1" x14ac:dyDescent="0.25">
      <c r="A61" s="25" t="str">
        <f t="shared" si="20"/>
        <v>#define MT_D001 "MT_D001"</v>
      </c>
      <c r="B61" s="25" t="str">
        <f t="shared" si="21"/>
        <v/>
      </c>
      <c r="C61" s="1" t="s">
        <v>139</v>
      </c>
      <c r="E61" t="s">
        <v>346</v>
      </c>
      <c r="I61" s="13" t="s">
        <v>347</v>
      </c>
    </row>
    <row r="62" spans="1:14" s="32" customFormat="1" ht="15" customHeight="1" x14ac:dyDescent="0.25">
      <c r="A62" s="29" t="str">
        <f t="shared" ref="A62:A67" si="22">IF(C62="","",IF(C62="C",CHAR(10) &amp; "// " &amp; E62,IF(C62="I","#define " &amp; E62 &amp; " " &amp; I62,IF(C62="P","#define " &amp; E62 &amp; " """ &amp; F62 &amp; """" &amp; CHAR(10) &amp; "#define DEFAULT_" &amp; E62 &amp; " " &amp; I62,IF(C62="S","","ERROR")))))</f>
        <v xml:space="preserve">
// MT_D001 Parameters</v>
      </c>
      <c r="B62" s="29" t="str">
        <f t="shared" ref="B62:B67" si="23">IF(C62="","",IF(C62="C","  // "&amp;E62,IF(C62="P",IF(D62="E","  Environment.",IF(D62="S","  Simulation.","ERROR"))&amp;"SetSetting("&amp;E62&amp;", "&amp;G62&amp;", "&amp;H62&amp;");",IF(C62="S",
IF(K62=1,"  for (int i = 0; i &lt; "&amp;M62&amp;"; i++) {"&amp;CHAR(10)&amp;IF(D62="E","    Environment.",IF(D62="S","    Simulation.","ERROR"))&amp;"SetSetting("&amp;L62&amp;" + "&amp;N62&amp;", "&amp;G62&amp;", "&amp;H62&amp;");"&amp;CHAR(10)&amp;"  }",
IF(K62=2,"  for (int i = 0; i &lt; "&amp;M62&amp;"; i++) {"&amp;CHAR(10)&amp;"    for (int j = 0; j &lt; "&amp;P62&amp;"; j++) {"&amp;CHAR(10)&amp;IF(D62="E","      Environment.",IF(D62="S","      Simulation.","ERROR"))&amp;"SetSetting("&amp;L62&amp;" + "&amp;N62&amp;" + "&amp;O62&amp;" + "&amp;Q62&amp;", "&amp;G62&amp;", "&amp;H62&amp;");"&amp;CHAR(10)&amp;"    }"&amp;CHAR(10)&amp;"  }","ERROR")),""))))</f>
        <v xml:space="preserve">  // MT_D001 Parameters</v>
      </c>
      <c r="C62" s="30" t="s">
        <v>152</v>
      </c>
      <c r="D62" s="30"/>
      <c r="E62" s="32" t="s">
        <v>348</v>
      </c>
      <c r="F62" s="31"/>
      <c r="G62" s="31"/>
      <c r="H62" s="31"/>
      <c r="I62" s="31"/>
    </row>
    <row r="63" spans="1:14" s="32" customFormat="1" ht="15" customHeight="1" x14ac:dyDescent="0.25">
      <c r="A63" s="29" t="str">
        <f t="shared" si="22"/>
        <v xml:space="preserve">
// None</v>
      </c>
      <c r="B63" s="29" t="str">
        <f t="shared" si="23"/>
        <v xml:space="preserve">  // None</v>
      </c>
      <c r="C63" s="30" t="s">
        <v>152</v>
      </c>
      <c r="D63" s="30"/>
      <c r="E63" s="32" t="s">
        <v>343</v>
      </c>
      <c r="F63" s="31"/>
      <c r="G63" s="31"/>
      <c r="H63" s="31"/>
      <c r="I63" s="31"/>
    </row>
    <row r="64" spans="1:14" s="60" customFormat="1" ht="15" customHeight="1" x14ac:dyDescent="0.25">
      <c r="A64" s="58" t="str">
        <f t="shared" si="22"/>
        <v xml:space="preserve">
// Neuron Linking</v>
      </c>
      <c r="B64" s="58" t="str">
        <f t="shared" si="23"/>
        <v xml:space="preserve">  // Neuron Linking</v>
      </c>
      <c r="C64" s="59" t="s">
        <v>152</v>
      </c>
      <c r="D64" s="59"/>
      <c r="E64" s="60" t="s">
        <v>349</v>
      </c>
      <c r="F64" s="61"/>
      <c r="G64" s="61"/>
      <c r="H64" s="61"/>
      <c r="I64" s="61"/>
    </row>
    <row r="65" spans="1:17" s="64" customFormat="1" ht="15" customHeight="1" x14ac:dyDescent="0.25">
      <c r="A65" s="62" t="str">
        <f t="shared" si="22"/>
        <v xml:space="preserve">
// V1V1 Linking Methods</v>
      </c>
      <c r="B65" s="62" t="str">
        <f t="shared" si="23"/>
        <v xml:space="preserve">  // V1V1 Linking Methods</v>
      </c>
      <c r="C65" s="63" t="s">
        <v>152</v>
      </c>
      <c r="D65" s="63"/>
      <c r="E65" s="64" t="s">
        <v>350</v>
      </c>
      <c r="F65" s="65"/>
      <c r="G65" s="65"/>
      <c r="H65" s="65"/>
      <c r="I65" s="65"/>
    </row>
    <row r="66" spans="1:17" s="36" customFormat="1" ht="15" customHeight="1" x14ac:dyDescent="0.25">
      <c r="A66" s="33" t="str">
        <f>IF(C66="","",IF(C66="C",CHAR(10) &amp; "// " &amp; E66,IF(C66="I","#define " &amp; E66 &amp; " " &amp; I66,IF(C66="P","#define " &amp; E66 &amp; " """ &amp; F66 &amp; """" &amp; CHAR(10) &amp; "#define DEFAULT_" &amp; E66 &amp; " " &amp; I66,IF(C66="S","","ERROR")))))</f>
        <v>#define V1V1_CONNECTION_METHOD "V1V1_connection_method"
#define DEFAULT_V1V1_CONNECTION_METHOD "none"</v>
      </c>
      <c r="B66" s="33" t="str">
        <f>IF(C66="","",IF(C66="C","  // "&amp;E66,IF(C66="P",IF(D66="E","  Environment.",IF(D66="S","  Simulation.","ERROR"))&amp;"SetSetting("&amp;E66&amp;", "&amp;G66&amp;", "&amp;H66&amp;");",IF(C66="S",
IF(K66=1,"  for (int i = 0; i &lt; "&amp;M66&amp;"; i++) {"&amp;CHAR(10)&amp;IF(D66="E","    Environment.",IF(D66="S","    Simulation.","ERROR"))&amp;"SetSetting("&amp;L66&amp;" + "&amp;N66&amp;", "&amp;G66&amp;", "&amp;H66&amp;");"&amp;CHAR(10)&amp;"  }",
IF(K66=2,"  for (int i = 0; i &lt; "&amp;M66&amp;"; i++) {"&amp;CHAR(10)&amp;"    for (int j = 0; j &lt; "&amp;P66&amp;"; j++) {"&amp;CHAR(10)&amp;IF(D66="E","      Environment.",IF(D66="S","      Simulation.","ERROR"))&amp;"SetSetting("&amp;L66&amp;" + "&amp;N66&amp;" + "&amp;O66&amp;" + "&amp;Q66&amp;", "&amp;G66&amp;", "&amp;H66&amp;");"&amp;CHAR(10)&amp;"    }"&amp;CHAR(10)&amp;"  }","ERROR")),""))))</f>
        <v xml:space="preserve">  Simulation.SetSetting(V1V1_CONNECTION_METHOD, Data_string, 1);</v>
      </c>
      <c r="C66" s="28" t="s">
        <v>166</v>
      </c>
      <c r="D66" s="28" t="s">
        <v>268</v>
      </c>
      <c r="E66" s="36" t="s">
        <v>359</v>
      </c>
      <c r="F66" s="35" t="s">
        <v>360</v>
      </c>
      <c r="G66" s="35" t="s">
        <v>176</v>
      </c>
      <c r="H66" s="35">
        <v>1</v>
      </c>
      <c r="I66" s="35" t="s">
        <v>177</v>
      </c>
    </row>
    <row r="67" spans="1:17" ht="15" customHeight="1" x14ac:dyDescent="0.25">
      <c r="A67" s="25" t="str">
        <f t="shared" si="22"/>
        <v>#define V1V1_L001 "V1V1_L001"</v>
      </c>
      <c r="B67" s="25" t="str">
        <f t="shared" si="23"/>
        <v/>
      </c>
      <c r="C67" s="1" t="s">
        <v>139</v>
      </c>
      <c r="E67" t="s">
        <v>351</v>
      </c>
      <c r="I67" s="13" t="s">
        <v>352</v>
      </c>
    </row>
    <row r="68" spans="1:17" s="32" customFormat="1" ht="15" customHeight="1" x14ac:dyDescent="0.25">
      <c r="A68" s="29" t="str">
        <f t="shared" si="0"/>
        <v xml:space="preserve">
// V1V1_L001 Link Parameters</v>
      </c>
      <c r="B68" s="29" t="str">
        <f t="shared" si="1"/>
        <v xml:space="preserve">  // V1V1_L001 Link Parameters</v>
      </c>
      <c r="C68" s="30" t="s">
        <v>152</v>
      </c>
      <c r="D68" s="30"/>
      <c r="E68" s="32" t="s">
        <v>353</v>
      </c>
      <c r="F68" s="31"/>
      <c r="G68" s="31"/>
      <c r="H68" s="31"/>
      <c r="I68" s="31"/>
    </row>
    <row r="69" spans="1:17" s="36" customFormat="1" ht="15" customHeight="1" x14ac:dyDescent="0.25">
      <c r="A69" s="33" t="str">
        <f t="shared" si="0"/>
        <v>#define V1V1_L001_BASE_WEIGHT_SOURCE "V1V1_L001_base_weight_source"
#define DEFAULT_V1V1_L001_BASE_WEIGHT_SOURCE "none"</v>
      </c>
      <c r="B69" s="33" t="str">
        <f t="shared" si="1"/>
        <v xml:space="preserve">  Simulation.SetSetting(V1V1_L001_BASE_WEIGHT_SOURCE, Data_string, 1);</v>
      </c>
      <c r="C69" s="28" t="s">
        <v>166</v>
      </c>
      <c r="D69" s="28" t="s">
        <v>268</v>
      </c>
      <c r="E69" s="36" t="s">
        <v>355</v>
      </c>
      <c r="F69" s="35" t="s">
        <v>361</v>
      </c>
      <c r="G69" s="35" t="s">
        <v>176</v>
      </c>
      <c r="H69" s="35">
        <v>1</v>
      </c>
      <c r="I69" s="35" t="s">
        <v>177</v>
      </c>
    </row>
    <row r="70" spans="1:17" ht="15" customHeight="1" x14ac:dyDescent="0.25">
      <c r="A70" s="25" t="str">
        <f t="shared" si="0"/>
        <v>#define V1V1_L001_DEFAULT_WEIGHT "V1V1_L001_default_weight"
#define DEFAULT_V1V1_L001_DEFAULT_WEIGHT 0</v>
      </c>
      <c r="B70" s="25" t="str">
        <f t="shared" si="1"/>
        <v xml:space="preserve">  Simulation.SetSetting(V1V1_L001_DEFAULT_WEIGHT, Data_double, 1);</v>
      </c>
      <c r="C70" s="1" t="s">
        <v>166</v>
      </c>
      <c r="D70" s="1" t="s">
        <v>268</v>
      </c>
      <c r="E70" s="36" t="s">
        <v>356</v>
      </c>
      <c r="F70" s="13" t="s">
        <v>362</v>
      </c>
      <c r="G70" s="13" t="s">
        <v>186</v>
      </c>
      <c r="H70" s="13">
        <v>1</v>
      </c>
      <c r="I70" s="13">
        <v>0</v>
      </c>
    </row>
    <row r="71" spans="1:17" ht="15" customHeight="1" x14ac:dyDescent="0.25">
      <c r="A71" s="25" t="str">
        <f t="shared" si="0"/>
        <v/>
      </c>
      <c r="B71" s="25" t="str">
        <f t="shared" si="1"/>
        <v xml:space="preserve">  for (int i = 0; i &lt; MAX_V1_NEURONS; i++) {
    for (int j = 0; j &lt; MAX_V1_NEURONS; j++) {
      Simulation.SetSetting(V1_LABEL + NNumber(i) + V1_LABEL + NNumber(j), Data_double, 1);
    }
  }</v>
      </c>
      <c r="C71" s="1" t="s">
        <v>268</v>
      </c>
      <c r="D71" s="1" t="s">
        <v>268</v>
      </c>
      <c r="E71" s="36"/>
      <c r="G71" s="13" t="s">
        <v>186</v>
      </c>
      <c r="H71" s="13">
        <v>1</v>
      </c>
      <c r="I71" s="13" t="s">
        <v>356</v>
      </c>
      <c r="K71">
        <v>2</v>
      </c>
      <c r="L71" t="s">
        <v>270</v>
      </c>
      <c r="M71" t="s">
        <v>172</v>
      </c>
      <c r="N71" t="s">
        <v>275</v>
      </c>
      <c r="O71" t="s">
        <v>270</v>
      </c>
      <c r="P71" t="s">
        <v>172</v>
      </c>
      <c r="Q71" t="s">
        <v>276</v>
      </c>
    </row>
    <row r="72" spans="1:17" s="64" customFormat="1" ht="15" customHeight="1" x14ac:dyDescent="0.25">
      <c r="A72" s="62" t="str">
        <f t="shared" ref="A72" si="24">IF(C72="","",IF(C72="C",CHAR(10) &amp; "// " &amp; E72,IF(C72="I","#define " &amp; E72 &amp; " " &amp; I72,IF(C72="P","#define " &amp; E72 &amp; " """ &amp; F72 &amp; """" &amp; CHAR(10) &amp; "#define DEFAULT_" &amp; E72 &amp; " " &amp; I72,IF(C72="S","","ERROR")))))</f>
        <v xml:space="preserve">
// MTMT Link Methods</v>
      </c>
      <c r="B72" s="62" t="str">
        <f t="shared" ref="B72" si="25">IF(C72="","",IF(C72="C","  // "&amp;E72,IF(C72="P",IF(D72="E","  Environment.",IF(D72="S","  Simulation.","ERROR"))&amp;"SetSetting("&amp;E72&amp;", "&amp;G72&amp;", "&amp;H72&amp;");",IF(C72="S",
IF(K72=1,"  for (int i = 0; i &lt; "&amp;M72&amp;"; i++) {"&amp;CHAR(10)&amp;IF(D72="E","    Environment.",IF(D72="S","    Simulation.","ERROR"))&amp;"SetSetting("&amp;L72&amp;" + "&amp;N72&amp;", "&amp;G72&amp;", "&amp;H72&amp;");"&amp;CHAR(10)&amp;"  }",
IF(K72=2,"  for (int i = 0; i &lt; "&amp;M72&amp;"; i++) {"&amp;CHAR(10)&amp;"    for (int j = 0; j &lt; "&amp;P72&amp;"; j++) {"&amp;CHAR(10)&amp;IF(D72="E","      Environment.",IF(D72="S","      Simulation.","ERROR"))&amp;"SetSetting("&amp;L72&amp;" + "&amp;N72&amp;" + "&amp;O72&amp;" + "&amp;Q72&amp;", "&amp;G72&amp;", "&amp;H72&amp;");"&amp;CHAR(10)&amp;"    }"&amp;CHAR(10)&amp;"  }","ERROR")),""))))</f>
        <v xml:space="preserve">  // MTMT Link Methods</v>
      </c>
      <c r="C72" s="63" t="s">
        <v>152</v>
      </c>
      <c r="D72" s="63"/>
      <c r="E72" s="64" t="s">
        <v>354</v>
      </c>
      <c r="F72" s="65"/>
      <c r="G72" s="65"/>
      <c r="H72" s="65"/>
      <c r="I72" s="65"/>
    </row>
    <row r="73" spans="1:17" s="32" customFormat="1" ht="15" customHeight="1" x14ac:dyDescent="0.25">
      <c r="A73" s="29" t="str">
        <f t="shared" si="0"/>
        <v xml:space="preserve">
// None</v>
      </c>
      <c r="B73" s="29" t="str">
        <f t="shared" si="1"/>
        <v xml:space="preserve">  // None</v>
      </c>
      <c r="C73" s="30" t="s">
        <v>152</v>
      </c>
      <c r="D73" s="30"/>
      <c r="E73" s="32" t="s">
        <v>343</v>
      </c>
      <c r="F73" s="31"/>
      <c r="G73" s="31"/>
      <c r="H73" s="31"/>
      <c r="I73" s="31"/>
    </row>
    <row r="74" spans="1:17" s="64" customFormat="1" ht="15" customHeight="1" x14ac:dyDescent="0.25">
      <c r="A74" s="62" t="str">
        <f t="shared" ref="A74:A76" si="26">IF(C74="","",IF(C74="C",CHAR(10) &amp; "// " &amp; E74,IF(C74="I","#define " &amp; E74 &amp; " " &amp; I74,IF(C74="P","#define " &amp; E74 &amp; " """ &amp; F74 &amp; """" &amp; CHAR(10) &amp; "#define DEFAULT_" &amp; E74 &amp; " " &amp; I74,IF(C74="S","","ERROR")))))</f>
        <v xml:space="preserve">
// V1MT Linking Methods</v>
      </c>
      <c r="B74" s="62" t="str">
        <f t="shared" ref="B74:B76" si="27">IF(C74="","",IF(C74="C","  // "&amp;E74,IF(C74="P",IF(D74="E","  Environment.",IF(D74="S","  Simulation.","ERROR"))&amp;"SetSetting("&amp;E74&amp;", "&amp;G74&amp;", "&amp;H74&amp;");",IF(C74="S",
IF(K74=1,"  for (int i = 0; i &lt; "&amp;M74&amp;"; i++) {"&amp;CHAR(10)&amp;IF(D74="E","    Environment.",IF(D74="S","    Simulation.","ERROR"))&amp;"SetSetting("&amp;L74&amp;" + "&amp;N74&amp;", "&amp;G74&amp;", "&amp;H74&amp;");"&amp;CHAR(10)&amp;"  }",
IF(K74=2,"  for (int i = 0; i &lt; "&amp;M74&amp;"; i++) {"&amp;CHAR(10)&amp;"    for (int j = 0; j &lt; "&amp;P74&amp;"; j++) {"&amp;CHAR(10)&amp;IF(D74="E","      Environment.",IF(D74="S","      Simulation.","ERROR"))&amp;"SetSetting("&amp;L74&amp;" + "&amp;N74&amp;" + "&amp;O74&amp;" + "&amp;Q74&amp;", "&amp;G74&amp;", "&amp;H74&amp;");"&amp;CHAR(10)&amp;"    }"&amp;CHAR(10)&amp;"  }","ERROR")),""))))</f>
        <v xml:space="preserve">  // V1MT Linking Methods</v>
      </c>
      <c r="C74" s="63" t="s">
        <v>152</v>
      </c>
      <c r="D74" s="63"/>
      <c r="E74" s="64" t="s">
        <v>357</v>
      </c>
      <c r="F74" s="65"/>
      <c r="G74" s="65"/>
      <c r="H74" s="65"/>
      <c r="I74" s="65"/>
    </row>
    <row r="75" spans="1:17" s="36" customFormat="1" ht="15" customHeight="1" x14ac:dyDescent="0.25">
      <c r="A75" s="33" t="str">
        <f>IF(C75="","",IF(C75="C",CHAR(10) &amp; "// " &amp; E75,IF(C75="I","#define " &amp; E75 &amp; " " &amp; I75,IF(C75="P","#define " &amp; E75 &amp; " """ &amp; F75 &amp; """" &amp; CHAR(10) &amp; "#define DEFAULT_" &amp; E75 &amp; " " &amp; I75,IF(C75="S","","ERROR")))))</f>
        <v>#define V1MT_CONNECTION_METHOD "V1MT_connection_method"
#define DEFAULT_V1MT_CONNECTION_METHOD "none"</v>
      </c>
      <c r="B75" s="33" t="str">
        <f>IF(C75="","",IF(C75="C","  // "&amp;E75,IF(C75="P",IF(D75="E","  Environment.",IF(D75="S","  Simulation.","ERROR"))&amp;"SetSetting("&amp;E75&amp;", "&amp;G75&amp;", "&amp;H75&amp;");",IF(C75="S",
IF(K75=1,"  for (int i = 0; i &lt; "&amp;M75&amp;"; i++) {"&amp;CHAR(10)&amp;IF(D75="E","    Environment.",IF(D75="S","    Simulation.","ERROR"))&amp;"SetSetting("&amp;L75&amp;" + "&amp;N75&amp;", "&amp;G75&amp;", "&amp;H75&amp;");"&amp;CHAR(10)&amp;"  }",
IF(K75=2,"  for (int i = 0; i &lt; "&amp;M75&amp;"; i++) {"&amp;CHAR(10)&amp;"    for (int j = 0; j &lt; "&amp;P75&amp;"; j++) {"&amp;CHAR(10)&amp;IF(D75="E","      Environment.",IF(D75="S","      Simulation.","ERROR"))&amp;"SetSetting("&amp;L75&amp;" + "&amp;N75&amp;" + "&amp;O75&amp;" + "&amp;Q75&amp;", "&amp;G75&amp;", "&amp;H75&amp;");"&amp;CHAR(10)&amp;"    }"&amp;CHAR(10)&amp;"  }","ERROR")),""))))</f>
        <v xml:space="preserve">  Simulation.SetSetting(V1MT_CONNECTION_METHOD, Data_string, 1);</v>
      </c>
      <c r="C75" s="28" t="s">
        <v>166</v>
      </c>
      <c r="D75" s="28" t="s">
        <v>268</v>
      </c>
      <c r="E75" s="36" t="s">
        <v>254</v>
      </c>
      <c r="F75" s="35" t="s">
        <v>255</v>
      </c>
      <c r="G75" s="35" t="s">
        <v>176</v>
      </c>
      <c r="H75" s="35">
        <v>1</v>
      </c>
      <c r="I75" s="35" t="s">
        <v>177</v>
      </c>
    </row>
    <row r="76" spans="1:17" s="36" customFormat="1" ht="15" customHeight="1" x14ac:dyDescent="0.25">
      <c r="A76" s="33" t="str">
        <f t="shared" si="26"/>
        <v>#define V1MT_L001 "V1MT_L001"</v>
      </c>
      <c r="B76" s="33" t="str">
        <f t="shared" si="27"/>
        <v/>
      </c>
      <c r="C76" s="28" t="s">
        <v>139</v>
      </c>
      <c r="D76" s="28"/>
      <c r="E76" s="36" t="s">
        <v>256</v>
      </c>
      <c r="F76" s="35"/>
      <c r="G76" s="35"/>
      <c r="H76" s="35"/>
      <c r="I76" s="35" t="s">
        <v>257</v>
      </c>
    </row>
    <row r="77" spans="1:17" s="32" customFormat="1" ht="15" customHeight="1" x14ac:dyDescent="0.25">
      <c r="A77" s="29" t="str">
        <f t="shared" si="0"/>
        <v xml:space="preserve">
// V1MT_L001 Link Parameters</v>
      </c>
      <c r="B77" s="29" t="str">
        <f t="shared" si="1"/>
        <v xml:space="preserve">  // V1MT_L001 Link Parameters</v>
      </c>
      <c r="C77" s="30" t="s">
        <v>152</v>
      </c>
      <c r="D77" s="30"/>
      <c r="E77" s="32" t="s">
        <v>358</v>
      </c>
      <c r="F77" s="31"/>
      <c r="G77" s="31"/>
      <c r="H77" s="31"/>
      <c r="I77" s="31"/>
    </row>
    <row r="78" spans="1:17" s="36" customFormat="1" ht="15" customHeight="1" x14ac:dyDescent="0.25">
      <c r="A78" s="33" t="str">
        <f t="shared" si="0"/>
        <v>#define V1MT_L001_APERTURE "V1MT_L001_aperture"
#define DEFAULT_V1MT_L001_APERTURE PI/4.0+0.1</v>
      </c>
      <c r="B78" s="33" t="str">
        <f t="shared" si="1"/>
        <v xml:space="preserve">  Simulation.SetSetting(V1MT_L001_APERTURE, Data_double, 1);</v>
      </c>
      <c r="C78" s="28" t="s">
        <v>166</v>
      </c>
      <c r="D78" s="28" t="s">
        <v>268</v>
      </c>
      <c r="E78" s="36" t="s">
        <v>258</v>
      </c>
      <c r="F78" s="35" t="s">
        <v>259</v>
      </c>
      <c r="G78" s="35" t="s">
        <v>186</v>
      </c>
      <c r="H78" s="35">
        <v>1</v>
      </c>
      <c r="I78" s="55" t="s">
        <v>329</v>
      </c>
    </row>
    <row r="79" spans="1:17" s="36" customFormat="1" ht="15" customHeight="1" x14ac:dyDescent="0.25">
      <c r="A79" s="33" t="str">
        <f t="shared" si="0"/>
        <v>#define V1MT_L001_AMPLIFICATION "V1MT_L001_amplification"
#define DEFAULT_V1MT_L001_AMPLIFICATION 1</v>
      </c>
      <c r="B79" s="33" t="str">
        <f t="shared" si="1"/>
        <v xml:space="preserve">  Simulation.SetSetting(V1MT_L001_AMPLIFICATION, Data_double, 1);</v>
      </c>
      <c r="C79" s="28" t="s">
        <v>166</v>
      </c>
      <c r="D79" s="28" t="s">
        <v>268</v>
      </c>
      <c r="E79" s="36" t="s">
        <v>260</v>
      </c>
      <c r="F79" s="35" t="s">
        <v>261</v>
      </c>
      <c r="G79" s="35" t="s">
        <v>186</v>
      </c>
      <c r="H79" s="35">
        <v>1</v>
      </c>
      <c r="I79" s="55">
        <v>1</v>
      </c>
    </row>
    <row r="80" spans="1:17" s="36" customFormat="1" ht="15" customHeight="1" x14ac:dyDescent="0.25">
      <c r="A80" s="33" t="str">
        <f t="shared" si="0"/>
        <v>#define V1MT_L001_SIGMA "V1MT_L001_sigma"
#define DEFAULT_V1MT_L001_SIGMA 2.0/3.0</v>
      </c>
      <c r="B80" s="33" t="str">
        <f t="shared" si="1"/>
        <v xml:space="preserve">  Simulation.SetSetting(V1MT_L001_SIGMA, Data_double, 1);</v>
      </c>
      <c r="C80" s="28" t="s">
        <v>166</v>
      </c>
      <c r="D80" s="28" t="s">
        <v>268</v>
      </c>
      <c r="E80" s="36" t="s">
        <v>262</v>
      </c>
      <c r="F80" s="35" t="s">
        <v>263</v>
      </c>
      <c r="G80" s="35" t="s">
        <v>186</v>
      </c>
      <c r="H80" s="35">
        <v>1</v>
      </c>
      <c r="I80" s="56" t="s">
        <v>328</v>
      </c>
    </row>
    <row r="81" spans="1:9" s="36" customFormat="1" ht="15" customHeight="1" x14ac:dyDescent="0.25">
      <c r="A81" s="33" t="str">
        <f t="shared" si="0"/>
        <v>#define V1MT_L001_MODULATION "V1MT_L001_modulation"
#define DEFAULT_V1MT_L001_MODULATION 5.33648681640625</v>
      </c>
      <c r="B81" s="33" t="str">
        <f t="shared" si="1"/>
        <v xml:space="preserve">  Simulation.SetSetting(V1MT_L001_MODULATION, Data_double, 1);</v>
      </c>
      <c r="C81" s="28" t="s">
        <v>166</v>
      </c>
      <c r="D81" s="28" t="s">
        <v>268</v>
      </c>
      <c r="E81" s="36" t="s">
        <v>264</v>
      </c>
      <c r="F81" s="35" t="s">
        <v>265</v>
      </c>
      <c r="G81" s="35" t="s">
        <v>186</v>
      </c>
      <c r="H81" s="35">
        <v>1</v>
      </c>
      <c r="I81" s="57">
        <v>5.33648681640625</v>
      </c>
    </row>
    <row r="82" spans="1:9" s="60" customFormat="1" ht="15" customHeight="1" x14ac:dyDescent="0.25">
      <c r="A82" s="58" t="str">
        <f t="shared" ref="A82" si="28">IF(C82="","",IF(C82="C",CHAR(10) &amp; "// " &amp; E82,IF(C82="I","#define " &amp; E82 &amp; " " &amp; I82,IF(C82="P","#define " &amp; E82 &amp; " """ &amp; F82 &amp; """" &amp; CHAR(10) &amp; "#define DEFAULT_" &amp; E82 &amp; " " &amp; I82,IF(C82="S","","ERROR")))))</f>
        <v xml:space="preserve">
// Defines</v>
      </c>
      <c r="B82" s="58" t="str">
        <f t="shared" ref="B82" si="29">IF(C82="","",IF(C82="C","  // "&amp;E82,IF(C82="P",IF(D82="E","  Environment.",IF(D82="S","  Simulation.","ERROR"))&amp;"SetSetting("&amp;E82&amp;", "&amp;G82&amp;", "&amp;H82&amp;");",IF(C82="S",
IF(K82=1,"  for (int i = 0; i &lt; "&amp;M82&amp;"; i++) {"&amp;CHAR(10)&amp;IF(D82="E","    Environment.",IF(D82="S","    Simulation.","ERROR"))&amp;"SetSetting("&amp;L82&amp;" + "&amp;N82&amp;", "&amp;G82&amp;", "&amp;H82&amp;");"&amp;CHAR(10)&amp;"  }",
IF(K82=2,"  for (int i = 0; i &lt; "&amp;M82&amp;"; i++) {"&amp;CHAR(10)&amp;"    for (int j = 0; j &lt; "&amp;P82&amp;"; j++) {"&amp;CHAR(10)&amp;IF(D82="E","      Environment.",IF(D82="S","      Simulation.","ERROR"))&amp;"SetSetting("&amp;L82&amp;" + "&amp;N82&amp;" + "&amp;O82&amp;" + "&amp;Q82&amp;", "&amp;G82&amp;", "&amp;H82&amp;");"&amp;CHAR(10)&amp;"    }"&amp;CHAR(10)&amp;"  }","ERROR")),""))))</f>
        <v xml:space="preserve">  // Defines</v>
      </c>
      <c r="C82" s="59" t="s">
        <v>152</v>
      </c>
      <c r="D82" s="59"/>
      <c r="E82" s="60" t="s">
        <v>363</v>
      </c>
      <c r="F82" s="61"/>
      <c r="G82" s="61"/>
      <c r="H82" s="61"/>
      <c r="I82" s="61"/>
    </row>
    <row r="83" spans="1:9" s="32" customFormat="1" ht="15" customHeight="1" x14ac:dyDescent="0.25">
      <c r="A83" s="29" t="str">
        <f t="shared" si="0"/>
        <v xml:space="preserve">
// Simulator Defines</v>
      </c>
      <c r="B83" s="29" t="str">
        <f t="shared" si="1"/>
        <v xml:space="preserve">  // Simulator Defines</v>
      </c>
      <c r="C83" s="30" t="s">
        <v>152</v>
      </c>
      <c r="D83" s="30"/>
      <c r="E83" s="32" t="s">
        <v>213</v>
      </c>
      <c r="F83" s="31"/>
      <c r="G83" s="31"/>
      <c r="H83" s="31"/>
      <c r="I83" s="31"/>
    </row>
    <row r="84" spans="1:9" ht="15" customHeight="1" x14ac:dyDescent="0.25">
      <c r="A84" s="25" t="str">
        <f t="shared" si="0"/>
        <v>#define SIMULATOR_TIME_STEP "simulator_time_step"
#define DEFAULT_SIMULATOR_TIME_STEP 0.005</v>
      </c>
      <c r="B84" s="25" t="str">
        <f t="shared" si="1"/>
        <v xml:space="preserve">  Simulation.SetSetting(SIMULATOR_TIME_STEP, Data_double, 1);</v>
      </c>
      <c r="C84" s="1" t="s">
        <v>166</v>
      </c>
      <c r="D84" s="1" t="s">
        <v>268</v>
      </c>
      <c r="E84" s="36" t="s">
        <v>214</v>
      </c>
      <c r="F84" s="13" t="s">
        <v>215</v>
      </c>
      <c r="G84" s="13" t="s">
        <v>186</v>
      </c>
      <c r="H84" s="13">
        <v>1</v>
      </c>
      <c r="I84" s="13">
        <v>5.0000000000000001E-3</v>
      </c>
    </row>
    <row r="85" spans="1:9" s="36" customFormat="1" ht="15" customHeight="1" x14ac:dyDescent="0.25">
      <c r="A85" s="33" t="str">
        <f t="shared" ref="A85:A86" si="30">IF(C85="","",IF(C85="C",CHAR(10) &amp; "// " &amp; E85,IF(C85="I","#define " &amp; E85 &amp; " " &amp; I85,IF(C85="P","#define " &amp; E85 &amp; " """ &amp; F85 &amp; """" &amp; CHAR(10) &amp; "#define DEFAULT_" &amp; E85 &amp; " " &amp; I85,IF(C85="S","","ERROR")))))</f>
        <v>#define CALCULATE_ACTIVATION "activation"</v>
      </c>
      <c r="B85" s="33" t="str">
        <f t="shared" ref="B85:B86" si="31">IF(C85="","",IF(C85="C","  // "&amp;E85,IF(C85="P",IF(D85="E","  Environment.",IF(D85="S","  Simulation.","ERROR"))&amp;"SetSetting("&amp;E85&amp;", "&amp;G85&amp;", "&amp;H85&amp;");",IF(C85="S",
IF(K85=1,"  for (int i = 0; i &lt; "&amp;M85&amp;"; i++) {"&amp;CHAR(10)&amp;IF(D85="E","    Environment.",IF(D85="S","    Simulation.","ERROR"))&amp;"SetSetting("&amp;L85&amp;" + "&amp;N85&amp;", "&amp;G85&amp;", "&amp;H85&amp;");"&amp;CHAR(10)&amp;"  }",
IF(K85=2,"  for (int i = 0; i &lt; "&amp;M85&amp;"; i++) {"&amp;CHAR(10)&amp;"    for (int j = 0; j &lt; "&amp;P85&amp;"; j++) {"&amp;CHAR(10)&amp;IF(D85="E","      Environment.",IF(D85="S","      Simulation.","ERROR"))&amp;"SetSetting("&amp;L85&amp;" + "&amp;N85&amp;" + "&amp;O85&amp;" + "&amp;Q85&amp;", "&amp;G85&amp;", "&amp;H85&amp;");"&amp;CHAR(10)&amp;"    }"&amp;CHAR(10)&amp;"  }","ERROR")),""))))</f>
        <v/>
      </c>
      <c r="C85" s="28" t="s">
        <v>139</v>
      </c>
      <c r="D85" s="28"/>
      <c r="E85" s="36" t="s">
        <v>369</v>
      </c>
      <c r="F85" s="35"/>
      <c r="G85" s="35"/>
      <c r="H85" s="35"/>
      <c r="I85" s="35" t="s">
        <v>371</v>
      </c>
    </row>
    <row r="86" spans="1:9" s="36" customFormat="1" ht="15" customHeight="1" x14ac:dyDescent="0.25">
      <c r="A86" s="33" t="str">
        <f t="shared" si="30"/>
        <v>#define CALCULATE_DACTIVATION "dactivation"</v>
      </c>
      <c r="B86" s="33" t="str">
        <f t="shared" si="31"/>
        <v/>
      </c>
      <c r="C86" s="28" t="s">
        <v>139</v>
      </c>
      <c r="D86" s="28"/>
      <c r="E86" s="36" t="s">
        <v>370</v>
      </c>
      <c r="F86" s="35"/>
      <c r="G86" s="35"/>
      <c r="H86" s="35"/>
      <c r="I86" s="35" t="s">
        <v>372</v>
      </c>
    </row>
    <row r="87" spans="1:9" s="32" customFormat="1" ht="15" customHeight="1" x14ac:dyDescent="0.25">
      <c r="A87" s="29" t="str">
        <f t="shared" si="0"/>
        <v xml:space="preserve">
// Interface Defines</v>
      </c>
      <c r="B87" s="29" t="str">
        <f t="shared" si="1"/>
        <v xml:space="preserve">  // Interface Defines</v>
      </c>
      <c r="C87" s="30" t="s">
        <v>152</v>
      </c>
      <c r="D87" s="30"/>
      <c r="E87" s="32" t="s">
        <v>216</v>
      </c>
      <c r="F87" s="31"/>
      <c r="G87" s="31"/>
      <c r="H87" s="31"/>
      <c r="I87" s="31"/>
    </row>
    <row r="88" spans="1:9" s="36" customFormat="1" ht="15" customHeight="1" x14ac:dyDescent="0.25">
      <c r="A88" s="33" t="str">
        <f t="shared" si="0"/>
        <v>#define LABEL_DONE "DONE"</v>
      </c>
      <c r="B88" s="33" t="str">
        <f t="shared" si="1"/>
        <v/>
      </c>
      <c r="C88" s="28" t="s">
        <v>139</v>
      </c>
      <c r="D88" s="28"/>
      <c r="E88" s="36" t="s">
        <v>217</v>
      </c>
      <c r="F88" s="35"/>
      <c r="G88" s="35"/>
      <c r="H88" s="35"/>
      <c r="I88" s="35" t="s">
        <v>218</v>
      </c>
    </row>
    <row r="89" spans="1:9" s="36" customFormat="1" ht="15" customHeight="1" x14ac:dyDescent="0.25">
      <c r="A89" s="33" t="str">
        <f t="shared" si="0"/>
        <v>#define LABEL_FAIL "FAIL"</v>
      </c>
      <c r="B89" s="33" t="str">
        <f t="shared" ref="B89:B112" si="32">IF(C89="","",IF(C89="C","  // "&amp;E89,IF(C89="P",IF(D89="E","  Environment.",IF(D89="S","  Simulation.","ERROR"))&amp;"SetSetting("&amp;E89&amp;", "&amp;G89&amp;", "&amp;H89&amp;");",IF(C89="S",
IF(K89=1,"  for (int i = 0; i &lt; "&amp;M89&amp;"; i++) {"&amp;CHAR(10)&amp;IF(D89="E","    Environment.",IF(D89="S","    Simulation.","ERROR"))&amp;"SetSetting("&amp;L89&amp;" + "&amp;N89&amp;", "&amp;G89&amp;", "&amp;H89&amp;");"&amp;CHAR(10)&amp;"  }",
IF(K89=2,"  for (int i = 0; i &lt; "&amp;M89&amp;"; i++) {"&amp;CHAR(10)&amp;"    for (int j = 0; j &lt; "&amp;P89&amp;"; j++) {"&amp;CHAR(10)&amp;IF(D89="E","      Environment.",IF(D89="S","      Simulation.","ERROR"))&amp;"SetSetting("&amp;L89&amp;" + "&amp;N89&amp;" + "&amp;O89&amp;" + "&amp;Q89&amp;", "&amp;G89&amp;", "&amp;H89&amp;");"&amp;CHAR(10)&amp;"    }"&amp;CHAR(10)&amp;"  }","ERROR")),""))))</f>
        <v/>
      </c>
      <c r="C89" s="28" t="s">
        <v>139</v>
      </c>
      <c r="D89" s="28"/>
      <c r="E89" s="36" t="s">
        <v>253</v>
      </c>
      <c r="F89" s="35"/>
      <c r="G89" s="35"/>
      <c r="H89" s="35"/>
      <c r="I89" s="35" t="s">
        <v>219</v>
      </c>
    </row>
    <row r="90" spans="1:9" ht="15" customHeight="1" x14ac:dyDescent="0.25">
      <c r="A90" s="25" t="str">
        <f t="shared" si="0"/>
        <v>#define LABEL_ENVIRONMENT_SETTINGS "setenv"</v>
      </c>
      <c r="B90" s="25" t="str">
        <f t="shared" si="32"/>
        <v/>
      </c>
      <c r="C90" s="1" t="s">
        <v>139</v>
      </c>
      <c r="E90" t="s">
        <v>220</v>
      </c>
      <c r="I90" s="13" t="s">
        <v>225</v>
      </c>
    </row>
    <row r="91" spans="1:9" ht="15" customHeight="1" x14ac:dyDescent="0.25">
      <c r="A91" s="25" t="str">
        <f t="shared" si="0"/>
        <v>#define LABEL_SIMULATOR_SETTINGS "setsim"</v>
      </c>
      <c r="B91" s="25" t="str">
        <f t="shared" si="32"/>
        <v/>
      </c>
      <c r="C91" s="1" t="s">
        <v>139</v>
      </c>
      <c r="E91" t="s">
        <v>221</v>
      </c>
      <c r="I91" s="13" t="s">
        <v>226</v>
      </c>
    </row>
    <row r="92" spans="1:9" ht="15" customHeight="1" x14ac:dyDescent="0.25">
      <c r="A92" s="25" t="str">
        <f t="shared" si="0"/>
        <v>#define LABEL_COMMENT_STRING "#"</v>
      </c>
      <c r="B92" s="25" t="str">
        <f t="shared" si="32"/>
        <v/>
      </c>
      <c r="C92" s="1" t="s">
        <v>139</v>
      </c>
      <c r="E92" t="s">
        <v>230</v>
      </c>
      <c r="I92" s="13" t="s">
        <v>233</v>
      </c>
    </row>
    <row r="93" spans="1:9" ht="15" customHeight="1" x14ac:dyDescent="0.25">
      <c r="A93" s="25" t="str">
        <f t="shared" ref="A93:A112" si="33">IF(C93="","",IF(C93="C",CHAR(10) &amp; "// " &amp; E93,IF(C93="I","#define " &amp; E93 &amp; " " &amp; I93,IF(C93="P","#define " &amp; E93 &amp; " """ &amp; F93 &amp; """" &amp; CHAR(10) &amp; "#define DEFAULT_" &amp; E93 &amp; " " &amp; I93,IF(C93="S","","ERROR")))))</f>
        <v>#define LABEL_COMMENT_CHAR '#'</v>
      </c>
      <c r="B93" s="25" t="str">
        <f t="shared" si="32"/>
        <v/>
      </c>
      <c r="C93" s="1" t="s">
        <v>139</v>
      </c>
      <c r="E93" t="s">
        <v>231</v>
      </c>
      <c r="I93" s="13" t="s">
        <v>232</v>
      </c>
    </row>
    <row r="94" spans="1:9" s="32" customFormat="1" ht="15" customHeight="1" x14ac:dyDescent="0.25">
      <c r="A94" s="29" t="str">
        <f t="shared" si="33"/>
        <v xml:space="preserve">
// Run Simulation Calls</v>
      </c>
      <c r="B94" s="29" t="str">
        <f t="shared" si="32"/>
        <v xml:space="preserve">  // Run Simulation Calls</v>
      </c>
      <c r="C94" s="30" t="s">
        <v>152</v>
      </c>
      <c r="D94" s="30"/>
      <c r="E94" s="32" t="s">
        <v>234</v>
      </c>
      <c r="F94" s="31"/>
      <c r="G94" s="31"/>
      <c r="H94" s="31"/>
      <c r="I94" s="31"/>
    </row>
    <row r="95" spans="1:9" ht="15" customHeight="1" x14ac:dyDescent="0.25">
      <c r="A95" s="25" t="str">
        <f t="shared" si="33"/>
        <v>#define LABEL_RUN_SIMULATION "runsim"</v>
      </c>
      <c r="B95" s="25" t="str">
        <f t="shared" si="32"/>
        <v/>
      </c>
      <c r="C95" s="1" t="s">
        <v>139</v>
      </c>
      <c r="E95" t="s">
        <v>222</v>
      </c>
      <c r="I95" s="13" t="s">
        <v>227</v>
      </c>
    </row>
    <row r="96" spans="1:9" ht="15" customHeight="1" x14ac:dyDescent="0.25">
      <c r="A96" s="25" t="str">
        <f t="shared" si="33"/>
        <v>#define SS_INITIALIZE "ss_initialize"</v>
      </c>
      <c r="B96" s="25" t="str">
        <f t="shared" si="32"/>
        <v/>
      </c>
      <c r="C96" s="1" t="s">
        <v>139</v>
      </c>
      <c r="E96" t="s">
        <v>235</v>
      </c>
      <c r="I96" s="13" t="s">
        <v>313</v>
      </c>
    </row>
    <row r="97" spans="1:9" ht="15" customHeight="1" x14ac:dyDescent="0.25">
      <c r="A97" s="25" t="str">
        <f t="shared" si="33"/>
        <v>#define SS_ADD_V1_DIFFUSION "ss_add_V1_diffusion"</v>
      </c>
      <c r="B97" s="25" t="str">
        <f t="shared" si="32"/>
        <v/>
      </c>
      <c r="C97" s="1" t="s">
        <v>139</v>
      </c>
      <c r="E97" t="s">
        <v>236</v>
      </c>
      <c r="I97" s="13" t="s">
        <v>314</v>
      </c>
    </row>
    <row r="98" spans="1:9" ht="15" customHeight="1" x14ac:dyDescent="0.25">
      <c r="A98" s="25" t="str">
        <f t="shared" si="33"/>
        <v>#define SS_SIMULATE "ss_simulate"</v>
      </c>
      <c r="B98" s="25" t="str">
        <f t="shared" si="32"/>
        <v/>
      </c>
      <c r="C98" s="1" t="s">
        <v>139</v>
      </c>
      <c r="E98" t="s">
        <v>237</v>
      </c>
      <c r="I98" s="13" t="s">
        <v>315</v>
      </c>
    </row>
    <row r="99" spans="1:9" s="32" customFormat="1" ht="15" customHeight="1" x14ac:dyDescent="0.25">
      <c r="A99" s="29" t="str">
        <f t="shared" si="33"/>
        <v xml:space="preserve">
// Reporting Calls</v>
      </c>
      <c r="B99" s="29" t="str">
        <f t="shared" si="32"/>
        <v xml:space="preserve">  // Reporting Calls</v>
      </c>
      <c r="C99" s="30" t="s">
        <v>152</v>
      </c>
      <c r="D99" s="30"/>
      <c r="E99" s="32" t="s">
        <v>238</v>
      </c>
      <c r="F99" s="31"/>
      <c r="G99" s="31"/>
      <c r="H99" s="31"/>
      <c r="I99" s="31"/>
    </row>
    <row r="100" spans="1:9" ht="15" customHeight="1" x14ac:dyDescent="0.25">
      <c r="A100" s="25" t="str">
        <f t="shared" si="33"/>
        <v>#define LABEL_REPORTING "report"</v>
      </c>
      <c r="B100" s="25" t="str">
        <f t="shared" si="32"/>
        <v/>
      </c>
      <c r="C100" s="1" t="s">
        <v>139</v>
      </c>
      <c r="E100" t="s">
        <v>223</v>
      </c>
      <c r="I100" s="13" t="s">
        <v>228</v>
      </c>
    </row>
    <row r="101" spans="1:9" ht="15" customHeight="1" x14ac:dyDescent="0.25">
      <c r="A101" s="25" t="str">
        <f t="shared" si="33"/>
        <v>#define PRINT_ENV "print_env"</v>
      </c>
      <c r="B101" s="25" t="str">
        <f t="shared" si="32"/>
        <v/>
      </c>
      <c r="C101" s="1" t="s">
        <v>139</v>
      </c>
      <c r="E101" t="s">
        <v>239</v>
      </c>
      <c r="I101" s="13" t="s">
        <v>316</v>
      </c>
    </row>
    <row r="102" spans="1:9" ht="15" customHeight="1" x14ac:dyDescent="0.25">
      <c r="A102" s="25" t="str">
        <f t="shared" si="33"/>
        <v>#define PRINT_SIM "print_sim"</v>
      </c>
      <c r="B102" s="25" t="str">
        <f t="shared" si="32"/>
        <v/>
      </c>
      <c r="C102" s="1" t="s">
        <v>139</v>
      </c>
      <c r="E102" t="s">
        <v>240</v>
      </c>
      <c r="I102" s="13" t="s">
        <v>317</v>
      </c>
    </row>
    <row r="103" spans="1:9" ht="15" customHeight="1" x14ac:dyDescent="0.25">
      <c r="A103" s="25" t="str">
        <f t="shared" si="33"/>
        <v>#define SS_PRINT_V1_ACTIVATION "ss_print_V1_activation"</v>
      </c>
      <c r="B103" s="25" t="str">
        <f t="shared" si="32"/>
        <v/>
      </c>
      <c r="C103" s="1" t="s">
        <v>139</v>
      </c>
      <c r="E103" t="s">
        <v>241</v>
      </c>
      <c r="I103" s="13" t="s">
        <v>318</v>
      </c>
    </row>
    <row r="104" spans="1:9" ht="15" customHeight="1" x14ac:dyDescent="0.25">
      <c r="A104" s="25" t="str">
        <f t="shared" si="33"/>
        <v>#define SS_PRINT_V1_ACTIVATION_HORIZONTAL "ss_print_V1_activation_horizontal"</v>
      </c>
      <c r="B104" s="25" t="str">
        <f t="shared" si="32"/>
        <v/>
      </c>
      <c r="C104" s="1" t="s">
        <v>139</v>
      </c>
      <c r="E104" t="s">
        <v>242</v>
      </c>
      <c r="I104" s="13" t="s">
        <v>319</v>
      </c>
    </row>
    <row r="105" spans="1:9" ht="15" customHeight="1" x14ac:dyDescent="0.25">
      <c r="A105" s="25" t="str">
        <f t="shared" si="33"/>
        <v>#define SS_PRINT_V1_EXTERNAL_EXCITATION "ss_print_V1_external_excitation"</v>
      </c>
      <c r="B105" s="25" t="str">
        <f t="shared" si="32"/>
        <v/>
      </c>
      <c r="C105" s="1" t="s">
        <v>139</v>
      </c>
      <c r="E105" t="s">
        <v>243</v>
      </c>
      <c r="I105" s="13" t="s">
        <v>320</v>
      </c>
    </row>
    <row r="106" spans="1:9" ht="15" customHeight="1" x14ac:dyDescent="0.25">
      <c r="A106" s="25" t="str">
        <f t="shared" si="33"/>
        <v>#define SS_PRINT_MT_ACTIVATION "ss_print_MT_activation"</v>
      </c>
      <c r="B106" s="25" t="str">
        <f t="shared" si="32"/>
        <v/>
      </c>
      <c r="C106" s="1" t="s">
        <v>139</v>
      </c>
      <c r="E106" t="s">
        <v>244</v>
      </c>
      <c r="I106" s="13" t="s">
        <v>321</v>
      </c>
    </row>
    <row r="107" spans="1:9" ht="15" customHeight="1" x14ac:dyDescent="0.25">
      <c r="A107" s="25" t="str">
        <f t="shared" si="33"/>
        <v>#define SS_PRINT_MT_ACTIVATION_HORIZONTAL "ss_print_MT_activation_horizontal"</v>
      </c>
      <c r="B107" s="25" t="str">
        <f t="shared" si="32"/>
        <v/>
      </c>
      <c r="C107" s="1" t="s">
        <v>139</v>
      </c>
      <c r="E107" t="s">
        <v>245</v>
      </c>
      <c r="I107" s="13" t="s">
        <v>322</v>
      </c>
    </row>
    <row r="108" spans="1:9" s="32" customFormat="1" ht="15" customHeight="1" x14ac:dyDescent="0.25">
      <c r="A108" s="29" t="str">
        <f t="shared" si="33"/>
        <v xml:space="preserve">
// IO Interaction Calls</v>
      </c>
      <c r="B108" s="29" t="str">
        <f t="shared" si="32"/>
        <v xml:space="preserve">  // IO Interaction Calls</v>
      </c>
      <c r="C108" s="30" t="s">
        <v>152</v>
      </c>
      <c r="D108" s="30"/>
      <c r="E108" s="32" t="s">
        <v>246</v>
      </c>
      <c r="F108" s="31"/>
      <c r="G108" s="31"/>
      <c r="H108" s="31"/>
      <c r="I108" s="31"/>
    </row>
    <row r="109" spans="1:9" ht="15" customHeight="1" x14ac:dyDescent="0.25">
      <c r="A109" s="25" t="str">
        <f t="shared" si="33"/>
        <v>#define LABEL_IO_INTERACTIONS "rescue"</v>
      </c>
      <c r="B109" s="25" t="str">
        <f t="shared" si="32"/>
        <v/>
      </c>
      <c r="C109" s="1" t="s">
        <v>139</v>
      </c>
      <c r="E109" t="s">
        <v>224</v>
      </c>
      <c r="I109" s="13" t="s">
        <v>229</v>
      </c>
    </row>
    <row r="110" spans="1:9" ht="15" customHeight="1" x14ac:dyDescent="0.25">
      <c r="A110" s="25" t="str">
        <f t="shared" si="33"/>
        <v>#define NPROC "nproc"</v>
      </c>
      <c r="B110" s="25" t="str">
        <f t="shared" si="32"/>
        <v/>
      </c>
      <c r="C110" s="1" t="s">
        <v>139</v>
      </c>
      <c r="E110" t="s">
        <v>247</v>
      </c>
      <c r="I110" s="13" t="s">
        <v>323</v>
      </c>
    </row>
    <row r="111" spans="1:9" s="53" customFormat="1" ht="15" customHeight="1" x14ac:dyDescent="0.25">
      <c r="A111" s="51"/>
      <c r="B111" s="51"/>
      <c r="C111" s="52"/>
      <c r="D111" s="52"/>
      <c r="E111" s="53" t="s">
        <v>307</v>
      </c>
      <c r="F111" s="54"/>
      <c r="G111" s="54"/>
      <c r="H111" s="54"/>
      <c r="I111" s="54"/>
    </row>
    <row r="112" spans="1:9" ht="15" customHeight="1" x14ac:dyDescent="0.25">
      <c r="A112" s="25" t="str">
        <f t="shared" si="33"/>
        <v>#define NPROC_SILENT "Nproc_Silent"</v>
      </c>
      <c r="B112" s="25" t="str">
        <f t="shared" si="32"/>
        <v/>
      </c>
      <c r="C112" s="1" t="s">
        <v>139</v>
      </c>
      <c r="E112" t="s">
        <v>248</v>
      </c>
      <c r="I112" s="13" t="s">
        <v>249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LogManager.Initialize</vt:lpstr>
      <vt:lpstr>InterpreterManager.Initialize</vt:lpstr>
      <vt:lpstr>define.Initialize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</dc:creator>
  <cp:lastModifiedBy>Lothar</cp:lastModifiedBy>
  <dcterms:created xsi:type="dcterms:W3CDTF">2015-02-14T01:58:55Z</dcterms:created>
  <dcterms:modified xsi:type="dcterms:W3CDTF">2015-03-25T20:26:04Z</dcterms:modified>
</cp:coreProperties>
</file>